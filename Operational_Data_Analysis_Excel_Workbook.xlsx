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err\Downloads\"/>
    </mc:Choice>
  </mc:AlternateContent>
  <xr:revisionPtr revIDLastSave="0" documentId="13_ncr:1_{E0724A97-7F21-44A3-BF95-0F20B10E83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Raw_Data_Sample" sheetId="2" r:id="rId2"/>
    <sheet name="Monthly_Analysis" sheetId="3" r:id="rId3"/>
    <sheet name="State_Analysis" sheetId="4" r:id="rId4"/>
    <sheet name="Category_Analysis" sheetId="5" r:id="rId5"/>
    <sheet name="Data_Source_Methodology" sheetId="6" r:id="rId6"/>
    <sheet name="Recommendation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5" l="1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S2001" i="2"/>
  <c r="R2001" i="2"/>
  <c r="Q2001" i="2"/>
  <c r="O2001" i="2"/>
  <c r="N2001" i="2"/>
  <c r="S2000" i="2"/>
  <c r="R2000" i="2"/>
  <c r="Q2000" i="2"/>
  <c r="P2000" i="2"/>
  <c r="U2000" i="2" s="1"/>
  <c r="O2000" i="2"/>
  <c r="T2000" i="2" s="1"/>
  <c r="N2000" i="2"/>
  <c r="T1999" i="2"/>
  <c r="S1999" i="2"/>
  <c r="R1999" i="2"/>
  <c r="Q1999" i="2"/>
  <c r="P1999" i="2"/>
  <c r="U1999" i="2" s="1"/>
  <c r="O1999" i="2"/>
  <c r="N1999" i="2"/>
  <c r="U1998" i="2"/>
  <c r="S1998" i="2"/>
  <c r="R1998" i="2"/>
  <c r="Q1998" i="2"/>
  <c r="O1998" i="2"/>
  <c r="P1998" i="2" s="1"/>
  <c r="N1998" i="2"/>
  <c r="T1997" i="2"/>
  <c r="S1997" i="2"/>
  <c r="R1997" i="2"/>
  <c r="Q1997" i="2"/>
  <c r="P1997" i="2"/>
  <c r="U1997" i="2" s="1"/>
  <c r="O1997" i="2"/>
  <c r="N1997" i="2"/>
  <c r="T1996" i="2"/>
  <c r="S1996" i="2"/>
  <c r="R1996" i="2"/>
  <c r="Q1996" i="2"/>
  <c r="P1996" i="2"/>
  <c r="U1996" i="2" s="1"/>
  <c r="O1996" i="2"/>
  <c r="N1996" i="2"/>
  <c r="S1995" i="2"/>
  <c r="R1995" i="2"/>
  <c r="Q1995" i="2"/>
  <c r="O1995" i="2"/>
  <c r="P1995" i="2" s="1"/>
  <c r="U1995" i="2" s="1"/>
  <c r="N1995" i="2"/>
  <c r="T1994" i="2"/>
  <c r="S1994" i="2"/>
  <c r="R1994" i="2"/>
  <c r="Q1994" i="2"/>
  <c r="P1994" i="2"/>
  <c r="U1994" i="2" s="1"/>
  <c r="O1994" i="2"/>
  <c r="N1994" i="2"/>
  <c r="T1993" i="2"/>
  <c r="S1993" i="2"/>
  <c r="R1993" i="2"/>
  <c r="Q1993" i="2"/>
  <c r="P1993" i="2"/>
  <c r="U1993" i="2" s="1"/>
  <c r="O1993" i="2"/>
  <c r="N1993" i="2"/>
  <c r="S1992" i="2"/>
  <c r="R1992" i="2"/>
  <c r="Q1992" i="2"/>
  <c r="O1992" i="2"/>
  <c r="P1992" i="2" s="1"/>
  <c r="U1992" i="2" s="1"/>
  <c r="N1992" i="2"/>
  <c r="T1991" i="2"/>
  <c r="S1991" i="2"/>
  <c r="R1991" i="2"/>
  <c r="Q1991" i="2"/>
  <c r="P1991" i="2"/>
  <c r="U1991" i="2" s="1"/>
  <c r="O1991" i="2"/>
  <c r="N1991" i="2"/>
  <c r="T1990" i="2"/>
  <c r="S1990" i="2"/>
  <c r="R1990" i="2"/>
  <c r="Q1990" i="2"/>
  <c r="P1990" i="2"/>
  <c r="U1990" i="2" s="1"/>
  <c r="O1990" i="2"/>
  <c r="N1990" i="2"/>
  <c r="U1989" i="2"/>
  <c r="S1989" i="2"/>
  <c r="R1989" i="2"/>
  <c r="Q1989" i="2"/>
  <c r="O1989" i="2"/>
  <c r="P1989" i="2" s="1"/>
  <c r="N1989" i="2"/>
  <c r="T1988" i="2"/>
  <c r="S1988" i="2"/>
  <c r="R1988" i="2"/>
  <c r="Q1988" i="2"/>
  <c r="P1988" i="2"/>
  <c r="U1988" i="2" s="1"/>
  <c r="O1988" i="2"/>
  <c r="N1988" i="2"/>
  <c r="T1987" i="2"/>
  <c r="S1987" i="2"/>
  <c r="R1987" i="2"/>
  <c r="Q1987" i="2"/>
  <c r="P1987" i="2"/>
  <c r="U1987" i="2" s="1"/>
  <c r="O1987" i="2"/>
  <c r="N1987" i="2"/>
  <c r="S1986" i="2"/>
  <c r="R1986" i="2"/>
  <c r="Q1986" i="2"/>
  <c r="O1986" i="2"/>
  <c r="P1986" i="2" s="1"/>
  <c r="U1986" i="2" s="1"/>
  <c r="N1986" i="2"/>
  <c r="T1985" i="2"/>
  <c r="S1985" i="2"/>
  <c r="R1985" i="2"/>
  <c r="Q1985" i="2"/>
  <c r="P1985" i="2"/>
  <c r="U1985" i="2" s="1"/>
  <c r="O1985" i="2"/>
  <c r="N1985" i="2"/>
  <c r="T1984" i="2"/>
  <c r="S1984" i="2"/>
  <c r="R1984" i="2"/>
  <c r="Q1984" i="2"/>
  <c r="P1984" i="2"/>
  <c r="U1984" i="2" s="1"/>
  <c r="O1984" i="2"/>
  <c r="N1984" i="2"/>
  <c r="S1983" i="2"/>
  <c r="R1983" i="2"/>
  <c r="Q1983" i="2"/>
  <c r="O1983" i="2"/>
  <c r="P1983" i="2" s="1"/>
  <c r="U1983" i="2" s="1"/>
  <c r="N1983" i="2"/>
  <c r="T1982" i="2"/>
  <c r="S1982" i="2"/>
  <c r="R1982" i="2"/>
  <c r="Q1982" i="2"/>
  <c r="P1982" i="2"/>
  <c r="U1982" i="2" s="1"/>
  <c r="O1982" i="2"/>
  <c r="N1982" i="2"/>
  <c r="T1981" i="2"/>
  <c r="S1981" i="2"/>
  <c r="R1981" i="2"/>
  <c r="Q1981" i="2"/>
  <c r="P1981" i="2"/>
  <c r="U1981" i="2" s="1"/>
  <c r="O1981" i="2"/>
  <c r="N1981" i="2"/>
  <c r="S1980" i="2"/>
  <c r="R1980" i="2"/>
  <c r="Q1980" i="2"/>
  <c r="O1980" i="2"/>
  <c r="P1980" i="2" s="1"/>
  <c r="U1980" i="2" s="1"/>
  <c r="N1980" i="2"/>
  <c r="T1979" i="2"/>
  <c r="S1979" i="2"/>
  <c r="R1979" i="2"/>
  <c r="Q1979" i="2"/>
  <c r="P1979" i="2"/>
  <c r="U1979" i="2" s="1"/>
  <c r="O1979" i="2"/>
  <c r="N1979" i="2"/>
  <c r="T1978" i="2"/>
  <c r="S1978" i="2"/>
  <c r="R1978" i="2"/>
  <c r="Q1978" i="2"/>
  <c r="P1978" i="2"/>
  <c r="U1978" i="2" s="1"/>
  <c r="O1978" i="2"/>
  <c r="N1978" i="2"/>
  <c r="U1977" i="2"/>
  <c r="S1977" i="2"/>
  <c r="R1977" i="2"/>
  <c r="Q1977" i="2"/>
  <c r="O1977" i="2"/>
  <c r="P1977" i="2" s="1"/>
  <c r="N1977" i="2"/>
  <c r="T1976" i="2"/>
  <c r="S1976" i="2"/>
  <c r="R1976" i="2"/>
  <c r="Q1976" i="2"/>
  <c r="P1976" i="2"/>
  <c r="U1976" i="2" s="1"/>
  <c r="O1976" i="2"/>
  <c r="N1976" i="2"/>
  <c r="T1975" i="2"/>
  <c r="S1975" i="2"/>
  <c r="R1975" i="2"/>
  <c r="Q1975" i="2"/>
  <c r="P1975" i="2"/>
  <c r="U1975" i="2" s="1"/>
  <c r="O1975" i="2"/>
  <c r="N1975" i="2"/>
  <c r="S1974" i="2"/>
  <c r="R1974" i="2"/>
  <c r="Q1974" i="2"/>
  <c r="O1974" i="2"/>
  <c r="P1974" i="2" s="1"/>
  <c r="U1974" i="2" s="1"/>
  <c r="N1974" i="2"/>
  <c r="T1973" i="2"/>
  <c r="S1973" i="2"/>
  <c r="R1973" i="2"/>
  <c r="Q1973" i="2"/>
  <c r="P1973" i="2"/>
  <c r="U1973" i="2" s="1"/>
  <c r="O1973" i="2"/>
  <c r="N1973" i="2"/>
  <c r="T1972" i="2"/>
  <c r="S1972" i="2"/>
  <c r="R1972" i="2"/>
  <c r="Q1972" i="2"/>
  <c r="P1972" i="2"/>
  <c r="U1972" i="2" s="1"/>
  <c r="O1972" i="2"/>
  <c r="N1972" i="2"/>
  <c r="S1971" i="2"/>
  <c r="R1971" i="2"/>
  <c r="Q1971" i="2"/>
  <c r="O1971" i="2"/>
  <c r="P1971" i="2" s="1"/>
  <c r="U1971" i="2" s="1"/>
  <c r="N1971" i="2"/>
  <c r="T1970" i="2"/>
  <c r="S1970" i="2"/>
  <c r="R1970" i="2"/>
  <c r="Q1970" i="2"/>
  <c r="P1970" i="2"/>
  <c r="U1970" i="2" s="1"/>
  <c r="O1970" i="2"/>
  <c r="N1970" i="2"/>
  <c r="T1969" i="2"/>
  <c r="S1969" i="2"/>
  <c r="R1969" i="2"/>
  <c r="Q1969" i="2"/>
  <c r="P1969" i="2"/>
  <c r="U1969" i="2" s="1"/>
  <c r="O1969" i="2"/>
  <c r="N1969" i="2"/>
  <c r="S1968" i="2"/>
  <c r="R1968" i="2"/>
  <c r="Q1968" i="2"/>
  <c r="O1968" i="2"/>
  <c r="P1968" i="2" s="1"/>
  <c r="U1968" i="2" s="1"/>
  <c r="N1968" i="2"/>
  <c r="T1967" i="2"/>
  <c r="S1967" i="2"/>
  <c r="R1967" i="2"/>
  <c r="Q1967" i="2"/>
  <c r="P1967" i="2"/>
  <c r="U1967" i="2" s="1"/>
  <c r="O1967" i="2"/>
  <c r="N1967" i="2"/>
  <c r="T1966" i="2"/>
  <c r="S1966" i="2"/>
  <c r="R1966" i="2"/>
  <c r="Q1966" i="2"/>
  <c r="P1966" i="2"/>
  <c r="U1966" i="2" s="1"/>
  <c r="O1966" i="2"/>
  <c r="N1966" i="2"/>
  <c r="S1965" i="2"/>
  <c r="R1965" i="2"/>
  <c r="Q1965" i="2"/>
  <c r="O1965" i="2"/>
  <c r="T1965" i="2" s="1"/>
  <c r="N1965" i="2"/>
  <c r="T1964" i="2"/>
  <c r="S1964" i="2"/>
  <c r="R1964" i="2"/>
  <c r="Q1964" i="2"/>
  <c r="P1964" i="2"/>
  <c r="U1964" i="2" s="1"/>
  <c r="O1964" i="2"/>
  <c r="N1964" i="2"/>
  <c r="T1963" i="2"/>
  <c r="S1963" i="2"/>
  <c r="R1963" i="2"/>
  <c r="Q1963" i="2"/>
  <c r="P1963" i="2"/>
  <c r="U1963" i="2" s="1"/>
  <c r="O1963" i="2"/>
  <c r="N1963" i="2"/>
  <c r="T1962" i="2"/>
  <c r="S1962" i="2"/>
  <c r="R1962" i="2"/>
  <c r="Q1962" i="2"/>
  <c r="P1962" i="2"/>
  <c r="U1962" i="2" s="1"/>
  <c r="O1962" i="2"/>
  <c r="N1962" i="2"/>
  <c r="T1961" i="2"/>
  <c r="S1961" i="2"/>
  <c r="R1961" i="2"/>
  <c r="Q1961" i="2"/>
  <c r="P1961" i="2"/>
  <c r="U1961" i="2" s="1"/>
  <c r="O1961" i="2"/>
  <c r="N1961" i="2"/>
  <c r="T1960" i="2"/>
  <c r="S1960" i="2"/>
  <c r="R1960" i="2"/>
  <c r="Q1960" i="2"/>
  <c r="P1960" i="2"/>
  <c r="U1960" i="2" s="1"/>
  <c r="O1960" i="2"/>
  <c r="N1960" i="2"/>
  <c r="S1959" i="2"/>
  <c r="R1959" i="2"/>
  <c r="Q1959" i="2"/>
  <c r="O1959" i="2"/>
  <c r="T1959" i="2" s="1"/>
  <c r="N1959" i="2"/>
  <c r="T1958" i="2"/>
  <c r="S1958" i="2"/>
  <c r="R1958" i="2"/>
  <c r="Q1958" i="2"/>
  <c r="P1958" i="2"/>
  <c r="U1958" i="2" s="1"/>
  <c r="O1958" i="2"/>
  <c r="N1958" i="2"/>
  <c r="T1957" i="2"/>
  <c r="S1957" i="2"/>
  <c r="R1957" i="2"/>
  <c r="Q1957" i="2"/>
  <c r="P1957" i="2"/>
  <c r="U1957" i="2" s="1"/>
  <c r="O1957" i="2"/>
  <c r="N1957" i="2"/>
  <c r="S1956" i="2"/>
  <c r="R1956" i="2"/>
  <c r="Q1956" i="2"/>
  <c r="O1956" i="2"/>
  <c r="N1956" i="2"/>
  <c r="T1955" i="2"/>
  <c r="S1955" i="2"/>
  <c r="R1955" i="2"/>
  <c r="Q1955" i="2"/>
  <c r="P1955" i="2"/>
  <c r="U1955" i="2" s="1"/>
  <c r="O1955" i="2"/>
  <c r="N1955" i="2"/>
  <c r="T1954" i="2"/>
  <c r="S1954" i="2"/>
  <c r="R1954" i="2"/>
  <c r="Q1954" i="2"/>
  <c r="P1954" i="2"/>
  <c r="U1954" i="2" s="1"/>
  <c r="O1954" i="2"/>
  <c r="N1954" i="2"/>
  <c r="T1953" i="2"/>
  <c r="S1953" i="2"/>
  <c r="R1953" i="2"/>
  <c r="Q1953" i="2"/>
  <c r="P1953" i="2"/>
  <c r="U1953" i="2" s="1"/>
  <c r="O1953" i="2"/>
  <c r="N1953" i="2"/>
  <c r="T1952" i="2"/>
  <c r="S1952" i="2"/>
  <c r="R1952" i="2"/>
  <c r="Q1952" i="2"/>
  <c r="P1952" i="2"/>
  <c r="U1952" i="2" s="1"/>
  <c r="O1952" i="2"/>
  <c r="N1952" i="2"/>
  <c r="T1951" i="2"/>
  <c r="S1951" i="2"/>
  <c r="R1951" i="2"/>
  <c r="Q1951" i="2"/>
  <c r="P1951" i="2"/>
  <c r="U1951" i="2" s="1"/>
  <c r="O1951" i="2"/>
  <c r="N1951" i="2"/>
  <c r="S1950" i="2"/>
  <c r="R1950" i="2"/>
  <c r="Q1950" i="2"/>
  <c r="O1950" i="2"/>
  <c r="T1950" i="2" s="1"/>
  <c r="N1950" i="2"/>
  <c r="T1949" i="2"/>
  <c r="S1949" i="2"/>
  <c r="R1949" i="2"/>
  <c r="Q1949" i="2"/>
  <c r="P1949" i="2"/>
  <c r="U1949" i="2" s="1"/>
  <c r="O1949" i="2"/>
  <c r="N1949" i="2"/>
  <c r="T1948" i="2"/>
  <c r="S1948" i="2"/>
  <c r="R1948" i="2"/>
  <c r="Q1948" i="2"/>
  <c r="P1948" i="2"/>
  <c r="U1948" i="2" s="1"/>
  <c r="O1948" i="2"/>
  <c r="N1948" i="2"/>
  <c r="U1947" i="2"/>
  <c r="T1947" i="2"/>
  <c r="S1947" i="2"/>
  <c r="R1947" i="2"/>
  <c r="Q1947" i="2"/>
  <c r="O1947" i="2"/>
  <c r="P1947" i="2" s="1"/>
  <c r="N1947" i="2"/>
  <c r="T1946" i="2"/>
  <c r="S1946" i="2"/>
  <c r="R1946" i="2"/>
  <c r="Q1946" i="2"/>
  <c r="P1946" i="2"/>
  <c r="U1946" i="2" s="1"/>
  <c r="O1946" i="2"/>
  <c r="N1946" i="2"/>
  <c r="T1945" i="2"/>
  <c r="S1945" i="2"/>
  <c r="R1945" i="2"/>
  <c r="Q1945" i="2"/>
  <c r="P1945" i="2"/>
  <c r="U1945" i="2" s="1"/>
  <c r="O1945" i="2"/>
  <c r="N1945" i="2"/>
  <c r="T1944" i="2"/>
  <c r="S1944" i="2"/>
  <c r="R1944" i="2"/>
  <c r="Q1944" i="2"/>
  <c r="P1944" i="2"/>
  <c r="U1944" i="2" s="1"/>
  <c r="O1944" i="2"/>
  <c r="N1944" i="2"/>
  <c r="T1943" i="2"/>
  <c r="S1943" i="2"/>
  <c r="R1943" i="2"/>
  <c r="Q1943" i="2"/>
  <c r="P1943" i="2"/>
  <c r="U1943" i="2" s="1"/>
  <c r="O1943" i="2"/>
  <c r="N1943" i="2"/>
  <c r="T1942" i="2"/>
  <c r="S1942" i="2"/>
  <c r="R1942" i="2"/>
  <c r="Q1942" i="2"/>
  <c r="P1942" i="2"/>
  <c r="U1942" i="2" s="1"/>
  <c r="O1942" i="2"/>
  <c r="N1942" i="2"/>
  <c r="S1941" i="2"/>
  <c r="R1941" i="2"/>
  <c r="Q1941" i="2"/>
  <c r="P1941" i="2"/>
  <c r="U1941" i="2" s="1"/>
  <c r="O1941" i="2"/>
  <c r="T1941" i="2" s="1"/>
  <c r="N1941" i="2"/>
  <c r="T1940" i="2"/>
  <c r="S1940" i="2"/>
  <c r="R1940" i="2"/>
  <c r="Q1940" i="2"/>
  <c r="P1940" i="2"/>
  <c r="U1940" i="2" s="1"/>
  <c r="O1940" i="2"/>
  <c r="N1940" i="2"/>
  <c r="T1939" i="2"/>
  <c r="S1939" i="2"/>
  <c r="R1939" i="2"/>
  <c r="Q1939" i="2"/>
  <c r="P1939" i="2"/>
  <c r="U1939" i="2" s="1"/>
  <c r="O1939" i="2"/>
  <c r="N1939" i="2"/>
  <c r="S1938" i="2"/>
  <c r="R1938" i="2"/>
  <c r="Q1938" i="2"/>
  <c r="O1938" i="2"/>
  <c r="N1938" i="2"/>
  <c r="T1937" i="2"/>
  <c r="S1937" i="2"/>
  <c r="R1937" i="2"/>
  <c r="Q1937" i="2"/>
  <c r="P1937" i="2"/>
  <c r="U1937" i="2" s="1"/>
  <c r="O1937" i="2"/>
  <c r="N1937" i="2"/>
  <c r="T1936" i="2"/>
  <c r="S1936" i="2"/>
  <c r="R1936" i="2"/>
  <c r="Q1936" i="2"/>
  <c r="P1936" i="2"/>
  <c r="U1936" i="2" s="1"/>
  <c r="O1936" i="2"/>
  <c r="N1936" i="2"/>
  <c r="T1935" i="2"/>
  <c r="S1935" i="2"/>
  <c r="R1935" i="2"/>
  <c r="Q1935" i="2"/>
  <c r="P1935" i="2"/>
  <c r="U1935" i="2" s="1"/>
  <c r="O1935" i="2"/>
  <c r="N1935" i="2"/>
  <c r="T1934" i="2"/>
  <c r="S1934" i="2"/>
  <c r="R1934" i="2"/>
  <c r="Q1934" i="2"/>
  <c r="P1934" i="2"/>
  <c r="U1934" i="2" s="1"/>
  <c r="O1934" i="2"/>
  <c r="N1934" i="2"/>
  <c r="T1933" i="2"/>
  <c r="S1933" i="2"/>
  <c r="R1933" i="2"/>
  <c r="Q1933" i="2"/>
  <c r="P1933" i="2"/>
  <c r="U1933" i="2" s="1"/>
  <c r="O1933" i="2"/>
  <c r="N1933" i="2"/>
  <c r="S1932" i="2"/>
  <c r="R1932" i="2"/>
  <c r="Q1932" i="2"/>
  <c r="O1932" i="2"/>
  <c r="T1932" i="2" s="1"/>
  <c r="N1932" i="2"/>
  <c r="T1931" i="2"/>
  <c r="S1931" i="2"/>
  <c r="R1931" i="2"/>
  <c r="Q1931" i="2"/>
  <c r="P1931" i="2"/>
  <c r="U1931" i="2" s="1"/>
  <c r="O1931" i="2"/>
  <c r="N1931" i="2"/>
  <c r="T1930" i="2"/>
  <c r="S1930" i="2"/>
  <c r="R1930" i="2"/>
  <c r="Q1930" i="2"/>
  <c r="P1930" i="2"/>
  <c r="U1930" i="2" s="1"/>
  <c r="O1930" i="2"/>
  <c r="N1930" i="2"/>
  <c r="U1929" i="2"/>
  <c r="T1929" i="2"/>
  <c r="S1929" i="2"/>
  <c r="R1929" i="2"/>
  <c r="Q1929" i="2"/>
  <c r="O1929" i="2"/>
  <c r="P1929" i="2" s="1"/>
  <c r="N1929" i="2"/>
  <c r="T1928" i="2"/>
  <c r="S1928" i="2"/>
  <c r="R1928" i="2"/>
  <c r="Q1928" i="2"/>
  <c r="P1928" i="2"/>
  <c r="U1928" i="2" s="1"/>
  <c r="O1928" i="2"/>
  <c r="N1928" i="2"/>
  <c r="T1927" i="2"/>
  <c r="S1927" i="2"/>
  <c r="R1927" i="2"/>
  <c r="Q1927" i="2"/>
  <c r="P1927" i="2"/>
  <c r="U1927" i="2" s="1"/>
  <c r="O1927" i="2"/>
  <c r="N1927" i="2"/>
  <c r="T1926" i="2"/>
  <c r="S1926" i="2"/>
  <c r="R1926" i="2"/>
  <c r="Q1926" i="2"/>
  <c r="P1926" i="2"/>
  <c r="U1926" i="2" s="1"/>
  <c r="O1926" i="2"/>
  <c r="N1926" i="2"/>
  <c r="T1925" i="2"/>
  <c r="S1925" i="2"/>
  <c r="R1925" i="2"/>
  <c r="Q1925" i="2"/>
  <c r="P1925" i="2"/>
  <c r="U1925" i="2" s="1"/>
  <c r="O1925" i="2"/>
  <c r="N1925" i="2"/>
  <c r="T1924" i="2"/>
  <c r="S1924" i="2"/>
  <c r="R1924" i="2"/>
  <c r="Q1924" i="2"/>
  <c r="P1924" i="2"/>
  <c r="U1924" i="2" s="1"/>
  <c r="O1924" i="2"/>
  <c r="N1924" i="2"/>
  <c r="S1923" i="2"/>
  <c r="R1923" i="2"/>
  <c r="Q1923" i="2"/>
  <c r="P1923" i="2"/>
  <c r="U1923" i="2" s="1"/>
  <c r="O1923" i="2"/>
  <c r="T1923" i="2" s="1"/>
  <c r="N1923" i="2"/>
  <c r="T1922" i="2"/>
  <c r="S1922" i="2"/>
  <c r="R1922" i="2"/>
  <c r="Q1922" i="2"/>
  <c r="P1922" i="2"/>
  <c r="U1922" i="2" s="1"/>
  <c r="O1922" i="2"/>
  <c r="N1922" i="2"/>
  <c r="T1921" i="2"/>
  <c r="S1921" i="2"/>
  <c r="R1921" i="2"/>
  <c r="Q1921" i="2"/>
  <c r="P1921" i="2"/>
  <c r="U1921" i="2" s="1"/>
  <c r="O1921" i="2"/>
  <c r="N1921" i="2"/>
  <c r="S1920" i="2"/>
  <c r="R1920" i="2"/>
  <c r="Q1920" i="2"/>
  <c r="O1920" i="2"/>
  <c r="N1920" i="2"/>
  <c r="T1919" i="2"/>
  <c r="S1919" i="2"/>
  <c r="R1919" i="2"/>
  <c r="Q1919" i="2"/>
  <c r="P1919" i="2"/>
  <c r="U1919" i="2" s="1"/>
  <c r="O1919" i="2"/>
  <c r="N1919" i="2"/>
  <c r="T1918" i="2"/>
  <c r="S1918" i="2"/>
  <c r="R1918" i="2"/>
  <c r="Q1918" i="2"/>
  <c r="P1918" i="2"/>
  <c r="U1918" i="2" s="1"/>
  <c r="O1918" i="2"/>
  <c r="N1918" i="2"/>
  <c r="T1917" i="2"/>
  <c r="S1917" i="2"/>
  <c r="R1917" i="2"/>
  <c r="Q1917" i="2"/>
  <c r="P1917" i="2"/>
  <c r="U1917" i="2" s="1"/>
  <c r="O1917" i="2"/>
  <c r="N1917" i="2"/>
  <c r="T1916" i="2"/>
  <c r="S1916" i="2"/>
  <c r="R1916" i="2"/>
  <c r="Q1916" i="2"/>
  <c r="P1916" i="2"/>
  <c r="U1916" i="2" s="1"/>
  <c r="O1916" i="2"/>
  <c r="N1916" i="2"/>
  <c r="T1915" i="2"/>
  <c r="S1915" i="2"/>
  <c r="R1915" i="2"/>
  <c r="Q1915" i="2"/>
  <c r="P1915" i="2"/>
  <c r="U1915" i="2" s="1"/>
  <c r="O1915" i="2"/>
  <c r="N1915" i="2"/>
  <c r="S1914" i="2"/>
  <c r="R1914" i="2"/>
  <c r="Q1914" i="2"/>
  <c r="O1914" i="2"/>
  <c r="T1914" i="2" s="1"/>
  <c r="N1914" i="2"/>
  <c r="T1913" i="2"/>
  <c r="S1913" i="2"/>
  <c r="R1913" i="2"/>
  <c r="Q1913" i="2"/>
  <c r="P1913" i="2"/>
  <c r="U1913" i="2" s="1"/>
  <c r="O1913" i="2"/>
  <c r="N1913" i="2"/>
  <c r="T1912" i="2"/>
  <c r="S1912" i="2"/>
  <c r="R1912" i="2"/>
  <c r="Q1912" i="2"/>
  <c r="P1912" i="2"/>
  <c r="U1912" i="2" s="1"/>
  <c r="O1912" i="2"/>
  <c r="N1912" i="2"/>
  <c r="U1911" i="2"/>
  <c r="T1911" i="2"/>
  <c r="S1911" i="2"/>
  <c r="R1911" i="2"/>
  <c r="Q1911" i="2"/>
  <c r="O1911" i="2"/>
  <c r="P1911" i="2" s="1"/>
  <c r="N1911" i="2"/>
  <c r="T1910" i="2"/>
  <c r="S1910" i="2"/>
  <c r="R1910" i="2"/>
  <c r="Q1910" i="2"/>
  <c r="P1910" i="2"/>
  <c r="U1910" i="2" s="1"/>
  <c r="O1910" i="2"/>
  <c r="N1910" i="2"/>
  <c r="T1909" i="2"/>
  <c r="S1909" i="2"/>
  <c r="R1909" i="2"/>
  <c r="Q1909" i="2"/>
  <c r="P1909" i="2"/>
  <c r="U1909" i="2" s="1"/>
  <c r="O1909" i="2"/>
  <c r="N1909" i="2"/>
  <c r="T1908" i="2"/>
  <c r="S1908" i="2"/>
  <c r="R1908" i="2"/>
  <c r="Q1908" i="2"/>
  <c r="P1908" i="2"/>
  <c r="U1908" i="2" s="1"/>
  <c r="O1908" i="2"/>
  <c r="N1908" i="2"/>
  <c r="T1907" i="2"/>
  <c r="S1907" i="2"/>
  <c r="R1907" i="2"/>
  <c r="Q1907" i="2"/>
  <c r="P1907" i="2"/>
  <c r="U1907" i="2" s="1"/>
  <c r="O1907" i="2"/>
  <c r="N1907" i="2"/>
  <c r="T1906" i="2"/>
  <c r="S1906" i="2"/>
  <c r="R1906" i="2"/>
  <c r="Q1906" i="2"/>
  <c r="P1906" i="2"/>
  <c r="U1906" i="2" s="1"/>
  <c r="O1906" i="2"/>
  <c r="N1906" i="2"/>
  <c r="S1905" i="2"/>
  <c r="R1905" i="2"/>
  <c r="Q1905" i="2"/>
  <c r="P1905" i="2"/>
  <c r="U1905" i="2" s="1"/>
  <c r="O1905" i="2"/>
  <c r="T1905" i="2" s="1"/>
  <c r="N1905" i="2"/>
  <c r="T1904" i="2"/>
  <c r="S1904" i="2"/>
  <c r="R1904" i="2"/>
  <c r="Q1904" i="2"/>
  <c r="P1904" i="2"/>
  <c r="U1904" i="2" s="1"/>
  <c r="O1904" i="2"/>
  <c r="N1904" i="2"/>
  <c r="T1903" i="2"/>
  <c r="S1903" i="2"/>
  <c r="R1903" i="2"/>
  <c r="Q1903" i="2"/>
  <c r="P1903" i="2"/>
  <c r="U1903" i="2" s="1"/>
  <c r="O1903" i="2"/>
  <c r="N1903" i="2"/>
  <c r="S1902" i="2"/>
  <c r="R1902" i="2"/>
  <c r="Q1902" i="2"/>
  <c r="O1902" i="2"/>
  <c r="N1902" i="2"/>
  <c r="T1901" i="2"/>
  <c r="S1901" i="2"/>
  <c r="R1901" i="2"/>
  <c r="Q1901" i="2"/>
  <c r="P1901" i="2"/>
  <c r="U1901" i="2" s="1"/>
  <c r="O1901" i="2"/>
  <c r="N1901" i="2"/>
  <c r="T1900" i="2"/>
  <c r="S1900" i="2"/>
  <c r="R1900" i="2"/>
  <c r="Q1900" i="2"/>
  <c r="P1900" i="2"/>
  <c r="U1900" i="2" s="1"/>
  <c r="O1900" i="2"/>
  <c r="N1900" i="2"/>
  <c r="T1899" i="2"/>
  <c r="S1899" i="2"/>
  <c r="R1899" i="2"/>
  <c r="Q1899" i="2"/>
  <c r="P1899" i="2"/>
  <c r="U1899" i="2" s="1"/>
  <c r="O1899" i="2"/>
  <c r="N1899" i="2"/>
  <c r="T1898" i="2"/>
  <c r="S1898" i="2"/>
  <c r="R1898" i="2"/>
  <c r="Q1898" i="2"/>
  <c r="P1898" i="2"/>
  <c r="U1898" i="2" s="1"/>
  <c r="O1898" i="2"/>
  <c r="N1898" i="2"/>
  <c r="T1897" i="2"/>
  <c r="S1897" i="2"/>
  <c r="R1897" i="2"/>
  <c r="Q1897" i="2"/>
  <c r="P1897" i="2"/>
  <c r="U1897" i="2" s="1"/>
  <c r="O1897" i="2"/>
  <c r="N1897" i="2"/>
  <c r="S1896" i="2"/>
  <c r="R1896" i="2"/>
  <c r="Q1896" i="2"/>
  <c r="O1896" i="2"/>
  <c r="T1896" i="2" s="1"/>
  <c r="N1896" i="2"/>
  <c r="T1895" i="2"/>
  <c r="S1895" i="2"/>
  <c r="R1895" i="2"/>
  <c r="Q1895" i="2"/>
  <c r="P1895" i="2"/>
  <c r="U1895" i="2" s="1"/>
  <c r="O1895" i="2"/>
  <c r="N1895" i="2"/>
  <c r="T1894" i="2"/>
  <c r="S1894" i="2"/>
  <c r="R1894" i="2"/>
  <c r="Q1894" i="2"/>
  <c r="P1894" i="2"/>
  <c r="U1894" i="2" s="1"/>
  <c r="O1894" i="2"/>
  <c r="N1894" i="2"/>
  <c r="U1893" i="2"/>
  <c r="T1893" i="2"/>
  <c r="S1893" i="2"/>
  <c r="R1893" i="2"/>
  <c r="Q1893" i="2"/>
  <c r="O1893" i="2"/>
  <c r="P1893" i="2" s="1"/>
  <c r="N1893" i="2"/>
  <c r="T1892" i="2"/>
  <c r="S1892" i="2"/>
  <c r="R1892" i="2"/>
  <c r="Q1892" i="2"/>
  <c r="P1892" i="2"/>
  <c r="U1892" i="2" s="1"/>
  <c r="O1892" i="2"/>
  <c r="N1892" i="2"/>
  <c r="T1891" i="2"/>
  <c r="S1891" i="2"/>
  <c r="R1891" i="2"/>
  <c r="Q1891" i="2"/>
  <c r="P1891" i="2"/>
  <c r="U1891" i="2" s="1"/>
  <c r="O1891" i="2"/>
  <c r="N1891" i="2"/>
  <c r="T1890" i="2"/>
  <c r="S1890" i="2"/>
  <c r="R1890" i="2"/>
  <c r="Q1890" i="2"/>
  <c r="P1890" i="2"/>
  <c r="U1890" i="2" s="1"/>
  <c r="O1890" i="2"/>
  <c r="N1890" i="2"/>
  <c r="T1889" i="2"/>
  <c r="S1889" i="2"/>
  <c r="R1889" i="2"/>
  <c r="Q1889" i="2"/>
  <c r="P1889" i="2"/>
  <c r="U1889" i="2" s="1"/>
  <c r="O1889" i="2"/>
  <c r="N1889" i="2"/>
  <c r="T1888" i="2"/>
  <c r="S1888" i="2"/>
  <c r="R1888" i="2"/>
  <c r="Q1888" i="2"/>
  <c r="P1888" i="2"/>
  <c r="U1888" i="2" s="1"/>
  <c r="O1888" i="2"/>
  <c r="N1888" i="2"/>
  <c r="S1887" i="2"/>
  <c r="R1887" i="2"/>
  <c r="Q1887" i="2"/>
  <c r="P1887" i="2"/>
  <c r="U1887" i="2" s="1"/>
  <c r="O1887" i="2"/>
  <c r="T1887" i="2" s="1"/>
  <c r="N1887" i="2"/>
  <c r="T1886" i="2"/>
  <c r="S1886" i="2"/>
  <c r="R1886" i="2"/>
  <c r="Q1886" i="2"/>
  <c r="P1886" i="2"/>
  <c r="U1886" i="2" s="1"/>
  <c r="O1886" i="2"/>
  <c r="N1886" i="2"/>
  <c r="T1885" i="2"/>
  <c r="S1885" i="2"/>
  <c r="R1885" i="2"/>
  <c r="Q1885" i="2"/>
  <c r="P1885" i="2"/>
  <c r="U1885" i="2" s="1"/>
  <c r="O1885" i="2"/>
  <c r="N1885" i="2"/>
  <c r="S1884" i="2"/>
  <c r="R1884" i="2"/>
  <c r="Q1884" i="2"/>
  <c r="O1884" i="2"/>
  <c r="N1884" i="2"/>
  <c r="T1883" i="2"/>
  <c r="S1883" i="2"/>
  <c r="R1883" i="2"/>
  <c r="Q1883" i="2"/>
  <c r="P1883" i="2"/>
  <c r="U1883" i="2" s="1"/>
  <c r="O1883" i="2"/>
  <c r="N1883" i="2"/>
  <c r="T1882" i="2"/>
  <c r="S1882" i="2"/>
  <c r="R1882" i="2"/>
  <c r="Q1882" i="2"/>
  <c r="P1882" i="2"/>
  <c r="U1882" i="2" s="1"/>
  <c r="O1882" i="2"/>
  <c r="N1882" i="2"/>
  <c r="T1881" i="2"/>
  <c r="S1881" i="2"/>
  <c r="R1881" i="2"/>
  <c r="Q1881" i="2"/>
  <c r="P1881" i="2"/>
  <c r="U1881" i="2" s="1"/>
  <c r="O1881" i="2"/>
  <c r="N1881" i="2"/>
  <c r="T1880" i="2"/>
  <c r="S1880" i="2"/>
  <c r="R1880" i="2"/>
  <c r="Q1880" i="2"/>
  <c r="P1880" i="2"/>
  <c r="U1880" i="2" s="1"/>
  <c r="O1880" i="2"/>
  <c r="N1880" i="2"/>
  <c r="T1879" i="2"/>
  <c r="S1879" i="2"/>
  <c r="R1879" i="2"/>
  <c r="Q1879" i="2"/>
  <c r="P1879" i="2"/>
  <c r="U1879" i="2" s="1"/>
  <c r="O1879" i="2"/>
  <c r="N1879" i="2"/>
  <c r="S1878" i="2"/>
  <c r="R1878" i="2"/>
  <c r="Q1878" i="2"/>
  <c r="O1878" i="2"/>
  <c r="T1878" i="2" s="1"/>
  <c r="N1878" i="2"/>
  <c r="T1877" i="2"/>
  <c r="S1877" i="2"/>
  <c r="R1877" i="2"/>
  <c r="Q1877" i="2"/>
  <c r="P1877" i="2"/>
  <c r="U1877" i="2" s="1"/>
  <c r="O1877" i="2"/>
  <c r="N1877" i="2"/>
  <c r="T1876" i="2"/>
  <c r="S1876" i="2"/>
  <c r="R1876" i="2"/>
  <c r="Q1876" i="2"/>
  <c r="P1876" i="2"/>
  <c r="U1876" i="2" s="1"/>
  <c r="O1876" i="2"/>
  <c r="N1876" i="2"/>
  <c r="U1875" i="2"/>
  <c r="T1875" i="2"/>
  <c r="S1875" i="2"/>
  <c r="R1875" i="2"/>
  <c r="Q1875" i="2"/>
  <c r="O1875" i="2"/>
  <c r="P1875" i="2" s="1"/>
  <c r="N1875" i="2"/>
  <c r="T1874" i="2"/>
  <c r="S1874" i="2"/>
  <c r="R1874" i="2"/>
  <c r="Q1874" i="2"/>
  <c r="P1874" i="2"/>
  <c r="U1874" i="2" s="1"/>
  <c r="O1874" i="2"/>
  <c r="N1874" i="2"/>
  <c r="T1873" i="2"/>
  <c r="S1873" i="2"/>
  <c r="R1873" i="2"/>
  <c r="Q1873" i="2"/>
  <c r="P1873" i="2"/>
  <c r="U1873" i="2" s="1"/>
  <c r="O1873" i="2"/>
  <c r="N1873" i="2"/>
  <c r="T1872" i="2"/>
  <c r="S1872" i="2"/>
  <c r="R1872" i="2"/>
  <c r="Q1872" i="2"/>
  <c r="P1872" i="2"/>
  <c r="U1872" i="2" s="1"/>
  <c r="O1872" i="2"/>
  <c r="N1872" i="2"/>
  <c r="T1871" i="2"/>
  <c r="S1871" i="2"/>
  <c r="R1871" i="2"/>
  <c r="Q1871" i="2"/>
  <c r="P1871" i="2"/>
  <c r="U1871" i="2" s="1"/>
  <c r="O1871" i="2"/>
  <c r="N1871" i="2"/>
  <c r="T1870" i="2"/>
  <c r="S1870" i="2"/>
  <c r="R1870" i="2"/>
  <c r="Q1870" i="2"/>
  <c r="P1870" i="2"/>
  <c r="U1870" i="2" s="1"/>
  <c r="O1870" i="2"/>
  <c r="N1870" i="2"/>
  <c r="S1869" i="2"/>
  <c r="R1869" i="2"/>
  <c r="Q1869" i="2"/>
  <c r="P1869" i="2"/>
  <c r="U1869" i="2" s="1"/>
  <c r="O1869" i="2"/>
  <c r="T1869" i="2" s="1"/>
  <c r="N1869" i="2"/>
  <c r="T1868" i="2"/>
  <c r="S1868" i="2"/>
  <c r="R1868" i="2"/>
  <c r="Q1868" i="2"/>
  <c r="P1868" i="2"/>
  <c r="U1868" i="2" s="1"/>
  <c r="O1868" i="2"/>
  <c r="N1868" i="2"/>
  <c r="T1867" i="2"/>
  <c r="S1867" i="2"/>
  <c r="R1867" i="2"/>
  <c r="Q1867" i="2"/>
  <c r="P1867" i="2"/>
  <c r="U1867" i="2" s="1"/>
  <c r="O1867" i="2"/>
  <c r="N1867" i="2"/>
  <c r="S1866" i="2"/>
  <c r="R1866" i="2"/>
  <c r="Q1866" i="2"/>
  <c r="O1866" i="2"/>
  <c r="N1866" i="2"/>
  <c r="T1865" i="2"/>
  <c r="S1865" i="2"/>
  <c r="R1865" i="2"/>
  <c r="Q1865" i="2"/>
  <c r="P1865" i="2"/>
  <c r="U1865" i="2" s="1"/>
  <c r="O1865" i="2"/>
  <c r="N1865" i="2"/>
  <c r="T1864" i="2"/>
  <c r="S1864" i="2"/>
  <c r="R1864" i="2"/>
  <c r="Q1864" i="2"/>
  <c r="P1864" i="2"/>
  <c r="U1864" i="2" s="1"/>
  <c r="O1864" i="2"/>
  <c r="N1864" i="2"/>
  <c r="T1863" i="2"/>
  <c r="S1863" i="2"/>
  <c r="R1863" i="2"/>
  <c r="Q1863" i="2"/>
  <c r="P1863" i="2"/>
  <c r="U1863" i="2" s="1"/>
  <c r="O1863" i="2"/>
  <c r="N1863" i="2"/>
  <c r="T1862" i="2"/>
  <c r="S1862" i="2"/>
  <c r="R1862" i="2"/>
  <c r="Q1862" i="2"/>
  <c r="P1862" i="2"/>
  <c r="U1862" i="2" s="1"/>
  <c r="O1862" i="2"/>
  <c r="N1862" i="2"/>
  <c r="T1861" i="2"/>
  <c r="S1861" i="2"/>
  <c r="R1861" i="2"/>
  <c r="Q1861" i="2"/>
  <c r="P1861" i="2"/>
  <c r="U1861" i="2" s="1"/>
  <c r="O1861" i="2"/>
  <c r="N1861" i="2"/>
  <c r="S1860" i="2"/>
  <c r="R1860" i="2"/>
  <c r="Q1860" i="2"/>
  <c r="O1860" i="2"/>
  <c r="T1860" i="2" s="1"/>
  <c r="N1860" i="2"/>
  <c r="T1859" i="2"/>
  <c r="S1859" i="2"/>
  <c r="R1859" i="2"/>
  <c r="Q1859" i="2"/>
  <c r="P1859" i="2"/>
  <c r="U1859" i="2" s="1"/>
  <c r="O1859" i="2"/>
  <c r="N1859" i="2"/>
  <c r="T1858" i="2"/>
  <c r="S1858" i="2"/>
  <c r="R1858" i="2"/>
  <c r="Q1858" i="2"/>
  <c r="P1858" i="2"/>
  <c r="U1858" i="2" s="1"/>
  <c r="O1858" i="2"/>
  <c r="N1858" i="2"/>
  <c r="T1857" i="2"/>
  <c r="S1857" i="2"/>
  <c r="R1857" i="2"/>
  <c r="Q1857" i="2"/>
  <c r="O1857" i="2"/>
  <c r="P1857" i="2" s="1"/>
  <c r="U1857" i="2" s="1"/>
  <c r="N1857" i="2"/>
  <c r="T1856" i="2"/>
  <c r="S1856" i="2"/>
  <c r="R1856" i="2"/>
  <c r="Q1856" i="2"/>
  <c r="P1856" i="2"/>
  <c r="U1856" i="2" s="1"/>
  <c r="O1856" i="2"/>
  <c r="N1856" i="2"/>
  <c r="T1855" i="2"/>
  <c r="S1855" i="2"/>
  <c r="R1855" i="2"/>
  <c r="Q1855" i="2"/>
  <c r="P1855" i="2"/>
  <c r="U1855" i="2" s="1"/>
  <c r="O1855" i="2"/>
  <c r="N1855" i="2"/>
  <c r="T1854" i="2"/>
  <c r="S1854" i="2"/>
  <c r="R1854" i="2"/>
  <c r="Q1854" i="2"/>
  <c r="O1854" i="2"/>
  <c r="P1854" i="2" s="1"/>
  <c r="U1854" i="2" s="1"/>
  <c r="N1854" i="2"/>
  <c r="T1853" i="2"/>
  <c r="S1853" i="2"/>
  <c r="R1853" i="2"/>
  <c r="Q1853" i="2"/>
  <c r="P1853" i="2"/>
  <c r="U1853" i="2" s="1"/>
  <c r="O1853" i="2"/>
  <c r="N1853" i="2"/>
  <c r="T1852" i="2"/>
  <c r="S1852" i="2"/>
  <c r="R1852" i="2"/>
  <c r="Q1852" i="2"/>
  <c r="P1852" i="2"/>
  <c r="U1852" i="2" s="1"/>
  <c r="O1852" i="2"/>
  <c r="N1852" i="2"/>
  <c r="S1851" i="2"/>
  <c r="R1851" i="2"/>
  <c r="Q1851" i="2"/>
  <c r="P1851" i="2"/>
  <c r="U1851" i="2" s="1"/>
  <c r="O1851" i="2"/>
  <c r="T1851" i="2" s="1"/>
  <c r="N1851" i="2"/>
  <c r="T1850" i="2"/>
  <c r="S1850" i="2"/>
  <c r="R1850" i="2"/>
  <c r="Q1850" i="2"/>
  <c r="P1850" i="2"/>
  <c r="U1850" i="2" s="1"/>
  <c r="O1850" i="2"/>
  <c r="N1850" i="2"/>
  <c r="T1849" i="2"/>
  <c r="S1849" i="2"/>
  <c r="R1849" i="2"/>
  <c r="Q1849" i="2"/>
  <c r="P1849" i="2"/>
  <c r="U1849" i="2" s="1"/>
  <c r="O1849" i="2"/>
  <c r="N1849" i="2"/>
  <c r="S1848" i="2"/>
  <c r="R1848" i="2"/>
  <c r="Q1848" i="2"/>
  <c r="O1848" i="2"/>
  <c r="N1848" i="2"/>
  <c r="T1847" i="2"/>
  <c r="S1847" i="2"/>
  <c r="R1847" i="2"/>
  <c r="Q1847" i="2"/>
  <c r="P1847" i="2"/>
  <c r="U1847" i="2" s="1"/>
  <c r="O1847" i="2"/>
  <c r="N1847" i="2"/>
  <c r="T1846" i="2"/>
  <c r="S1846" i="2"/>
  <c r="R1846" i="2"/>
  <c r="Q1846" i="2"/>
  <c r="P1846" i="2"/>
  <c r="U1846" i="2" s="1"/>
  <c r="O1846" i="2"/>
  <c r="N1846" i="2"/>
  <c r="T1845" i="2"/>
  <c r="S1845" i="2"/>
  <c r="R1845" i="2"/>
  <c r="Q1845" i="2"/>
  <c r="P1845" i="2"/>
  <c r="U1845" i="2" s="1"/>
  <c r="O1845" i="2"/>
  <c r="N1845" i="2"/>
  <c r="T1844" i="2"/>
  <c r="S1844" i="2"/>
  <c r="R1844" i="2"/>
  <c r="Q1844" i="2"/>
  <c r="P1844" i="2"/>
  <c r="U1844" i="2" s="1"/>
  <c r="O1844" i="2"/>
  <c r="N1844" i="2"/>
  <c r="T1843" i="2"/>
  <c r="S1843" i="2"/>
  <c r="R1843" i="2"/>
  <c r="Q1843" i="2"/>
  <c r="P1843" i="2"/>
  <c r="U1843" i="2" s="1"/>
  <c r="O1843" i="2"/>
  <c r="N1843" i="2"/>
  <c r="S1842" i="2"/>
  <c r="R1842" i="2"/>
  <c r="Q1842" i="2"/>
  <c r="O1842" i="2"/>
  <c r="T1842" i="2" s="1"/>
  <c r="N1842" i="2"/>
  <c r="T1841" i="2"/>
  <c r="S1841" i="2"/>
  <c r="R1841" i="2"/>
  <c r="Q1841" i="2"/>
  <c r="P1841" i="2"/>
  <c r="U1841" i="2" s="1"/>
  <c r="O1841" i="2"/>
  <c r="N1841" i="2"/>
  <c r="T1840" i="2"/>
  <c r="S1840" i="2"/>
  <c r="R1840" i="2"/>
  <c r="Q1840" i="2"/>
  <c r="P1840" i="2"/>
  <c r="U1840" i="2" s="1"/>
  <c r="O1840" i="2"/>
  <c r="N1840" i="2"/>
  <c r="U1839" i="2"/>
  <c r="T1839" i="2"/>
  <c r="S1839" i="2"/>
  <c r="R1839" i="2"/>
  <c r="Q1839" i="2"/>
  <c r="P1839" i="2"/>
  <c r="O1839" i="2"/>
  <c r="N1839" i="2"/>
  <c r="T1838" i="2"/>
  <c r="S1838" i="2"/>
  <c r="R1838" i="2"/>
  <c r="Q1838" i="2"/>
  <c r="P1838" i="2"/>
  <c r="U1838" i="2" s="1"/>
  <c r="O1838" i="2"/>
  <c r="N1838" i="2"/>
  <c r="T1837" i="2"/>
  <c r="S1837" i="2"/>
  <c r="R1837" i="2"/>
  <c r="Q1837" i="2"/>
  <c r="P1837" i="2"/>
  <c r="U1837" i="2" s="1"/>
  <c r="O1837" i="2"/>
  <c r="N1837" i="2"/>
  <c r="T1836" i="2"/>
  <c r="S1836" i="2"/>
  <c r="R1836" i="2"/>
  <c r="Q1836" i="2"/>
  <c r="P1836" i="2"/>
  <c r="U1836" i="2" s="1"/>
  <c r="O1836" i="2"/>
  <c r="N1836" i="2"/>
  <c r="T1835" i="2"/>
  <c r="S1835" i="2"/>
  <c r="R1835" i="2"/>
  <c r="Q1835" i="2"/>
  <c r="P1835" i="2"/>
  <c r="U1835" i="2" s="1"/>
  <c r="O1835" i="2"/>
  <c r="N1835" i="2"/>
  <c r="T1834" i="2"/>
  <c r="S1834" i="2"/>
  <c r="R1834" i="2"/>
  <c r="Q1834" i="2"/>
  <c r="P1834" i="2"/>
  <c r="U1834" i="2" s="1"/>
  <c r="O1834" i="2"/>
  <c r="N1834" i="2"/>
  <c r="S1833" i="2"/>
  <c r="R1833" i="2"/>
  <c r="Q1833" i="2"/>
  <c r="P1833" i="2"/>
  <c r="U1833" i="2" s="1"/>
  <c r="O1833" i="2"/>
  <c r="T1833" i="2" s="1"/>
  <c r="N1833" i="2"/>
  <c r="T1832" i="2"/>
  <c r="S1832" i="2"/>
  <c r="R1832" i="2"/>
  <c r="Q1832" i="2"/>
  <c r="P1832" i="2"/>
  <c r="U1832" i="2" s="1"/>
  <c r="O1832" i="2"/>
  <c r="N1832" i="2"/>
  <c r="T1831" i="2"/>
  <c r="S1831" i="2"/>
  <c r="R1831" i="2"/>
  <c r="Q1831" i="2"/>
  <c r="P1831" i="2"/>
  <c r="U1831" i="2" s="1"/>
  <c r="O1831" i="2"/>
  <c r="N1831" i="2"/>
  <c r="S1830" i="2"/>
  <c r="R1830" i="2"/>
  <c r="Q1830" i="2"/>
  <c r="O1830" i="2"/>
  <c r="N1830" i="2"/>
  <c r="T1829" i="2"/>
  <c r="S1829" i="2"/>
  <c r="R1829" i="2"/>
  <c r="Q1829" i="2"/>
  <c r="P1829" i="2"/>
  <c r="U1829" i="2" s="1"/>
  <c r="O1829" i="2"/>
  <c r="N1829" i="2"/>
  <c r="T1828" i="2"/>
  <c r="S1828" i="2"/>
  <c r="R1828" i="2"/>
  <c r="Q1828" i="2"/>
  <c r="P1828" i="2"/>
  <c r="U1828" i="2" s="1"/>
  <c r="O1828" i="2"/>
  <c r="N1828" i="2"/>
  <c r="T1827" i="2"/>
  <c r="S1827" i="2"/>
  <c r="R1827" i="2"/>
  <c r="Q1827" i="2"/>
  <c r="P1827" i="2"/>
  <c r="U1827" i="2" s="1"/>
  <c r="O1827" i="2"/>
  <c r="N1827" i="2"/>
  <c r="T1826" i="2"/>
  <c r="S1826" i="2"/>
  <c r="R1826" i="2"/>
  <c r="Q1826" i="2"/>
  <c r="P1826" i="2"/>
  <c r="U1826" i="2" s="1"/>
  <c r="O1826" i="2"/>
  <c r="N1826" i="2"/>
  <c r="T1825" i="2"/>
  <c r="S1825" i="2"/>
  <c r="R1825" i="2"/>
  <c r="Q1825" i="2"/>
  <c r="P1825" i="2"/>
  <c r="U1825" i="2" s="1"/>
  <c r="O1825" i="2"/>
  <c r="N1825" i="2"/>
  <c r="T1824" i="2"/>
  <c r="S1824" i="2"/>
  <c r="R1824" i="2"/>
  <c r="Q1824" i="2"/>
  <c r="O1824" i="2"/>
  <c r="P1824" i="2" s="1"/>
  <c r="U1824" i="2" s="1"/>
  <c r="N1824" i="2"/>
  <c r="T1823" i="2"/>
  <c r="S1823" i="2"/>
  <c r="R1823" i="2"/>
  <c r="Q1823" i="2"/>
  <c r="P1823" i="2"/>
  <c r="U1823" i="2" s="1"/>
  <c r="O1823" i="2"/>
  <c r="N1823" i="2"/>
  <c r="T1822" i="2"/>
  <c r="S1822" i="2"/>
  <c r="R1822" i="2"/>
  <c r="Q1822" i="2"/>
  <c r="P1822" i="2"/>
  <c r="U1822" i="2" s="1"/>
  <c r="O1822" i="2"/>
  <c r="N1822" i="2"/>
  <c r="U1821" i="2"/>
  <c r="T1821" i="2"/>
  <c r="S1821" i="2"/>
  <c r="R1821" i="2"/>
  <c r="Q1821" i="2"/>
  <c r="P1821" i="2"/>
  <c r="O1821" i="2"/>
  <c r="N1821" i="2"/>
  <c r="T1820" i="2"/>
  <c r="S1820" i="2"/>
  <c r="R1820" i="2"/>
  <c r="Q1820" i="2"/>
  <c r="P1820" i="2"/>
  <c r="U1820" i="2" s="1"/>
  <c r="O1820" i="2"/>
  <c r="N1820" i="2"/>
  <c r="T1819" i="2"/>
  <c r="S1819" i="2"/>
  <c r="R1819" i="2"/>
  <c r="Q1819" i="2"/>
  <c r="P1819" i="2"/>
  <c r="U1819" i="2" s="1"/>
  <c r="O1819" i="2"/>
  <c r="N1819" i="2"/>
  <c r="T1818" i="2"/>
  <c r="S1818" i="2"/>
  <c r="R1818" i="2"/>
  <c r="Q1818" i="2"/>
  <c r="P1818" i="2"/>
  <c r="U1818" i="2" s="1"/>
  <c r="O1818" i="2"/>
  <c r="N1818" i="2"/>
  <c r="T1817" i="2"/>
  <c r="S1817" i="2"/>
  <c r="R1817" i="2"/>
  <c r="Q1817" i="2"/>
  <c r="P1817" i="2"/>
  <c r="U1817" i="2" s="1"/>
  <c r="O1817" i="2"/>
  <c r="N1817" i="2"/>
  <c r="T1816" i="2"/>
  <c r="S1816" i="2"/>
  <c r="R1816" i="2"/>
  <c r="Q1816" i="2"/>
  <c r="P1816" i="2"/>
  <c r="U1816" i="2" s="1"/>
  <c r="O1816" i="2"/>
  <c r="N1816" i="2"/>
  <c r="S1815" i="2"/>
  <c r="R1815" i="2"/>
  <c r="Q1815" i="2"/>
  <c r="P1815" i="2"/>
  <c r="U1815" i="2" s="1"/>
  <c r="O1815" i="2"/>
  <c r="T1815" i="2" s="1"/>
  <c r="N1815" i="2"/>
  <c r="T1814" i="2"/>
  <c r="S1814" i="2"/>
  <c r="R1814" i="2"/>
  <c r="Q1814" i="2"/>
  <c r="P1814" i="2"/>
  <c r="U1814" i="2" s="1"/>
  <c r="O1814" i="2"/>
  <c r="N1814" i="2"/>
  <c r="T1813" i="2"/>
  <c r="S1813" i="2"/>
  <c r="R1813" i="2"/>
  <c r="Q1813" i="2"/>
  <c r="P1813" i="2"/>
  <c r="U1813" i="2" s="1"/>
  <c r="O1813" i="2"/>
  <c r="N1813" i="2"/>
  <c r="S1812" i="2"/>
  <c r="R1812" i="2"/>
  <c r="Q1812" i="2"/>
  <c r="O1812" i="2"/>
  <c r="N1812" i="2"/>
  <c r="T1811" i="2"/>
  <c r="S1811" i="2"/>
  <c r="R1811" i="2"/>
  <c r="Q1811" i="2"/>
  <c r="P1811" i="2"/>
  <c r="U1811" i="2" s="1"/>
  <c r="O1811" i="2"/>
  <c r="N1811" i="2"/>
  <c r="T1810" i="2"/>
  <c r="S1810" i="2"/>
  <c r="R1810" i="2"/>
  <c r="Q1810" i="2"/>
  <c r="P1810" i="2"/>
  <c r="U1810" i="2" s="1"/>
  <c r="O1810" i="2"/>
  <c r="N1810" i="2"/>
  <c r="T1809" i="2"/>
  <c r="S1809" i="2"/>
  <c r="R1809" i="2"/>
  <c r="Q1809" i="2"/>
  <c r="P1809" i="2"/>
  <c r="U1809" i="2" s="1"/>
  <c r="O1809" i="2"/>
  <c r="N1809" i="2"/>
  <c r="T1808" i="2"/>
  <c r="S1808" i="2"/>
  <c r="R1808" i="2"/>
  <c r="Q1808" i="2"/>
  <c r="P1808" i="2"/>
  <c r="U1808" i="2" s="1"/>
  <c r="O1808" i="2"/>
  <c r="N1808" i="2"/>
  <c r="T1807" i="2"/>
  <c r="S1807" i="2"/>
  <c r="R1807" i="2"/>
  <c r="Q1807" i="2"/>
  <c r="P1807" i="2"/>
  <c r="U1807" i="2" s="1"/>
  <c r="O1807" i="2"/>
  <c r="N1807" i="2"/>
  <c r="T1806" i="2"/>
  <c r="S1806" i="2"/>
  <c r="R1806" i="2"/>
  <c r="Q1806" i="2"/>
  <c r="O1806" i="2"/>
  <c r="P1806" i="2" s="1"/>
  <c r="U1806" i="2" s="1"/>
  <c r="N1806" i="2"/>
  <c r="T1805" i="2"/>
  <c r="S1805" i="2"/>
  <c r="R1805" i="2"/>
  <c r="Q1805" i="2"/>
  <c r="P1805" i="2"/>
  <c r="U1805" i="2" s="1"/>
  <c r="O1805" i="2"/>
  <c r="N1805" i="2"/>
  <c r="T1804" i="2"/>
  <c r="S1804" i="2"/>
  <c r="R1804" i="2"/>
  <c r="Q1804" i="2"/>
  <c r="P1804" i="2"/>
  <c r="U1804" i="2" s="1"/>
  <c r="O1804" i="2"/>
  <c r="N1804" i="2"/>
  <c r="U1803" i="2"/>
  <c r="T1803" i="2"/>
  <c r="S1803" i="2"/>
  <c r="R1803" i="2"/>
  <c r="Q1803" i="2"/>
  <c r="P1803" i="2"/>
  <c r="O1803" i="2"/>
  <c r="N1803" i="2"/>
  <c r="T1802" i="2"/>
  <c r="S1802" i="2"/>
  <c r="R1802" i="2"/>
  <c r="Q1802" i="2"/>
  <c r="P1802" i="2"/>
  <c r="U1802" i="2" s="1"/>
  <c r="O1802" i="2"/>
  <c r="N1802" i="2"/>
  <c r="T1801" i="2"/>
  <c r="S1801" i="2"/>
  <c r="R1801" i="2"/>
  <c r="Q1801" i="2"/>
  <c r="P1801" i="2"/>
  <c r="U1801" i="2" s="1"/>
  <c r="O1801" i="2"/>
  <c r="N1801" i="2"/>
  <c r="S1800" i="2"/>
  <c r="R1800" i="2"/>
  <c r="Q1800" i="2"/>
  <c r="P1800" i="2"/>
  <c r="U1800" i="2" s="1"/>
  <c r="O1800" i="2"/>
  <c r="T1800" i="2" s="1"/>
  <c r="N1800" i="2"/>
  <c r="T1799" i="2"/>
  <c r="S1799" i="2"/>
  <c r="R1799" i="2"/>
  <c r="Q1799" i="2"/>
  <c r="P1799" i="2"/>
  <c r="U1799" i="2" s="1"/>
  <c r="O1799" i="2"/>
  <c r="N1799" i="2"/>
  <c r="T1798" i="2"/>
  <c r="S1798" i="2"/>
  <c r="R1798" i="2"/>
  <c r="Q1798" i="2"/>
  <c r="P1798" i="2"/>
  <c r="U1798" i="2" s="1"/>
  <c r="O1798" i="2"/>
  <c r="N1798" i="2"/>
  <c r="S1797" i="2"/>
  <c r="R1797" i="2"/>
  <c r="Q1797" i="2"/>
  <c r="P1797" i="2"/>
  <c r="U1797" i="2" s="1"/>
  <c r="O1797" i="2"/>
  <c r="T1797" i="2" s="1"/>
  <c r="N1797" i="2"/>
  <c r="T1796" i="2"/>
  <c r="S1796" i="2"/>
  <c r="R1796" i="2"/>
  <c r="Q1796" i="2"/>
  <c r="P1796" i="2"/>
  <c r="U1796" i="2" s="1"/>
  <c r="O1796" i="2"/>
  <c r="N1796" i="2"/>
  <c r="T1795" i="2"/>
  <c r="S1795" i="2"/>
  <c r="R1795" i="2"/>
  <c r="Q1795" i="2"/>
  <c r="P1795" i="2"/>
  <c r="U1795" i="2" s="1"/>
  <c r="O1795" i="2"/>
  <c r="N1795" i="2"/>
  <c r="S1794" i="2"/>
  <c r="R1794" i="2"/>
  <c r="Q1794" i="2"/>
  <c r="O1794" i="2"/>
  <c r="N1794" i="2"/>
  <c r="T1793" i="2"/>
  <c r="S1793" i="2"/>
  <c r="R1793" i="2"/>
  <c r="Q1793" i="2"/>
  <c r="P1793" i="2"/>
  <c r="U1793" i="2" s="1"/>
  <c r="O1793" i="2"/>
  <c r="N1793" i="2"/>
  <c r="T1792" i="2"/>
  <c r="S1792" i="2"/>
  <c r="R1792" i="2"/>
  <c r="Q1792" i="2"/>
  <c r="P1792" i="2"/>
  <c r="U1792" i="2" s="1"/>
  <c r="O1792" i="2"/>
  <c r="N1792" i="2"/>
  <c r="T1791" i="2"/>
  <c r="S1791" i="2"/>
  <c r="R1791" i="2"/>
  <c r="Q1791" i="2"/>
  <c r="P1791" i="2"/>
  <c r="U1791" i="2" s="1"/>
  <c r="O1791" i="2"/>
  <c r="N1791" i="2"/>
  <c r="T1790" i="2"/>
  <c r="S1790" i="2"/>
  <c r="R1790" i="2"/>
  <c r="Q1790" i="2"/>
  <c r="P1790" i="2"/>
  <c r="U1790" i="2" s="1"/>
  <c r="O1790" i="2"/>
  <c r="N1790" i="2"/>
  <c r="T1789" i="2"/>
  <c r="S1789" i="2"/>
  <c r="R1789" i="2"/>
  <c r="Q1789" i="2"/>
  <c r="P1789" i="2"/>
  <c r="U1789" i="2" s="1"/>
  <c r="O1789" i="2"/>
  <c r="N1789" i="2"/>
  <c r="U1788" i="2"/>
  <c r="T1788" i="2"/>
  <c r="S1788" i="2"/>
  <c r="R1788" i="2"/>
  <c r="Q1788" i="2"/>
  <c r="P1788" i="2"/>
  <c r="O1788" i="2"/>
  <c r="N1788" i="2"/>
  <c r="T1787" i="2"/>
  <c r="S1787" i="2"/>
  <c r="R1787" i="2"/>
  <c r="Q1787" i="2"/>
  <c r="P1787" i="2"/>
  <c r="U1787" i="2" s="1"/>
  <c r="O1787" i="2"/>
  <c r="N1787" i="2"/>
  <c r="T1786" i="2"/>
  <c r="S1786" i="2"/>
  <c r="R1786" i="2"/>
  <c r="Q1786" i="2"/>
  <c r="P1786" i="2"/>
  <c r="U1786" i="2" s="1"/>
  <c r="O1786" i="2"/>
  <c r="N1786" i="2"/>
  <c r="U1785" i="2"/>
  <c r="T1785" i="2"/>
  <c r="S1785" i="2"/>
  <c r="R1785" i="2"/>
  <c r="Q1785" i="2"/>
  <c r="P1785" i="2"/>
  <c r="O1785" i="2"/>
  <c r="N1785" i="2"/>
  <c r="T1784" i="2"/>
  <c r="S1784" i="2"/>
  <c r="R1784" i="2"/>
  <c r="Q1784" i="2"/>
  <c r="P1784" i="2"/>
  <c r="U1784" i="2" s="1"/>
  <c r="O1784" i="2"/>
  <c r="N1784" i="2"/>
  <c r="T1783" i="2"/>
  <c r="S1783" i="2"/>
  <c r="R1783" i="2"/>
  <c r="Q1783" i="2"/>
  <c r="P1783" i="2"/>
  <c r="U1783" i="2" s="1"/>
  <c r="O1783" i="2"/>
  <c r="N1783" i="2"/>
  <c r="S1782" i="2"/>
  <c r="R1782" i="2"/>
  <c r="Q1782" i="2"/>
  <c r="P1782" i="2"/>
  <c r="U1782" i="2" s="1"/>
  <c r="O1782" i="2"/>
  <c r="T1782" i="2" s="1"/>
  <c r="N1782" i="2"/>
  <c r="T1781" i="2"/>
  <c r="S1781" i="2"/>
  <c r="R1781" i="2"/>
  <c r="Q1781" i="2"/>
  <c r="P1781" i="2"/>
  <c r="U1781" i="2" s="1"/>
  <c r="O1781" i="2"/>
  <c r="N1781" i="2"/>
  <c r="T1780" i="2"/>
  <c r="S1780" i="2"/>
  <c r="R1780" i="2"/>
  <c r="Q1780" i="2"/>
  <c r="P1780" i="2"/>
  <c r="U1780" i="2" s="1"/>
  <c r="O1780" i="2"/>
  <c r="N1780" i="2"/>
  <c r="S1779" i="2"/>
  <c r="R1779" i="2"/>
  <c r="Q1779" i="2"/>
  <c r="P1779" i="2"/>
  <c r="U1779" i="2" s="1"/>
  <c r="O1779" i="2"/>
  <c r="T1779" i="2" s="1"/>
  <c r="N1779" i="2"/>
  <c r="T1778" i="2"/>
  <c r="S1778" i="2"/>
  <c r="R1778" i="2"/>
  <c r="Q1778" i="2"/>
  <c r="P1778" i="2"/>
  <c r="U1778" i="2" s="1"/>
  <c r="O1778" i="2"/>
  <c r="N1778" i="2"/>
  <c r="T1777" i="2"/>
  <c r="S1777" i="2"/>
  <c r="R1777" i="2"/>
  <c r="Q1777" i="2"/>
  <c r="P1777" i="2"/>
  <c r="U1777" i="2" s="1"/>
  <c r="O1777" i="2"/>
  <c r="N1777" i="2"/>
  <c r="S1776" i="2"/>
  <c r="R1776" i="2"/>
  <c r="Q1776" i="2"/>
  <c r="O1776" i="2"/>
  <c r="N1776" i="2"/>
  <c r="T1775" i="2"/>
  <c r="S1775" i="2"/>
  <c r="R1775" i="2"/>
  <c r="Q1775" i="2"/>
  <c r="P1775" i="2"/>
  <c r="U1775" i="2" s="1"/>
  <c r="O1775" i="2"/>
  <c r="N1775" i="2"/>
  <c r="T1774" i="2"/>
  <c r="S1774" i="2"/>
  <c r="R1774" i="2"/>
  <c r="Q1774" i="2"/>
  <c r="P1774" i="2"/>
  <c r="U1774" i="2" s="1"/>
  <c r="O1774" i="2"/>
  <c r="N1774" i="2"/>
  <c r="T1773" i="2"/>
  <c r="S1773" i="2"/>
  <c r="R1773" i="2"/>
  <c r="Q1773" i="2"/>
  <c r="P1773" i="2"/>
  <c r="U1773" i="2" s="1"/>
  <c r="O1773" i="2"/>
  <c r="N1773" i="2"/>
  <c r="T1772" i="2"/>
  <c r="S1772" i="2"/>
  <c r="R1772" i="2"/>
  <c r="Q1772" i="2"/>
  <c r="P1772" i="2"/>
  <c r="U1772" i="2" s="1"/>
  <c r="O1772" i="2"/>
  <c r="N1772" i="2"/>
  <c r="T1771" i="2"/>
  <c r="S1771" i="2"/>
  <c r="R1771" i="2"/>
  <c r="Q1771" i="2"/>
  <c r="P1771" i="2"/>
  <c r="U1771" i="2" s="1"/>
  <c r="O1771" i="2"/>
  <c r="N1771" i="2"/>
  <c r="T1770" i="2"/>
  <c r="S1770" i="2"/>
  <c r="R1770" i="2"/>
  <c r="Q1770" i="2"/>
  <c r="O1770" i="2"/>
  <c r="P1770" i="2" s="1"/>
  <c r="U1770" i="2" s="1"/>
  <c r="N1770" i="2"/>
  <c r="T1769" i="2"/>
  <c r="S1769" i="2"/>
  <c r="R1769" i="2"/>
  <c r="Q1769" i="2"/>
  <c r="P1769" i="2"/>
  <c r="U1769" i="2" s="1"/>
  <c r="O1769" i="2"/>
  <c r="N1769" i="2"/>
  <c r="T1768" i="2"/>
  <c r="S1768" i="2"/>
  <c r="R1768" i="2"/>
  <c r="Q1768" i="2"/>
  <c r="P1768" i="2"/>
  <c r="U1768" i="2" s="1"/>
  <c r="O1768" i="2"/>
  <c r="N1768" i="2"/>
  <c r="U1767" i="2"/>
  <c r="T1767" i="2"/>
  <c r="S1767" i="2"/>
  <c r="R1767" i="2"/>
  <c r="Q1767" i="2"/>
  <c r="P1767" i="2"/>
  <c r="O1767" i="2"/>
  <c r="N1767" i="2"/>
  <c r="T1766" i="2"/>
  <c r="S1766" i="2"/>
  <c r="R1766" i="2"/>
  <c r="Q1766" i="2"/>
  <c r="P1766" i="2"/>
  <c r="U1766" i="2" s="1"/>
  <c r="O1766" i="2"/>
  <c r="N1766" i="2"/>
  <c r="T1765" i="2"/>
  <c r="S1765" i="2"/>
  <c r="R1765" i="2"/>
  <c r="Q1765" i="2"/>
  <c r="P1765" i="2"/>
  <c r="U1765" i="2" s="1"/>
  <c r="O1765" i="2"/>
  <c r="N1765" i="2"/>
  <c r="T1764" i="2"/>
  <c r="S1764" i="2"/>
  <c r="R1764" i="2"/>
  <c r="Q1764" i="2"/>
  <c r="P1764" i="2"/>
  <c r="U1764" i="2" s="1"/>
  <c r="O1764" i="2"/>
  <c r="N1764" i="2"/>
  <c r="T1763" i="2"/>
  <c r="S1763" i="2"/>
  <c r="R1763" i="2"/>
  <c r="Q1763" i="2"/>
  <c r="P1763" i="2"/>
  <c r="U1763" i="2" s="1"/>
  <c r="O1763" i="2"/>
  <c r="N1763" i="2"/>
  <c r="T1762" i="2"/>
  <c r="S1762" i="2"/>
  <c r="R1762" i="2"/>
  <c r="Q1762" i="2"/>
  <c r="P1762" i="2"/>
  <c r="U1762" i="2" s="1"/>
  <c r="O1762" i="2"/>
  <c r="N1762" i="2"/>
  <c r="S1761" i="2"/>
  <c r="R1761" i="2"/>
  <c r="Q1761" i="2"/>
  <c r="P1761" i="2"/>
  <c r="U1761" i="2" s="1"/>
  <c r="O1761" i="2"/>
  <c r="T1761" i="2" s="1"/>
  <c r="N1761" i="2"/>
  <c r="T1760" i="2"/>
  <c r="S1760" i="2"/>
  <c r="R1760" i="2"/>
  <c r="Q1760" i="2"/>
  <c r="P1760" i="2"/>
  <c r="U1760" i="2" s="1"/>
  <c r="O1760" i="2"/>
  <c r="N1760" i="2"/>
  <c r="T1759" i="2"/>
  <c r="S1759" i="2"/>
  <c r="R1759" i="2"/>
  <c r="Q1759" i="2"/>
  <c r="P1759" i="2"/>
  <c r="U1759" i="2" s="1"/>
  <c r="O1759" i="2"/>
  <c r="N1759" i="2"/>
  <c r="S1758" i="2"/>
  <c r="R1758" i="2"/>
  <c r="Q1758" i="2"/>
  <c r="O1758" i="2"/>
  <c r="N1758" i="2"/>
  <c r="T1757" i="2"/>
  <c r="S1757" i="2"/>
  <c r="R1757" i="2"/>
  <c r="Q1757" i="2"/>
  <c r="P1757" i="2"/>
  <c r="U1757" i="2" s="1"/>
  <c r="O1757" i="2"/>
  <c r="N1757" i="2"/>
  <c r="T1756" i="2"/>
  <c r="S1756" i="2"/>
  <c r="R1756" i="2"/>
  <c r="Q1756" i="2"/>
  <c r="P1756" i="2"/>
  <c r="U1756" i="2" s="1"/>
  <c r="O1756" i="2"/>
  <c r="N1756" i="2"/>
  <c r="S1755" i="2"/>
  <c r="R1755" i="2"/>
  <c r="Q1755" i="2"/>
  <c r="O1755" i="2"/>
  <c r="P1755" i="2" s="1"/>
  <c r="U1755" i="2" s="1"/>
  <c r="N1755" i="2"/>
  <c r="T1754" i="2"/>
  <c r="S1754" i="2"/>
  <c r="R1754" i="2"/>
  <c r="Q1754" i="2"/>
  <c r="P1754" i="2"/>
  <c r="U1754" i="2" s="1"/>
  <c r="O1754" i="2"/>
  <c r="N1754" i="2"/>
  <c r="T1753" i="2"/>
  <c r="S1753" i="2"/>
  <c r="R1753" i="2"/>
  <c r="Q1753" i="2"/>
  <c r="P1753" i="2"/>
  <c r="U1753" i="2" s="1"/>
  <c r="O1753" i="2"/>
  <c r="N1753" i="2"/>
  <c r="T1752" i="2"/>
  <c r="S1752" i="2"/>
  <c r="R1752" i="2"/>
  <c r="Q1752" i="2"/>
  <c r="O1752" i="2"/>
  <c r="P1752" i="2" s="1"/>
  <c r="U1752" i="2" s="1"/>
  <c r="N1752" i="2"/>
  <c r="T1751" i="2"/>
  <c r="S1751" i="2"/>
  <c r="R1751" i="2"/>
  <c r="Q1751" i="2"/>
  <c r="P1751" i="2"/>
  <c r="U1751" i="2" s="1"/>
  <c r="O1751" i="2"/>
  <c r="N1751" i="2"/>
  <c r="T1750" i="2"/>
  <c r="S1750" i="2"/>
  <c r="R1750" i="2"/>
  <c r="Q1750" i="2"/>
  <c r="P1750" i="2"/>
  <c r="U1750" i="2" s="1"/>
  <c r="O1750" i="2"/>
  <c r="N1750" i="2"/>
  <c r="T1749" i="2"/>
  <c r="S1749" i="2"/>
  <c r="R1749" i="2"/>
  <c r="Q1749" i="2"/>
  <c r="O1749" i="2"/>
  <c r="P1749" i="2" s="1"/>
  <c r="U1749" i="2" s="1"/>
  <c r="N1749" i="2"/>
  <c r="T1748" i="2"/>
  <c r="S1748" i="2"/>
  <c r="R1748" i="2"/>
  <c r="Q1748" i="2"/>
  <c r="P1748" i="2"/>
  <c r="U1748" i="2" s="1"/>
  <c r="O1748" i="2"/>
  <c r="N1748" i="2"/>
  <c r="T1747" i="2"/>
  <c r="S1747" i="2"/>
  <c r="R1747" i="2"/>
  <c r="Q1747" i="2"/>
  <c r="P1747" i="2"/>
  <c r="U1747" i="2" s="1"/>
  <c r="O1747" i="2"/>
  <c r="N1747" i="2"/>
  <c r="U1746" i="2"/>
  <c r="T1746" i="2"/>
  <c r="S1746" i="2"/>
  <c r="R1746" i="2"/>
  <c r="Q1746" i="2"/>
  <c r="O1746" i="2"/>
  <c r="P1746" i="2" s="1"/>
  <c r="N1746" i="2"/>
  <c r="T1745" i="2"/>
  <c r="S1745" i="2"/>
  <c r="R1745" i="2"/>
  <c r="Q1745" i="2"/>
  <c r="P1745" i="2"/>
  <c r="U1745" i="2" s="1"/>
  <c r="O1745" i="2"/>
  <c r="N1745" i="2"/>
  <c r="T1744" i="2"/>
  <c r="S1744" i="2"/>
  <c r="R1744" i="2"/>
  <c r="Q1744" i="2"/>
  <c r="P1744" i="2"/>
  <c r="U1744" i="2" s="1"/>
  <c r="O1744" i="2"/>
  <c r="N1744" i="2"/>
  <c r="U1743" i="2"/>
  <c r="T1743" i="2"/>
  <c r="S1743" i="2"/>
  <c r="R1743" i="2"/>
  <c r="Q1743" i="2"/>
  <c r="O1743" i="2"/>
  <c r="P1743" i="2" s="1"/>
  <c r="N1743" i="2"/>
  <c r="T1742" i="2"/>
  <c r="S1742" i="2"/>
  <c r="R1742" i="2"/>
  <c r="Q1742" i="2"/>
  <c r="P1742" i="2"/>
  <c r="U1742" i="2" s="1"/>
  <c r="O1742" i="2"/>
  <c r="N1742" i="2"/>
  <c r="T1741" i="2"/>
  <c r="S1741" i="2"/>
  <c r="R1741" i="2"/>
  <c r="Q1741" i="2"/>
  <c r="P1741" i="2"/>
  <c r="U1741" i="2" s="1"/>
  <c r="O1741" i="2"/>
  <c r="N1741" i="2"/>
  <c r="T1740" i="2"/>
  <c r="S1740" i="2"/>
  <c r="R1740" i="2"/>
  <c r="Q1740" i="2"/>
  <c r="O1740" i="2"/>
  <c r="P1740" i="2" s="1"/>
  <c r="U1740" i="2" s="1"/>
  <c r="N1740" i="2"/>
  <c r="T1739" i="2"/>
  <c r="S1739" i="2"/>
  <c r="R1739" i="2"/>
  <c r="Q1739" i="2"/>
  <c r="P1739" i="2"/>
  <c r="U1739" i="2" s="1"/>
  <c r="O1739" i="2"/>
  <c r="N1739" i="2"/>
  <c r="T1738" i="2"/>
  <c r="S1738" i="2"/>
  <c r="R1738" i="2"/>
  <c r="Q1738" i="2"/>
  <c r="P1738" i="2"/>
  <c r="U1738" i="2" s="1"/>
  <c r="O1738" i="2"/>
  <c r="N1738" i="2"/>
  <c r="T1737" i="2"/>
  <c r="S1737" i="2"/>
  <c r="R1737" i="2"/>
  <c r="Q1737" i="2"/>
  <c r="O1737" i="2"/>
  <c r="P1737" i="2" s="1"/>
  <c r="U1737" i="2" s="1"/>
  <c r="N1737" i="2"/>
  <c r="T1736" i="2"/>
  <c r="S1736" i="2"/>
  <c r="R1736" i="2"/>
  <c r="Q1736" i="2"/>
  <c r="P1736" i="2"/>
  <c r="U1736" i="2" s="1"/>
  <c r="O1736" i="2"/>
  <c r="N1736" i="2"/>
  <c r="T1735" i="2"/>
  <c r="S1735" i="2"/>
  <c r="R1735" i="2"/>
  <c r="Q1735" i="2"/>
  <c r="P1735" i="2"/>
  <c r="U1735" i="2" s="1"/>
  <c r="O1735" i="2"/>
  <c r="N1735" i="2"/>
  <c r="U1734" i="2"/>
  <c r="T1734" i="2"/>
  <c r="S1734" i="2"/>
  <c r="R1734" i="2"/>
  <c r="Q1734" i="2"/>
  <c r="O1734" i="2"/>
  <c r="P1734" i="2" s="1"/>
  <c r="N1734" i="2"/>
  <c r="T1733" i="2"/>
  <c r="S1733" i="2"/>
  <c r="R1733" i="2"/>
  <c r="Q1733" i="2"/>
  <c r="P1733" i="2"/>
  <c r="U1733" i="2" s="1"/>
  <c r="O1733" i="2"/>
  <c r="N1733" i="2"/>
  <c r="T1732" i="2"/>
  <c r="S1732" i="2"/>
  <c r="R1732" i="2"/>
  <c r="Q1732" i="2"/>
  <c r="P1732" i="2"/>
  <c r="U1732" i="2" s="1"/>
  <c r="O1732" i="2"/>
  <c r="N1732" i="2"/>
  <c r="U1731" i="2"/>
  <c r="T1731" i="2"/>
  <c r="S1731" i="2"/>
  <c r="R1731" i="2"/>
  <c r="Q1731" i="2"/>
  <c r="O1731" i="2"/>
  <c r="P1731" i="2" s="1"/>
  <c r="N1731" i="2"/>
  <c r="T1730" i="2"/>
  <c r="S1730" i="2"/>
  <c r="R1730" i="2"/>
  <c r="Q1730" i="2"/>
  <c r="P1730" i="2"/>
  <c r="U1730" i="2" s="1"/>
  <c r="O1730" i="2"/>
  <c r="N1730" i="2"/>
  <c r="T1729" i="2"/>
  <c r="S1729" i="2"/>
  <c r="R1729" i="2"/>
  <c r="Q1729" i="2"/>
  <c r="P1729" i="2"/>
  <c r="U1729" i="2" s="1"/>
  <c r="O1729" i="2"/>
  <c r="N1729" i="2"/>
  <c r="T1728" i="2"/>
  <c r="S1728" i="2"/>
  <c r="R1728" i="2"/>
  <c r="Q1728" i="2"/>
  <c r="O1728" i="2"/>
  <c r="P1728" i="2" s="1"/>
  <c r="U1728" i="2" s="1"/>
  <c r="N1728" i="2"/>
  <c r="T1727" i="2"/>
  <c r="S1727" i="2"/>
  <c r="R1727" i="2"/>
  <c r="Q1727" i="2"/>
  <c r="P1727" i="2"/>
  <c r="U1727" i="2" s="1"/>
  <c r="O1727" i="2"/>
  <c r="N1727" i="2"/>
  <c r="T1726" i="2"/>
  <c r="S1726" i="2"/>
  <c r="R1726" i="2"/>
  <c r="Q1726" i="2"/>
  <c r="P1726" i="2"/>
  <c r="U1726" i="2" s="1"/>
  <c r="O1726" i="2"/>
  <c r="N1726" i="2"/>
  <c r="U1725" i="2"/>
  <c r="T1725" i="2"/>
  <c r="S1725" i="2"/>
  <c r="R1725" i="2"/>
  <c r="Q1725" i="2"/>
  <c r="P1725" i="2"/>
  <c r="O1725" i="2"/>
  <c r="N1725" i="2"/>
  <c r="T1724" i="2"/>
  <c r="S1724" i="2"/>
  <c r="R1724" i="2"/>
  <c r="Q1724" i="2"/>
  <c r="P1724" i="2"/>
  <c r="U1724" i="2" s="1"/>
  <c r="O1724" i="2"/>
  <c r="N1724" i="2"/>
  <c r="T1723" i="2"/>
  <c r="S1723" i="2"/>
  <c r="R1723" i="2"/>
  <c r="Q1723" i="2"/>
  <c r="P1723" i="2"/>
  <c r="U1723" i="2" s="1"/>
  <c r="O1723" i="2"/>
  <c r="N1723" i="2"/>
  <c r="U1722" i="2"/>
  <c r="T1722" i="2"/>
  <c r="S1722" i="2"/>
  <c r="R1722" i="2"/>
  <c r="Q1722" i="2"/>
  <c r="P1722" i="2"/>
  <c r="O1722" i="2"/>
  <c r="N1722" i="2"/>
  <c r="T1721" i="2"/>
  <c r="S1721" i="2"/>
  <c r="R1721" i="2"/>
  <c r="Q1721" i="2"/>
  <c r="P1721" i="2"/>
  <c r="U1721" i="2" s="1"/>
  <c r="O1721" i="2"/>
  <c r="N1721" i="2"/>
  <c r="T1720" i="2"/>
  <c r="S1720" i="2"/>
  <c r="R1720" i="2"/>
  <c r="Q1720" i="2"/>
  <c r="P1720" i="2"/>
  <c r="U1720" i="2" s="1"/>
  <c r="O1720" i="2"/>
  <c r="N1720" i="2"/>
  <c r="U1719" i="2"/>
  <c r="T1719" i="2"/>
  <c r="S1719" i="2"/>
  <c r="R1719" i="2"/>
  <c r="Q1719" i="2"/>
  <c r="P1719" i="2"/>
  <c r="O1719" i="2"/>
  <c r="N1719" i="2"/>
  <c r="T1718" i="2"/>
  <c r="S1718" i="2"/>
  <c r="R1718" i="2"/>
  <c r="Q1718" i="2"/>
  <c r="P1718" i="2"/>
  <c r="U1718" i="2" s="1"/>
  <c r="O1718" i="2"/>
  <c r="N1718" i="2"/>
  <c r="T1717" i="2"/>
  <c r="S1717" i="2"/>
  <c r="R1717" i="2"/>
  <c r="Q1717" i="2"/>
  <c r="P1717" i="2"/>
  <c r="U1717" i="2" s="1"/>
  <c r="O1717" i="2"/>
  <c r="N1717" i="2"/>
  <c r="U1716" i="2"/>
  <c r="T1716" i="2"/>
  <c r="S1716" i="2"/>
  <c r="R1716" i="2"/>
  <c r="Q1716" i="2"/>
  <c r="P1716" i="2"/>
  <c r="O1716" i="2"/>
  <c r="N1716" i="2"/>
  <c r="T1715" i="2"/>
  <c r="S1715" i="2"/>
  <c r="R1715" i="2"/>
  <c r="Q1715" i="2"/>
  <c r="P1715" i="2"/>
  <c r="U1715" i="2" s="1"/>
  <c r="O1715" i="2"/>
  <c r="N1715" i="2"/>
  <c r="T1714" i="2"/>
  <c r="S1714" i="2"/>
  <c r="R1714" i="2"/>
  <c r="Q1714" i="2"/>
  <c r="P1714" i="2"/>
  <c r="U1714" i="2" s="1"/>
  <c r="O1714" i="2"/>
  <c r="N1714" i="2"/>
  <c r="U1713" i="2"/>
  <c r="T1713" i="2"/>
  <c r="S1713" i="2"/>
  <c r="R1713" i="2"/>
  <c r="Q1713" i="2"/>
  <c r="P1713" i="2"/>
  <c r="O1713" i="2"/>
  <c r="N1713" i="2"/>
  <c r="T1712" i="2"/>
  <c r="S1712" i="2"/>
  <c r="R1712" i="2"/>
  <c r="Q1712" i="2"/>
  <c r="P1712" i="2"/>
  <c r="U1712" i="2" s="1"/>
  <c r="O1712" i="2"/>
  <c r="N1712" i="2"/>
  <c r="T1711" i="2"/>
  <c r="S1711" i="2"/>
  <c r="R1711" i="2"/>
  <c r="Q1711" i="2"/>
  <c r="P1711" i="2"/>
  <c r="U1711" i="2" s="1"/>
  <c r="O1711" i="2"/>
  <c r="N1711" i="2"/>
  <c r="U1710" i="2"/>
  <c r="T1710" i="2"/>
  <c r="S1710" i="2"/>
  <c r="R1710" i="2"/>
  <c r="Q1710" i="2"/>
  <c r="P1710" i="2"/>
  <c r="O1710" i="2"/>
  <c r="N1710" i="2"/>
  <c r="T1709" i="2"/>
  <c r="S1709" i="2"/>
  <c r="R1709" i="2"/>
  <c r="Q1709" i="2"/>
  <c r="P1709" i="2"/>
  <c r="U1709" i="2" s="1"/>
  <c r="O1709" i="2"/>
  <c r="N1709" i="2"/>
  <c r="T1708" i="2"/>
  <c r="S1708" i="2"/>
  <c r="R1708" i="2"/>
  <c r="Q1708" i="2"/>
  <c r="P1708" i="2"/>
  <c r="U1708" i="2" s="1"/>
  <c r="O1708" i="2"/>
  <c r="N1708" i="2"/>
  <c r="U1707" i="2"/>
  <c r="T1707" i="2"/>
  <c r="S1707" i="2"/>
  <c r="R1707" i="2"/>
  <c r="Q1707" i="2"/>
  <c r="P1707" i="2"/>
  <c r="O1707" i="2"/>
  <c r="N1707" i="2"/>
  <c r="T1706" i="2"/>
  <c r="S1706" i="2"/>
  <c r="R1706" i="2"/>
  <c r="Q1706" i="2"/>
  <c r="P1706" i="2"/>
  <c r="U1706" i="2" s="1"/>
  <c r="O1706" i="2"/>
  <c r="N1706" i="2"/>
  <c r="T1705" i="2"/>
  <c r="S1705" i="2"/>
  <c r="R1705" i="2"/>
  <c r="Q1705" i="2"/>
  <c r="P1705" i="2"/>
  <c r="U1705" i="2" s="1"/>
  <c r="O1705" i="2"/>
  <c r="N1705" i="2"/>
  <c r="U1704" i="2"/>
  <c r="T1704" i="2"/>
  <c r="S1704" i="2"/>
  <c r="R1704" i="2"/>
  <c r="Q1704" i="2"/>
  <c r="P1704" i="2"/>
  <c r="O1704" i="2"/>
  <c r="N1704" i="2"/>
  <c r="T1703" i="2"/>
  <c r="S1703" i="2"/>
  <c r="R1703" i="2"/>
  <c r="Q1703" i="2"/>
  <c r="P1703" i="2"/>
  <c r="U1703" i="2" s="1"/>
  <c r="O1703" i="2"/>
  <c r="N1703" i="2"/>
  <c r="T1702" i="2"/>
  <c r="S1702" i="2"/>
  <c r="R1702" i="2"/>
  <c r="Q1702" i="2"/>
  <c r="P1702" i="2"/>
  <c r="U1702" i="2" s="1"/>
  <c r="O1702" i="2"/>
  <c r="N1702" i="2"/>
  <c r="U1701" i="2"/>
  <c r="T1701" i="2"/>
  <c r="S1701" i="2"/>
  <c r="R1701" i="2"/>
  <c r="Q1701" i="2"/>
  <c r="P1701" i="2"/>
  <c r="O1701" i="2"/>
  <c r="N1701" i="2"/>
  <c r="T1700" i="2"/>
  <c r="S1700" i="2"/>
  <c r="R1700" i="2"/>
  <c r="Q1700" i="2"/>
  <c r="P1700" i="2"/>
  <c r="U1700" i="2" s="1"/>
  <c r="O1700" i="2"/>
  <c r="N1700" i="2"/>
  <c r="T1699" i="2"/>
  <c r="S1699" i="2"/>
  <c r="R1699" i="2"/>
  <c r="Q1699" i="2"/>
  <c r="P1699" i="2"/>
  <c r="U1699" i="2" s="1"/>
  <c r="O1699" i="2"/>
  <c r="N1699" i="2"/>
  <c r="U1698" i="2"/>
  <c r="T1698" i="2"/>
  <c r="S1698" i="2"/>
  <c r="R1698" i="2"/>
  <c r="Q1698" i="2"/>
  <c r="P1698" i="2"/>
  <c r="O1698" i="2"/>
  <c r="N1698" i="2"/>
  <c r="T1697" i="2"/>
  <c r="S1697" i="2"/>
  <c r="R1697" i="2"/>
  <c r="Q1697" i="2"/>
  <c r="P1697" i="2"/>
  <c r="U1697" i="2" s="1"/>
  <c r="O1697" i="2"/>
  <c r="N1697" i="2"/>
  <c r="T1696" i="2"/>
  <c r="S1696" i="2"/>
  <c r="R1696" i="2"/>
  <c r="Q1696" i="2"/>
  <c r="P1696" i="2"/>
  <c r="U1696" i="2" s="1"/>
  <c r="O1696" i="2"/>
  <c r="N1696" i="2"/>
  <c r="U1695" i="2"/>
  <c r="T1695" i="2"/>
  <c r="S1695" i="2"/>
  <c r="R1695" i="2"/>
  <c r="Q1695" i="2"/>
  <c r="P1695" i="2"/>
  <c r="O1695" i="2"/>
  <c r="N1695" i="2"/>
  <c r="T1694" i="2"/>
  <c r="S1694" i="2"/>
  <c r="R1694" i="2"/>
  <c r="Q1694" i="2"/>
  <c r="P1694" i="2"/>
  <c r="U1694" i="2" s="1"/>
  <c r="O1694" i="2"/>
  <c r="N1694" i="2"/>
  <c r="T1693" i="2"/>
  <c r="S1693" i="2"/>
  <c r="R1693" i="2"/>
  <c r="Q1693" i="2"/>
  <c r="P1693" i="2"/>
  <c r="U1693" i="2" s="1"/>
  <c r="O1693" i="2"/>
  <c r="N1693" i="2"/>
  <c r="U1692" i="2"/>
  <c r="T1692" i="2"/>
  <c r="S1692" i="2"/>
  <c r="R1692" i="2"/>
  <c r="Q1692" i="2"/>
  <c r="P1692" i="2"/>
  <c r="O1692" i="2"/>
  <c r="N1692" i="2"/>
  <c r="T1691" i="2"/>
  <c r="S1691" i="2"/>
  <c r="R1691" i="2"/>
  <c r="Q1691" i="2"/>
  <c r="P1691" i="2"/>
  <c r="U1691" i="2" s="1"/>
  <c r="O1691" i="2"/>
  <c r="N1691" i="2"/>
  <c r="T1690" i="2"/>
  <c r="S1690" i="2"/>
  <c r="R1690" i="2"/>
  <c r="Q1690" i="2"/>
  <c r="P1690" i="2"/>
  <c r="U1690" i="2" s="1"/>
  <c r="O1690" i="2"/>
  <c r="N1690" i="2"/>
  <c r="U1689" i="2"/>
  <c r="T1689" i="2"/>
  <c r="S1689" i="2"/>
  <c r="R1689" i="2"/>
  <c r="Q1689" i="2"/>
  <c r="P1689" i="2"/>
  <c r="O1689" i="2"/>
  <c r="N1689" i="2"/>
  <c r="T1688" i="2"/>
  <c r="S1688" i="2"/>
  <c r="R1688" i="2"/>
  <c r="Q1688" i="2"/>
  <c r="P1688" i="2"/>
  <c r="U1688" i="2" s="1"/>
  <c r="O1688" i="2"/>
  <c r="N1688" i="2"/>
  <c r="T1687" i="2"/>
  <c r="S1687" i="2"/>
  <c r="R1687" i="2"/>
  <c r="Q1687" i="2"/>
  <c r="P1687" i="2"/>
  <c r="U1687" i="2" s="1"/>
  <c r="O1687" i="2"/>
  <c r="N1687" i="2"/>
  <c r="U1686" i="2"/>
  <c r="T1686" i="2"/>
  <c r="S1686" i="2"/>
  <c r="R1686" i="2"/>
  <c r="Q1686" i="2"/>
  <c r="P1686" i="2"/>
  <c r="O1686" i="2"/>
  <c r="N1686" i="2"/>
  <c r="T1685" i="2"/>
  <c r="S1685" i="2"/>
  <c r="R1685" i="2"/>
  <c r="Q1685" i="2"/>
  <c r="P1685" i="2"/>
  <c r="U1685" i="2" s="1"/>
  <c r="O1685" i="2"/>
  <c r="N1685" i="2"/>
  <c r="T1684" i="2"/>
  <c r="S1684" i="2"/>
  <c r="R1684" i="2"/>
  <c r="Q1684" i="2"/>
  <c r="P1684" i="2"/>
  <c r="U1684" i="2" s="1"/>
  <c r="O1684" i="2"/>
  <c r="N1684" i="2"/>
  <c r="U1683" i="2"/>
  <c r="T1683" i="2"/>
  <c r="S1683" i="2"/>
  <c r="R1683" i="2"/>
  <c r="Q1683" i="2"/>
  <c r="P1683" i="2"/>
  <c r="O1683" i="2"/>
  <c r="N1683" i="2"/>
  <c r="T1682" i="2"/>
  <c r="S1682" i="2"/>
  <c r="R1682" i="2"/>
  <c r="Q1682" i="2"/>
  <c r="P1682" i="2"/>
  <c r="U1682" i="2" s="1"/>
  <c r="O1682" i="2"/>
  <c r="N1682" i="2"/>
  <c r="T1681" i="2"/>
  <c r="S1681" i="2"/>
  <c r="R1681" i="2"/>
  <c r="Q1681" i="2"/>
  <c r="P1681" i="2"/>
  <c r="U1681" i="2" s="1"/>
  <c r="O1681" i="2"/>
  <c r="N1681" i="2"/>
  <c r="U1680" i="2"/>
  <c r="T1680" i="2"/>
  <c r="S1680" i="2"/>
  <c r="R1680" i="2"/>
  <c r="Q1680" i="2"/>
  <c r="P1680" i="2"/>
  <c r="O1680" i="2"/>
  <c r="N1680" i="2"/>
  <c r="T1679" i="2"/>
  <c r="S1679" i="2"/>
  <c r="R1679" i="2"/>
  <c r="Q1679" i="2"/>
  <c r="P1679" i="2"/>
  <c r="U1679" i="2" s="1"/>
  <c r="O1679" i="2"/>
  <c r="N1679" i="2"/>
  <c r="T1678" i="2"/>
  <c r="S1678" i="2"/>
  <c r="R1678" i="2"/>
  <c r="Q1678" i="2"/>
  <c r="P1678" i="2"/>
  <c r="U1678" i="2" s="1"/>
  <c r="O1678" i="2"/>
  <c r="N1678" i="2"/>
  <c r="U1677" i="2"/>
  <c r="T1677" i="2"/>
  <c r="S1677" i="2"/>
  <c r="R1677" i="2"/>
  <c r="Q1677" i="2"/>
  <c r="P1677" i="2"/>
  <c r="O1677" i="2"/>
  <c r="N1677" i="2"/>
  <c r="T1676" i="2"/>
  <c r="S1676" i="2"/>
  <c r="R1676" i="2"/>
  <c r="Q1676" i="2"/>
  <c r="P1676" i="2"/>
  <c r="U1676" i="2" s="1"/>
  <c r="O1676" i="2"/>
  <c r="N1676" i="2"/>
  <c r="T1675" i="2"/>
  <c r="S1675" i="2"/>
  <c r="R1675" i="2"/>
  <c r="Q1675" i="2"/>
  <c r="P1675" i="2"/>
  <c r="U1675" i="2" s="1"/>
  <c r="O1675" i="2"/>
  <c r="N1675" i="2"/>
  <c r="U1674" i="2"/>
  <c r="T1674" i="2"/>
  <c r="S1674" i="2"/>
  <c r="R1674" i="2"/>
  <c r="Q1674" i="2"/>
  <c r="P1674" i="2"/>
  <c r="O1674" i="2"/>
  <c r="N1674" i="2"/>
  <c r="T1673" i="2"/>
  <c r="S1673" i="2"/>
  <c r="R1673" i="2"/>
  <c r="Q1673" i="2"/>
  <c r="P1673" i="2"/>
  <c r="U1673" i="2" s="1"/>
  <c r="O1673" i="2"/>
  <c r="N1673" i="2"/>
  <c r="T1672" i="2"/>
  <c r="S1672" i="2"/>
  <c r="R1672" i="2"/>
  <c r="Q1672" i="2"/>
  <c r="P1672" i="2"/>
  <c r="U1672" i="2" s="1"/>
  <c r="O1672" i="2"/>
  <c r="N1672" i="2"/>
  <c r="U1671" i="2"/>
  <c r="T1671" i="2"/>
  <c r="S1671" i="2"/>
  <c r="R1671" i="2"/>
  <c r="Q1671" i="2"/>
  <c r="P1671" i="2"/>
  <c r="O1671" i="2"/>
  <c r="N1671" i="2"/>
  <c r="T1670" i="2"/>
  <c r="S1670" i="2"/>
  <c r="R1670" i="2"/>
  <c r="Q1670" i="2"/>
  <c r="P1670" i="2"/>
  <c r="U1670" i="2" s="1"/>
  <c r="O1670" i="2"/>
  <c r="N1670" i="2"/>
  <c r="T1669" i="2"/>
  <c r="S1669" i="2"/>
  <c r="R1669" i="2"/>
  <c r="Q1669" i="2"/>
  <c r="P1669" i="2"/>
  <c r="U1669" i="2" s="1"/>
  <c r="O1669" i="2"/>
  <c r="N1669" i="2"/>
  <c r="U1668" i="2"/>
  <c r="T1668" i="2"/>
  <c r="S1668" i="2"/>
  <c r="R1668" i="2"/>
  <c r="Q1668" i="2"/>
  <c r="P1668" i="2"/>
  <c r="O1668" i="2"/>
  <c r="N1668" i="2"/>
  <c r="T1667" i="2"/>
  <c r="S1667" i="2"/>
  <c r="R1667" i="2"/>
  <c r="Q1667" i="2"/>
  <c r="P1667" i="2"/>
  <c r="U1667" i="2" s="1"/>
  <c r="O1667" i="2"/>
  <c r="N1667" i="2"/>
  <c r="T1666" i="2"/>
  <c r="S1666" i="2"/>
  <c r="R1666" i="2"/>
  <c r="Q1666" i="2"/>
  <c r="P1666" i="2"/>
  <c r="U1666" i="2" s="1"/>
  <c r="O1666" i="2"/>
  <c r="N1666" i="2"/>
  <c r="U1665" i="2"/>
  <c r="T1665" i="2"/>
  <c r="S1665" i="2"/>
  <c r="R1665" i="2"/>
  <c r="Q1665" i="2"/>
  <c r="P1665" i="2"/>
  <c r="O1665" i="2"/>
  <c r="N1665" i="2"/>
  <c r="T1664" i="2"/>
  <c r="S1664" i="2"/>
  <c r="R1664" i="2"/>
  <c r="Q1664" i="2"/>
  <c r="P1664" i="2"/>
  <c r="U1664" i="2" s="1"/>
  <c r="O1664" i="2"/>
  <c r="N1664" i="2"/>
  <c r="T1663" i="2"/>
  <c r="S1663" i="2"/>
  <c r="R1663" i="2"/>
  <c r="Q1663" i="2"/>
  <c r="P1663" i="2"/>
  <c r="U1663" i="2" s="1"/>
  <c r="O1663" i="2"/>
  <c r="N1663" i="2"/>
  <c r="U1662" i="2"/>
  <c r="T1662" i="2"/>
  <c r="S1662" i="2"/>
  <c r="R1662" i="2"/>
  <c r="Q1662" i="2"/>
  <c r="P1662" i="2"/>
  <c r="O1662" i="2"/>
  <c r="N1662" i="2"/>
  <c r="T1661" i="2"/>
  <c r="S1661" i="2"/>
  <c r="R1661" i="2"/>
  <c r="Q1661" i="2"/>
  <c r="P1661" i="2"/>
  <c r="U1661" i="2" s="1"/>
  <c r="O1661" i="2"/>
  <c r="N1661" i="2"/>
  <c r="T1660" i="2"/>
  <c r="S1660" i="2"/>
  <c r="R1660" i="2"/>
  <c r="Q1660" i="2"/>
  <c r="P1660" i="2"/>
  <c r="U1660" i="2" s="1"/>
  <c r="O1660" i="2"/>
  <c r="N1660" i="2"/>
  <c r="U1659" i="2"/>
  <c r="T1659" i="2"/>
  <c r="S1659" i="2"/>
  <c r="R1659" i="2"/>
  <c r="Q1659" i="2"/>
  <c r="P1659" i="2"/>
  <c r="O1659" i="2"/>
  <c r="N1659" i="2"/>
  <c r="T1658" i="2"/>
  <c r="S1658" i="2"/>
  <c r="R1658" i="2"/>
  <c r="Q1658" i="2"/>
  <c r="P1658" i="2"/>
  <c r="U1658" i="2" s="1"/>
  <c r="O1658" i="2"/>
  <c r="N1658" i="2"/>
  <c r="T1657" i="2"/>
  <c r="S1657" i="2"/>
  <c r="R1657" i="2"/>
  <c r="Q1657" i="2"/>
  <c r="P1657" i="2"/>
  <c r="U1657" i="2" s="1"/>
  <c r="O1657" i="2"/>
  <c r="N1657" i="2"/>
  <c r="U1656" i="2"/>
  <c r="T1656" i="2"/>
  <c r="S1656" i="2"/>
  <c r="R1656" i="2"/>
  <c r="Q1656" i="2"/>
  <c r="P1656" i="2"/>
  <c r="O1656" i="2"/>
  <c r="N1656" i="2"/>
  <c r="T1655" i="2"/>
  <c r="S1655" i="2"/>
  <c r="R1655" i="2"/>
  <c r="Q1655" i="2"/>
  <c r="P1655" i="2"/>
  <c r="U1655" i="2" s="1"/>
  <c r="O1655" i="2"/>
  <c r="N1655" i="2"/>
  <c r="T1654" i="2"/>
  <c r="S1654" i="2"/>
  <c r="R1654" i="2"/>
  <c r="Q1654" i="2"/>
  <c r="P1654" i="2"/>
  <c r="U1654" i="2" s="1"/>
  <c r="O1654" i="2"/>
  <c r="N1654" i="2"/>
  <c r="U1653" i="2"/>
  <c r="T1653" i="2"/>
  <c r="S1653" i="2"/>
  <c r="R1653" i="2"/>
  <c r="Q1653" i="2"/>
  <c r="P1653" i="2"/>
  <c r="O1653" i="2"/>
  <c r="N1653" i="2"/>
  <c r="T1652" i="2"/>
  <c r="S1652" i="2"/>
  <c r="R1652" i="2"/>
  <c r="Q1652" i="2"/>
  <c r="P1652" i="2"/>
  <c r="U1652" i="2" s="1"/>
  <c r="O1652" i="2"/>
  <c r="N1652" i="2"/>
  <c r="T1651" i="2"/>
  <c r="S1651" i="2"/>
  <c r="R1651" i="2"/>
  <c r="Q1651" i="2"/>
  <c r="P1651" i="2"/>
  <c r="U1651" i="2" s="1"/>
  <c r="O1651" i="2"/>
  <c r="N1651" i="2"/>
  <c r="U1650" i="2"/>
  <c r="T1650" i="2"/>
  <c r="S1650" i="2"/>
  <c r="R1650" i="2"/>
  <c r="Q1650" i="2"/>
  <c r="P1650" i="2"/>
  <c r="O1650" i="2"/>
  <c r="N1650" i="2"/>
  <c r="T1649" i="2"/>
  <c r="S1649" i="2"/>
  <c r="R1649" i="2"/>
  <c r="Q1649" i="2"/>
  <c r="P1649" i="2"/>
  <c r="U1649" i="2" s="1"/>
  <c r="O1649" i="2"/>
  <c r="N1649" i="2"/>
  <c r="T1648" i="2"/>
  <c r="S1648" i="2"/>
  <c r="R1648" i="2"/>
  <c r="Q1648" i="2"/>
  <c r="P1648" i="2"/>
  <c r="U1648" i="2" s="1"/>
  <c r="O1648" i="2"/>
  <c r="N1648" i="2"/>
  <c r="U1647" i="2"/>
  <c r="T1647" i="2"/>
  <c r="S1647" i="2"/>
  <c r="R1647" i="2"/>
  <c r="Q1647" i="2"/>
  <c r="P1647" i="2"/>
  <c r="O1647" i="2"/>
  <c r="N1647" i="2"/>
  <c r="T1646" i="2"/>
  <c r="S1646" i="2"/>
  <c r="R1646" i="2"/>
  <c r="Q1646" i="2"/>
  <c r="P1646" i="2"/>
  <c r="U1646" i="2" s="1"/>
  <c r="O1646" i="2"/>
  <c r="N1646" i="2"/>
  <c r="T1645" i="2"/>
  <c r="S1645" i="2"/>
  <c r="R1645" i="2"/>
  <c r="Q1645" i="2"/>
  <c r="P1645" i="2"/>
  <c r="U1645" i="2" s="1"/>
  <c r="O1645" i="2"/>
  <c r="N1645" i="2"/>
  <c r="U1644" i="2"/>
  <c r="T1644" i="2"/>
  <c r="S1644" i="2"/>
  <c r="R1644" i="2"/>
  <c r="Q1644" i="2"/>
  <c r="P1644" i="2"/>
  <c r="O1644" i="2"/>
  <c r="N1644" i="2"/>
  <c r="T1643" i="2"/>
  <c r="S1643" i="2"/>
  <c r="R1643" i="2"/>
  <c r="Q1643" i="2"/>
  <c r="P1643" i="2"/>
  <c r="U1643" i="2" s="1"/>
  <c r="O1643" i="2"/>
  <c r="N1643" i="2"/>
  <c r="T1642" i="2"/>
  <c r="S1642" i="2"/>
  <c r="R1642" i="2"/>
  <c r="Q1642" i="2"/>
  <c r="P1642" i="2"/>
  <c r="U1642" i="2" s="1"/>
  <c r="O1642" i="2"/>
  <c r="N1642" i="2"/>
  <c r="U1641" i="2"/>
  <c r="T1641" i="2"/>
  <c r="S1641" i="2"/>
  <c r="R1641" i="2"/>
  <c r="Q1641" i="2"/>
  <c r="P1641" i="2"/>
  <c r="O1641" i="2"/>
  <c r="N1641" i="2"/>
  <c r="T1640" i="2"/>
  <c r="S1640" i="2"/>
  <c r="R1640" i="2"/>
  <c r="Q1640" i="2"/>
  <c r="P1640" i="2"/>
  <c r="U1640" i="2" s="1"/>
  <c r="O1640" i="2"/>
  <c r="N1640" i="2"/>
  <c r="T1639" i="2"/>
  <c r="S1639" i="2"/>
  <c r="R1639" i="2"/>
  <c r="Q1639" i="2"/>
  <c r="P1639" i="2"/>
  <c r="U1639" i="2" s="1"/>
  <c r="O1639" i="2"/>
  <c r="N1639" i="2"/>
  <c r="U1638" i="2"/>
  <c r="T1638" i="2"/>
  <c r="S1638" i="2"/>
  <c r="R1638" i="2"/>
  <c r="Q1638" i="2"/>
  <c r="P1638" i="2"/>
  <c r="O1638" i="2"/>
  <c r="N1638" i="2"/>
  <c r="T1637" i="2"/>
  <c r="S1637" i="2"/>
  <c r="R1637" i="2"/>
  <c r="Q1637" i="2"/>
  <c r="P1637" i="2"/>
  <c r="U1637" i="2" s="1"/>
  <c r="O1637" i="2"/>
  <c r="N1637" i="2"/>
  <c r="T1636" i="2"/>
  <c r="S1636" i="2"/>
  <c r="R1636" i="2"/>
  <c r="Q1636" i="2"/>
  <c r="P1636" i="2"/>
  <c r="U1636" i="2" s="1"/>
  <c r="O1636" i="2"/>
  <c r="N1636" i="2"/>
  <c r="U1635" i="2"/>
  <c r="T1635" i="2"/>
  <c r="S1635" i="2"/>
  <c r="R1635" i="2"/>
  <c r="Q1635" i="2"/>
  <c r="P1635" i="2"/>
  <c r="O1635" i="2"/>
  <c r="N1635" i="2"/>
  <c r="T1634" i="2"/>
  <c r="S1634" i="2"/>
  <c r="R1634" i="2"/>
  <c r="Q1634" i="2"/>
  <c r="P1634" i="2"/>
  <c r="U1634" i="2" s="1"/>
  <c r="O1634" i="2"/>
  <c r="N1634" i="2"/>
  <c r="T1633" i="2"/>
  <c r="S1633" i="2"/>
  <c r="R1633" i="2"/>
  <c r="Q1633" i="2"/>
  <c r="P1633" i="2"/>
  <c r="U1633" i="2" s="1"/>
  <c r="O1633" i="2"/>
  <c r="N1633" i="2"/>
  <c r="U1632" i="2"/>
  <c r="T1632" i="2"/>
  <c r="S1632" i="2"/>
  <c r="R1632" i="2"/>
  <c r="Q1632" i="2"/>
  <c r="P1632" i="2"/>
  <c r="O1632" i="2"/>
  <c r="N1632" i="2"/>
  <c r="T1631" i="2"/>
  <c r="S1631" i="2"/>
  <c r="R1631" i="2"/>
  <c r="Q1631" i="2"/>
  <c r="P1631" i="2"/>
  <c r="U1631" i="2" s="1"/>
  <c r="O1631" i="2"/>
  <c r="N1631" i="2"/>
  <c r="T1630" i="2"/>
  <c r="S1630" i="2"/>
  <c r="R1630" i="2"/>
  <c r="Q1630" i="2"/>
  <c r="P1630" i="2"/>
  <c r="U1630" i="2" s="1"/>
  <c r="O1630" i="2"/>
  <c r="N1630" i="2"/>
  <c r="U1629" i="2"/>
  <c r="T1629" i="2"/>
  <c r="S1629" i="2"/>
  <c r="R1629" i="2"/>
  <c r="Q1629" i="2"/>
  <c r="P1629" i="2"/>
  <c r="O1629" i="2"/>
  <c r="N1629" i="2"/>
  <c r="T1628" i="2"/>
  <c r="S1628" i="2"/>
  <c r="R1628" i="2"/>
  <c r="Q1628" i="2"/>
  <c r="P1628" i="2"/>
  <c r="U1628" i="2" s="1"/>
  <c r="O1628" i="2"/>
  <c r="N1628" i="2"/>
  <c r="T1627" i="2"/>
  <c r="S1627" i="2"/>
  <c r="R1627" i="2"/>
  <c r="Q1627" i="2"/>
  <c r="P1627" i="2"/>
  <c r="U1627" i="2" s="1"/>
  <c r="O1627" i="2"/>
  <c r="N1627" i="2"/>
  <c r="U1626" i="2"/>
  <c r="T1626" i="2"/>
  <c r="S1626" i="2"/>
  <c r="R1626" i="2"/>
  <c r="Q1626" i="2"/>
  <c r="P1626" i="2"/>
  <c r="O1626" i="2"/>
  <c r="N1626" i="2"/>
  <c r="T1625" i="2"/>
  <c r="S1625" i="2"/>
  <c r="R1625" i="2"/>
  <c r="Q1625" i="2"/>
  <c r="P1625" i="2"/>
  <c r="U1625" i="2" s="1"/>
  <c r="O1625" i="2"/>
  <c r="N1625" i="2"/>
  <c r="T1624" i="2"/>
  <c r="S1624" i="2"/>
  <c r="R1624" i="2"/>
  <c r="Q1624" i="2"/>
  <c r="P1624" i="2"/>
  <c r="U1624" i="2" s="1"/>
  <c r="O1624" i="2"/>
  <c r="N1624" i="2"/>
  <c r="U1623" i="2"/>
  <c r="T1623" i="2"/>
  <c r="S1623" i="2"/>
  <c r="R1623" i="2"/>
  <c r="Q1623" i="2"/>
  <c r="P1623" i="2"/>
  <c r="O1623" i="2"/>
  <c r="N1623" i="2"/>
  <c r="T1622" i="2"/>
  <c r="S1622" i="2"/>
  <c r="R1622" i="2"/>
  <c r="Q1622" i="2"/>
  <c r="P1622" i="2"/>
  <c r="U1622" i="2" s="1"/>
  <c r="O1622" i="2"/>
  <c r="N1622" i="2"/>
  <c r="T1621" i="2"/>
  <c r="S1621" i="2"/>
  <c r="R1621" i="2"/>
  <c r="Q1621" i="2"/>
  <c r="P1621" i="2"/>
  <c r="U1621" i="2" s="1"/>
  <c r="O1621" i="2"/>
  <c r="N1621" i="2"/>
  <c r="T1620" i="2"/>
  <c r="S1620" i="2"/>
  <c r="R1620" i="2"/>
  <c r="Q1620" i="2"/>
  <c r="P1620" i="2"/>
  <c r="U1620" i="2" s="1"/>
  <c r="O1620" i="2"/>
  <c r="N1620" i="2"/>
  <c r="T1619" i="2"/>
  <c r="S1619" i="2"/>
  <c r="R1619" i="2"/>
  <c r="Q1619" i="2"/>
  <c r="P1619" i="2"/>
  <c r="U1619" i="2" s="1"/>
  <c r="O1619" i="2"/>
  <c r="N1619" i="2"/>
  <c r="T1618" i="2"/>
  <c r="S1618" i="2"/>
  <c r="R1618" i="2"/>
  <c r="Q1618" i="2"/>
  <c r="P1618" i="2"/>
  <c r="U1618" i="2" s="1"/>
  <c r="O1618" i="2"/>
  <c r="N1618" i="2"/>
  <c r="T1617" i="2"/>
  <c r="S1617" i="2"/>
  <c r="R1617" i="2"/>
  <c r="Q1617" i="2"/>
  <c r="P1617" i="2"/>
  <c r="U1617" i="2" s="1"/>
  <c r="O1617" i="2"/>
  <c r="N1617" i="2"/>
  <c r="T1616" i="2"/>
  <c r="S1616" i="2"/>
  <c r="R1616" i="2"/>
  <c r="Q1616" i="2"/>
  <c r="P1616" i="2"/>
  <c r="U1616" i="2" s="1"/>
  <c r="O1616" i="2"/>
  <c r="N1616" i="2"/>
  <c r="T1615" i="2"/>
  <c r="S1615" i="2"/>
  <c r="R1615" i="2"/>
  <c r="Q1615" i="2"/>
  <c r="P1615" i="2"/>
  <c r="U1615" i="2" s="1"/>
  <c r="O1615" i="2"/>
  <c r="N1615" i="2"/>
  <c r="U1614" i="2"/>
  <c r="T1614" i="2"/>
  <c r="S1614" i="2"/>
  <c r="R1614" i="2"/>
  <c r="Q1614" i="2"/>
  <c r="P1614" i="2"/>
  <c r="O1614" i="2"/>
  <c r="N1614" i="2"/>
  <c r="T1613" i="2"/>
  <c r="S1613" i="2"/>
  <c r="R1613" i="2"/>
  <c r="Q1613" i="2"/>
  <c r="P1613" i="2"/>
  <c r="U1613" i="2" s="1"/>
  <c r="O1613" i="2"/>
  <c r="N1613" i="2"/>
  <c r="T1612" i="2"/>
  <c r="S1612" i="2"/>
  <c r="R1612" i="2"/>
  <c r="Q1612" i="2"/>
  <c r="P1612" i="2"/>
  <c r="U1612" i="2" s="1"/>
  <c r="O1612" i="2"/>
  <c r="N1612" i="2"/>
  <c r="U1611" i="2"/>
  <c r="T1611" i="2"/>
  <c r="S1611" i="2"/>
  <c r="R1611" i="2"/>
  <c r="Q1611" i="2"/>
  <c r="P1611" i="2"/>
  <c r="O1611" i="2"/>
  <c r="N1611" i="2"/>
  <c r="T1610" i="2"/>
  <c r="S1610" i="2"/>
  <c r="R1610" i="2"/>
  <c r="Q1610" i="2"/>
  <c r="P1610" i="2"/>
  <c r="U1610" i="2" s="1"/>
  <c r="O1610" i="2"/>
  <c r="N1610" i="2"/>
  <c r="T1609" i="2"/>
  <c r="S1609" i="2"/>
  <c r="R1609" i="2"/>
  <c r="Q1609" i="2"/>
  <c r="P1609" i="2"/>
  <c r="U1609" i="2" s="1"/>
  <c r="O1609" i="2"/>
  <c r="N1609" i="2"/>
  <c r="U1608" i="2"/>
  <c r="T1608" i="2"/>
  <c r="S1608" i="2"/>
  <c r="R1608" i="2"/>
  <c r="Q1608" i="2"/>
  <c r="P1608" i="2"/>
  <c r="O1608" i="2"/>
  <c r="N1608" i="2"/>
  <c r="T1607" i="2"/>
  <c r="S1607" i="2"/>
  <c r="R1607" i="2"/>
  <c r="Q1607" i="2"/>
  <c r="P1607" i="2"/>
  <c r="U1607" i="2" s="1"/>
  <c r="O1607" i="2"/>
  <c r="N1607" i="2"/>
  <c r="T1606" i="2"/>
  <c r="S1606" i="2"/>
  <c r="R1606" i="2"/>
  <c r="Q1606" i="2"/>
  <c r="P1606" i="2"/>
  <c r="U1606" i="2" s="1"/>
  <c r="O1606" i="2"/>
  <c r="N1606" i="2"/>
  <c r="U1605" i="2"/>
  <c r="T1605" i="2"/>
  <c r="S1605" i="2"/>
  <c r="R1605" i="2"/>
  <c r="Q1605" i="2"/>
  <c r="P1605" i="2"/>
  <c r="O1605" i="2"/>
  <c r="N1605" i="2"/>
  <c r="T1604" i="2"/>
  <c r="S1604" i="2"/>
  <c r="R1604" i="2"/>
  <c r="Q1604" i="2"/>
  <c r="P1604" i="2"/>
  <c r="U1604" i="2" s="1"/>
  <c r="O1604" i="2"/>
  <c r="N1604" i="2"/>
  <c r="T1603" i="2"/>
  <c r="S1603" i="2"/>
  <c r="R1603" i="2"/>
  <c r="Q1603" i="2"/>
  <c r="P1603" i="2"/>
  <c r="U1603" i="2" s="1"/>
  <c r="O1603" i="2"/>
  <c r="N1603" i="2"/>
  <c r="T1602" i="2"/>
  <c r="S1602" i="2"/>
  <c r="R1602" i="2"/>
  <c r="Q1602" i="2"/>
  <c r="P1602" i="2"/>
  <c r="U1602" i="2" s="1"/>
  <c r="O1602" i="2"/>
  <c r="N1602" i="2"/>
  <c r="T1601" i="2"/>
  <c r="S1601" i="2"/>
  <c r="R1601" i="2"/>
  <c r="Q1601" i="2"/>
  <c r="P1601" i="2"/>
  <c r="U1601" i="2" s="1"/>
  <c r="O1601" i="2"/>
  <c r="N1601" i="2"/>
  <c r="T1600" i="2"/>
  <c r="S1600" i="2"/>
  <c r="R1600" i="2"/>
  <c r="Q1600" i="2"/>
  <c r="P1600" i="2"/>
  <c r="U1600" i="2" s="1"/>
  <c r="O1600" i="2"/>
  <c r="N1600" i="2"/>
  <c r="T1599" i="2"/>
  <c r="S1599" i="2"/>
  <c r="R1599" i="2"/>
  <c r="Q1599" i="2"/>
  <c r="P1599" i="2"/>
  <c r="U1599" i="2" s="1"/>
  <c r="O1599" i="2"/>
  <c r="N1599" i="2"/>
  <c r="T1598" i="2"/>
  <c r="S1598" i="2"/>
  <c r="R1598" i="2"/>
  <c r="Q1598" i="2"/>
  <c r="P1598" i="2"/>
  <c r="U1598" i="2" s="1"/>
  <c r="O1598" i="2"/>
  <c r="N1598" i="2"/>
  <c r="T1597" i="2"/>
  <c r="S1597" i="2"/>
  <c r="R1597" i="2"/>
  <c r="Q1597" i="2"/>
  <c r="P1597" i="2"/>
  <c r="U1597" i="2" s="1"/>
  <c r="O1597" i="2"/>
  <c r="N1597" i="2"/>
  <c r="U1596" i="2"/>
  <c r="T1596" i="2"/>
  <c r="S1596" i="2"/>
  <c r="R1596" i="2"/>
  <c r="Q1596" i="2"/>
  <c r="P1596" i="2"/>
  <c r="O1596" i="2"/>
  <c r="N1596" i="2"/>
  <c r="T1595" i="2"/>
  <c r="S1595" i="2"/>
  <c r="R1595" i="2"/>
  <c r="Q1595" i="2"/>
  <c r="P1595" i="2"/>
  <c r="U1595" i="2" s="1"/>
  <c r="O1595" i="2"/>
  <c r="N1595" i="2"/>
  <c r="T1594" i="2"/>
  <c r="S1594" i="2"/>
  <c r="R1594" i="2"/>
  <c r="Q1594" i="2"/>
  <c r="P1594" i="2"/>
  <c r="U1594" i="2" s="1"/>
  <c r="O1594" i="2"/>
  <c r="N1594" i="2"/>
  <c r="U1593" i="2"/>
  <c r="T1593" i="2"/>
  <c r="S1593" i="2"/>
  <c r="R1593" i="2"/>
  <c r="Q1593" i="2"/>
  <c r="P1593" i="2"/>
  <c r="O1593" i="2"/>
  <c r="N1593" i="2"/>
  <c r="T1592" i="2"/>
  <c r="S1592" i="2"/>
  <c r="R1592" i="2"/>
  <c r="Q1592" i="2"/>
  <c r="P1592" i="2"/>
  <c r="U1592" i="2" s="1"/>
  <c r="O1592" i="2"/>
  <c r="N1592" i="2"/>
  <c r="T1591" i="2"/>
  <c r="S1591" i="2"/>
  <c r="R1591" i="2"/>
  <c r="Q1591" i="2"/>
  <c r="P1591" i="2"/>
  <c r="U1591" i="2" s="1"/>
  <c r="O1591" i="2"/>
  <c r="N1591" i="2"/>
  <c r="U1590" i="2"/>
  <c r="T1590" i="2"/>
  <c r="S1590" i="2"/>
  <c r="R1590" i="2"/>
  <c r="Q1590" i="2"/>
  <c r="P1590" i="2"/>
  <c r="O1590" i="2"/>
  <c r="N1590" i="2"/>
  <c r="T1589" i="2"/>
  <c r="S1589" i="2"/>
  <c r="R1589" i="2"/>
  <c r="Q1589" i="2"/>
  <c r="P1589" i="2"/>
  <c r="U1589" i="2" s="1"/>
  <c r="O1589" i="2"/>
  <c r="N1589" i="2"/>
  <c r="T1588" i="2"/>
  <c r="S1588" i="2"/>
  <c r="R1588" i="2"/>
  <c r="Q1588" i="2"/>
  <c r="P1588" i="2"/>
  <c r="U1588" i="2" s="1"/>
  <c r="O1588" i="2"/>
  <c r="N1588" i="2"/>
  <c r="U1587" i="2"/>
  <c r="T1587" i="2"/>
  <c r="S1587" i="2"/>
  <c r="R1587" i="2"/>
  <c r="Q1587" i="2"/>
  <c r="P1587" i="2"/>
  <c r="O1587" i="2"/>
  <c r="N1587" i="2"/>
  <c r="T1586" i="2"/>
  <c r="S1586" i="2"/>
  <c r="R1586" i="2"/>
  <c r="Q1586" i="2"/>
  <c r="P1586" i="2"/>
  <c r="U1586" i="2" s="1"/>
  <c r="O1586" i="2"/>
  <c r="N1586" i="2"/>
  <c r="T1585" i="2"/>
  <c r="S1585" i="2"/>
  <c r="R1585" i="2"/>
  <c r="Q1585" i="2"/>
  <c r="P1585" i="2"/>
  <c r="U1585" i="2" s="1"/>
  <c r="O1585" i="2"/>
  <c r="N1585" i="2"/>
  <c r="T1584" i="2"/>
  <c r="S1584" i="2"/>
  <c r="R1584" i="2"/>
  <c r="Q1584" i="2"/>
  <c r="P1584" i="2"/>
  <c r="U1584" i="2" s="1"/>
  <c r="O1584" i="2"/>
  <c r="N1584" i="2"/>
  <c r="T1583" i="2"/>
  <c r="S1583" i="2"/>
  <c r="R1583" i="2"/>
  <c r="Q1583" i="2"/>
  <c r="P1583" i="2"/>
  <c r="U1583" i="2" s="1"/>
  <c r="O1583" i="2"/>
  <c r="N1583" i="2"/>
  <c r="T1582" i="2"/>
  <c r="S1582" i="2"/>
  <c r="R1582" i="2"/>
  <c r="Q1582" i="2"/>
  <c r="P1582" i="2"/>
  <c r="U1582" i="2" s="1"/>
  <c r="O1582" i="2"/>
  <c r="N1582" i="2"/>
  <c r="T1581" i="2"/>
  <c r="S1581" i="2"/>
  <c r="R1581" i="2"/>
  <c r="Q1581" i="2"/>
  <c r="P1581" i="2"/>
  <c r="U1581" i="2" s="1"/>
  <c r="O1581" i="2"/>
  <c r="N1581" i="2"/>
  <c r="T1580" i="2"/>
  <c r="S1580" i="2"/>
  <c r="R1580" i="2"/>
  <c r="Q1580" i="2"/>
  <c r="P1580" i="2"/>
  <c r="U1580" i="2" s="1"/>
  <c r="O1580" i="2"/>
  <c r="N1580" i="2"/>
  <c r="T1579" i="2"/>
  <c r="S1579" i="2"/>
  <c r="R1579" i="2"/>
  <c r="Q1579" i="2"/>
  <c r="P1579" i="2"/>
  <c r="U1579" i="2" s="1"/>
  <c r="O1579" i="2"/>
  <c r="N1579" i="2"/>
  <c r="U1578" i="2"/>
  <c r="T1578" i="2"/>
  <c r="S1578" i="2"/>
  <c r="R1578" i="2"/>
  <c r="Q1578" i="2"/>
  <c r="P1578" i="2"/>
  <c r="O1578" i="2"/>
  <c r="N1578" i="2"/>
  <c r="T1577" i="2"/>
  <c r="S1577" i="2"/>
  <c r="R1577" i="2"/>
  <c r="Q1577" i="2"/>
  <c r="P1577" i="2"/>
  <c r="U1577" i="2" s="1"/>
  <c r="O1577" i="2"/>
  <c r="N1577" i="2"/>
  <c r="T1576" i="2"/>
  <c r="S1576" i="2"/>
  <c r="R1576" i="2"/>
  <c r="Q1576" i="2"/>
  <c r="P1576" i="2"/>
  <c r="U1576" i="2" s="1"/>
  <c r="O1576" i="2"/>
  <c r="N1576" i="2"/>
  <c r="U1575" i="2"/>
  <c r="T1575" i="2"/>
  <c r="S1575" i="2"/>
  <c r="R1575" i="2"/>
  <c r="Q1575" i="2"/>
  <c r="P1575" i="2"/>
  <c r="O1575" i="2"/>
  <c r="N1575" i="2"/>
  <c r="T1574" i="2"/>
  <c r="S1574" i="2"/>
  <c r="R1574" i="2"/>
  <c r="Q1574" i="2"/>
  <c r="P1574" i="2"/>
  <c r="U1574" i="2" s="1"/>
  <c r="O1574" i="2"/>
  <c r="N1574" i="2"/>
  <c r="T1573" i="2"/>
  <c r="S1573" i="2"/>
  <c r="R1573" i="2"/>
  <c r="Q1573" i="2"/>
  <c r="P1573" i="2"/>
  <c r="U1573" i="2" s="1"/>
  <c r="O1573" i="2"/>
  <c r="N1573" i="2"/>
  <c r="U1572" i="2"/>
  <c r="T1572" i="2"/>
  <c r="S1572" i="2"/>
  <c r="R1572" i="2"/>
  <c r="Q1572" i="2"/>
  <c r="P1572" i="2"/>
  <c r="O1572" i="2"/>
  <c r="N1572" i="2"/>
  <c r="T1571" i="2"/>
  <c r="S1571" i="2"/>
  <c r="R1571" i="2"/>
  <c r="Q1571" i="2"/>
  <c r="P1571" i="2"/>
  <c r="U1571" i="2" s="1"/>
  <c r="O1571" i="2"/>
  <c r="N1571" i="2"/>
  <c r="T1570" i="2"/>
  <c r="S1570" i="2"/>
  <c r="R1570" i="2"/>
  <c r="Q1570" i="2"/>
  <c r="P1570" i="2"/>
  <c r="U1570" i="2" s="1"/>
  <c r="O1570" i="2"/>
  <c r="N1570" i="2"/>
  <c r="T1569" i="2"/>
  <c r="S1569" i="2"/>
  <c r="R1569" i="2"/>
  <c r="Q1569" i="2"/>
  <c r="P1569" i="2"/>
  <c r="U1569" i="2" s="1"/>
  <c r="O1569" i="2"/>
  <c r="N1569" i="2"/>
  <c r="T1568" i="2"/>
  <c r="S1568" i="2"/>
  <c r="R1568" i="2"/>
  <c r="Q1568" i="2"/>
  <c r="P1568" i="2"/>
  <c r="U1568" i="2" s="1"/>
  <c r="O1568" i="2"/>
  <c r="N1568" i="2"/>
  <c r="T1567" i="2"/>
  <c r="S1567" i="2"/>
  <c r="R1567" i="2"/>
  <c r="Q1567" i="2"/>
  <c r="P1567" i="2"/>
  <c r="U1567" i="2" s="1"/>
  <c r="O1567" i="2"/>
  <c r="N1567" i="2"/>
  <c r="T1566" i="2"/>
  <c r="S1566" i="2"/>
  <c r="R1566" i="2"/>
  <c r="Q1566" i="2"/>
  <c r="P1566" i="2"/>
  <c r="U1566" i="2" s="1"/>
  <c r="O1566" i="2"/>
  <c r="N1566" i="2"/>
  <c r="T1565" i="2"/>
  <c r="S1565" i="2"/>
  <c r="R1565" i="2"/>
  <c r="Q1565" i="2"/>
  <c r="P1565" i="2"/>
  <c r="U1565" i="2" s="1"/>
  <c r="O1565" i="2"/>
  <c r="N1565" i="2"/>
  <c r="T1564" i="2"/>
  <c r="S1564" i="2"/>
  <c r="R1564" i="2"/>
  <c r="Q1564" i="2"/>
  <c r="P1564" i="2"/>
  <c r="U1564" i="2" s="1"/>
  <c r="O1564" i="2"/>
  <c r="N1564" i="2"/>
  <c r="T1563" i="2"/>
  <c r="S1563" i="2"/>
  <c r="R1563" i="2"/>
  <c r="Q1563" i="2"/>
  <c r="P1563" i="2"/>
  <c r="U1563" i="2" s="1"/>
  <c r="O1563" i="2"/>
  <c r="N1563" i="2"/>
  <c r="T1562" i="2"/>
  <c r="S1562" i="2"/>
  <c r="R1562" i="2"/>
  <c r="Q1562" i="2"/>
  <c r="P1562" i="2"/>
  <c r="U1562" i="2" s="1"/>
  <c r="O1562" i="2"/>
  <c r="N1562" i="2"/>
  <c r="T1561" i="2"/>
  <c r="S1561" i="2"/>
  <c r="R1561" i="2"/>
  <c r="Q1561" i="2"/>
  <c r="P1561" i="2"/>
  <c r="U1561" i="2" s="1"/>
  <c r="O1561" i="2"/>
  <c r="N1561" i="2"/>
  <c r="U1560" i="2"/>
  <c r="T1560" i="2"/>
  <c r="S1560" i="2"/>
  <c r="R1560" i="2"/>
  <c r="Q1560" i="2"/>
  <c r="P1560" i="2"/>
  <c r="O1560" i="2"/>
  <c r="N1560" i="2"/>
  <c r="T1559" i="2"/>
  <c r="S1559" i="2"/>
  <c r="R1559" i="2"/>
  <c r="Q1559" i="2"/>
  <c r="P1559" i="2"/>
  <c r="U1559" i="2" s="1"/>
  <c r="O1559" i="2"/>
  <c r="N1559" i="2"/>
  <c r="T1558" i="2"/>
  <c r="S1558" i="2"/>
  <c r="R1558" i="2"/>
  <c r="Q1558" i="2"/>
  <c r="P1558" i="2"/>
  <c r="U1558" i="2" s="1"/>
  <c r="O1558" i="2"/>
  <c r="N1558" i="2"/>
  <c r="T1557" i="2"/>
  <c r="S1557" i="2"/>
  <c r="R1557" i="2"/>
  <c r="Q1557" i="2"/>
  <c r="P1557" i="2"/>
  <c r="U1557" i="2" s="1"/>
  <c r="O1557" i="2"/>
  <c r="N1557" i="2"/>
  <c r="T1556" i="2"/>
  <c r="S1556" i="2"/>
  <c r="R1556" i="2"/>
  <c r="Q1556" i="2"/>
  <c r="P1556" i="2"/>
  <c r="U1556" i="2" s="1"/>
  <c r="O1556" i="2"/>
  <c r="N1556" i="2"/>
  <c r="T1555" i="2"/>
  <c r="S1555" i="2"/>
  <c r="R1555" i="2"/>
  <c r="Q1555" i="2"/>
  <c r="P1555" i="2"/>
  <c r="U1555" i="2" s="1"/>
  <c r="O1555" i="2"/>
  <c r="N1555" i="2"/>
  <c r="U1554" i="2"/>
  <c r="T1554" i="2"/>
  <c r="S1554" i="2"/>
  <c r="R1554" i="2"/>
  <c r="Q1554" i="2"/>
  <c r="P1554" i="2"/>
  <c r="O1554" i="2"/>
  <c r="N1554" i="2"/>
  <c r="T1553" i="2"/>
  <c r="S1553" i="2"/>
  <c r="R1553" i="2"/>
  <c r="Q1553" i="2"/>
  <c r="P1553" i="2"/>
  <c r="U1553" i="2" s="1"/>
  <c r="O1553" i="2"/>
  <c r="N1553" i="2"/>
  <c r="T1552" i="2"/>
  <c r="S1552" i="2"/>
  <c r="R1552" i="2"/>
  <c r="Q1552" i="2"/>
  <c r="P1552" i="2"/>
  <c r="U1552" i="2" s="1"/>
  <c r="O1552" i="2"/>
  <c r="N1552" i="2"/>
  <c r="T1551" i="2"/>
  <c r="S1551" i="2"/>
  <c r="R1551" i="2"/>
  <c r="Q1551" i="2"/>
  <c r="P1551" i="2"/>
  <c r="U1551" i="2" s="1"/>
  <c r="O1551" i="2"/>
  <c r="N1551" i="2"/>
  <c r="T1550" i="2"/>
  <c r="S1550" i="2"/>
  <c r="R1550" i="2"/>
  <c r="Q1550" i="2"/>
  <c r="P1550" i="2"/>
  <c r="U1550" i="2" s="1"/>
  <c r="O1550" i="2"/>
  <c r="N1550" i="2"/>
  <c r="T1549" i="2"/>
  <c r="S1549" i="2"/>
  <c r="R1549" i="2"/>
  <c r="Q1549" i="2"/>
  <c r="P1549" i="2"/>
  <c r="U1549" i="2" s="1"/>
  <c r="O1549" i="2"/>
  <c r="N1549" i="2"/>
  <c r="T1548" i="2"/>
  <c r="S1548" i="2"/>
  <c r="R1548" i="2"/>
  <c r="Q1548" i="2"/>
  <c r="P1548" i="2"/>
  <c r="U1548" i="2" s="1"/>
  <c r="O1548" i="2"/>
  <c r="N1548" i="2"/>
  <c r="T1547" i="2"/>
  <c r="S1547" i="2"/>
  <c r="R1547" i="2"/>
  <c r="Q1547" i="2"/>
  <c r="P1547" i="2"/>
  <c r="U1547" i="2" s="1"/>
  <c r="O1547" i="2"/>
  <c r="N1547" i="2"/>
  <c r="T1546" i="2"/>
  <c r="S1546" i="2"/>
  <c r="R1546" i="2"/>
  <c r="Q1546" i="2"/>
  <c r="P1546" i="2"/>
  <c r="U1546" i="2" s="1"/>
  <c r="O1546" i="2"/>
  <c r="N1546" i="2"/>
  <c r="T1545" i="2"/>
  <c r="S1545" i="2"/>
  <c r="R1545" i="2"/>
  <c r="Q1545" i="2"/>
  <c r="P1545" i="2"/>
  <c r="U1545" i="2" s="1"/>
  <c r="O1545" i="2"/>
  <c r="N1545" i="2"/>
  <c r="T1544" i="2"/>
  <c r="S1544" i="2"/>
  <c r="R1544" i="2"/>
  <c r="Q1544" i="2"/>
  <c r="P1544" i="2"/>
  <c r="U1544" i="2" s="1"/>
  <c r="O1544" i="2"/>
  <c r="N1544" i="2"/>
  <c r="T1543" i="2"/>
  <c r="S1543" i="2"/>
  <c r="R1543" i="2"/>
  <c r="Q1543" i="2"/>
  <c r="P1543" i="2"/>
  <c r="U1543" i="2" s="1"/>
  <c r="O1543" i="2"/>
  <c r="N1543" i="2"/>
  <c r="U1542" i="2"/>
  <c r="T1542" i="2"/>
  <c r="S1542" i="2"/>
  <c r="R1542" i="2"/>
  <c r="Q1542" i="2"/>
  <c r="P1542" i="2"/>
  <c r="O1542" i="2"/>
  <c r="N1542" i="2"/>
  <c r="T1541" i="2"/>
  <c r="S1541" i="2"/>
  <c r="R1541" i="2"/>
  <c r="Q1541" i="2"/>
  <c r="P1541" i="2"/>
  <c r="U1541" i="2" s="1"/>
  <c r="O1541" i="2"/>
  <c r="N1541" i="2"/>
  <c r="T1540" i="2"/>
  <c r="S1540" i="2"/>
  <c r="R1540" i="2"/>
  <c r="Q1540" i="2"/>
  <c r="P1540" i="2"/>
  <c r="U1540" i="2" s="1"/>
  <c r="O1540" i="2"/>
  <c r="N1540" i="2"/>
  <c r="T1539" i="2"/>
  <c r="S1539" i="2"/>
  <c r="R1539" i="2"/>
  <c r="Q1539" i="2"/>
  <c r="P1539" i="2"/>
  <c r="U1539" i="2" s="1"/>
  <c r="O1539" i="2"/>
  <c r="N1539" i="2"/>
  <c r="T1538" i="2"/>
  <c r="S1538" i="2"/>
  <c r="R1538" i="2"/>
  <c r="Q1538" i="2"/>
  <c r="P1538" i="2"/>
  <c r="U1538" i="2" s="1"/>
  <c r="O1538" i="2"/>
  <c r="N1538" i="2"/>
  <c r="T1537" i="2"/>
  <c r="S1537" i="2"/>
  <c r="R1537" i="2"/>
  <c r="Q1537" i="2"/>
  <c r="P1537" i="2"/>
  <c r="U1537" i="2" s="1"/>
  <c r="O1537" i="2"/>
  <c r="N1537" i="2"/>
  <c r="U1536" i="2"/>
  <c r="T1536" i="2"/>
  <c r="S1536" i="2"/>
  <c r="R1536" i="2"/>
  <c r="Q1536" i="2"/>
  <c r="P1536" i="2"/>
  <c r="O1536" i="2"/>
  <c r="N1536" i="2"/>
  <c r="T1535" i="2"/>
  <c r="S1535" i="2"/>
  <c r="R1535" i="2"/>
  <c r="Q1535" i="2"/>
  <c r="P1535" i="2"/>
  <c r="U1535" i="2" s="1"/>
  <c r="O1535" i="2"/>
  <c r="N1535" i="2"/>
  <c r="U1534" i="2"/>
  <c r="T1534" i="2"/>
  <c r="S1534" i="2"/>
  <c r="R1534" i="2"/>
  <c r="Q1534" i="2"/>
  <c r="P1534" i="2"/>
  <c r="O1534" i="2"/>
  <c r="N1534" i="2"/>
  <c r="T1533" i="2"/>
  <c r="S1533" i="2"/>
  <c r="R1533" i="2"/>
  <c r="Q1533" i="2"/>
  <c r="P1533" i="2"/>
  <c r="U1533" i="2" s="1"/>
  <c r="O1533" i="2"/>
  <c r="N1533" i="2"/>
  <c r="T1532" i="2"/>
  <c r="S1532" i="2"/>
  <c r="R1532" i="2"/>
  <c r="Q1532" i="2"/>
  <c r="P1532" i="2"/>
  <c r="U1532" i="2" s="1"/>
  <c r="O1532" i="2"/>
  <c r="N1532" i="2"/>
  <c r="T1531" i="2"/>
  <c r="S1531" i="2"/>
  <c r="R1531" i="2"/>
  <c r="Q1531" i="2"/>
  <c r="P1531" i="2"/>
  <c r="U1531" i="2" s="1"/>
  <c r="O1531" i="2"/>
  <c r="N1531" i="2"/>
  <c r="U1530" i="2"/>
  <c r="S1530" i="2"/>
  <c r="R1530" i="2"/>
  <c r="Q1530" i="2"/>
  <c r="P1530" i="2"/>
  <c r="O1530" i="2"/>
  <c r="T1530" i="2" s="1"/>
  <c r="N1530" i="2"/>
  <c r="T1529" i="2"/>
  <c r="S1529" i="2"/>
  <c r="R1529" i="2"/>
  <c r="Q1529" i="2"/>
  <c r="P1529" i="2"/>
  <c r="U1529" i="2" s="1"/>
  <c r="O1529" i="2"/>
  <c r="N1529" i="2"/>
  <c r="T1528" i="2"/>
  <c r="S1528" i="2"/>
  <c r="R1528" i="2"/>
  <c r="Q1528" i="2"/>
  <c r="P1528" i="2"/>
  <c r="U1528" i="2" s="1"/>
  <c r="O1528" i="2"/>
  <c r="N1528" i="2"/>
  <c r="S1527" i="2"/>
  <c r="R1527" i="2"/>
  <c r="Q1527" i="2"/>
  <c r="O1527" i="2"/>
  <c r="T1527" i="2" s="1"/>
  <c r="N1527" i="2"/>
  <c r="T1526" i="2"/>
  <c r="S1526" i="2"/>
  <c r="R1526" i="2"/>
  <c r="Q1526" i="2"/>
  <c r="P1526" i="2"/>
  <c r="U1526" i="2" s="1"/>
  <c r="O1526" i="2"/>
  <c r="N1526" i="2"/>
  <c r="T1525" i="2"/>
  <c r="S1525" i="2"/>
  <c r="R1525" i="2"/>
  <c r="Q1525" i="2"/>
  <c r="P1525" i="2"/>
  <c r="U1525" i="2" s="1"/>
  <c r="O1525" i="2"/>
  <c r="N1525" i="2"/>
  <c r="S1524" i="2"/>
  <c r="R1524" i="2"/>
  <c r="Q1524" i="2"/>
  <c r="O1524" i="2"/>
  <c r="T1524" i="2" s="1"/>
  <c r="N1524" i="2"/>
  <c r="T1523" i="2"/>
  <c r="S1523" i="2"/>
  <c r="R1523" i="2"/>
  <c r="Q1523" i="2"/>
  <c r="P1523" i="2"/>
  <c r="U1523" i="2" s="1"/>
  <c r="O1523" i="2"/>
  <c r="N1523" i="2"/>
  <c r="T1522" i="2"/>
  <c r="S1522" i="2"/>
  <c r="R1522" i="2"/>
  <c r="Q1522" i="2"/>
  <c r="P1522" i="2"/>
  <c r="U1522" i="2" s="1"/>
  <c r="O1522" i="2"/>
  <c r="N1522" i="2"/>
  <c r="S1521" i="2"/>
  <c r="R1521" i="2"/>
  <c r="Q1521" i="2"/>
  <c r="P1521" i="2"/>
  <c r="U1521" i="2" s="1"/>
  <c r="O1521" i="2"/>
  <c r="T1521" i="2" s="1"/>
  <c r="N1521" i="2"/>
  <c r="T1520" i="2"/>
  <c r="S1520" i="2"/>
  <c r="R1520" i="2"/>
  <c r="Q1520" i="2"/>
  <c r="P1520" i="2"/>
  <c r="U1520" i="2" s="1"/>
  <c r="O1520" i="2"/>
  <c r="N1520" i="2"/>
  <c r="T1519" i="2"/>
  <c r="S1519" i="2"/>
  <c r="R1519" i="2"/>
  <c r="Q1519" i="2"/>
  <c r="P1519" i="2"/>
  <c r="U1519" i="2" s="1"/>
  <c r="O1519" i="2"/>
  <c r="N1519" i="2"/>
  <c r="U1518" i="2"/>
  <c r="S1518" i="2"/>
  <c r="R1518" i="2"/>
  <c r="Q1518" i="2"/>
  <c r="P1518" i="2"/>
  <c r="O1518" i="2"/>
  <c r="T1518" i="2" s="1"/>
  <c r="N1518" i="2"/>
  <c r="T1517" i="2"/>
  <c r="S1517" i="2"/>
  <c r="R1517" i="2"/>
  <c r="Q1517" i="2"/>
  <c r="P1517" i="2"/>
  <c r="U1517" i="2" s="1"/>
  <c r="O1517" i="2"/>
  <c r="N1517" i="2"/>
  <c r="T1516" i="2"/>
  <c r="S1516" i="2"/>
  <c r="R1516" i="2"/>
  <c r="Q1516" i="2"/>
  <c r="P1516" i="2"/>
  <c r="U1516" i="2" s="1"/>
  <c r="O1516" i="2"/>
  <c r="N1516" i="2"/>
  <c r="S1515" i="2"/>
  <c r="R1515" i="2"/>
  <c r="Q1515" i="2"/>
  <c r="P1515" i="2"/>
  <c r="U1515" i="2" s="1"/>
  <c r="O1515" i="2"/>
  <c r="T1515" i="2" s="1"/>
  <c r="N1515" i="2"/>
  <c r="T1514" i="2"/>
  <c r="S1514" i="2"/>
  <c r="R1514" i="2"/>
  <c r="Q1514" i="2"/>
  <c r="P1514" i="2"/>
  <c r="U1514" i="2" s="1"/>
  <c r="O1514" i="2"/>
  <c r="N1514" i="2"/>
  <c r="T1513" i="2"/>
  <c r="S1513" i="2"/>
  <c r="R1513" i="2"/>
  <c r="Q1513" i="2"/>
  <c r="P1513" i="2"/>
  <c r="U1513" i="2" s="1"/>
  <c r="O1513" i="2"/>
  <c r="N1513" i="2"/>
  <c r="S1512" i="2"/>
  <c r="R1512" i="2"/>
  <c r="Q1512" i="2"/>
  <c r="O1512" i="2"/>
  <c r="T1512" i="2" s="1"/>
  <c r="N1512" i="2"/>
  <c r="T1511" i="2"/>
  <c r="S1511" i="2"/>
  <c r="R1511" i="2"/>
  <c r="Q1511" i="2"/>
  <c r="P1511" i="2"/>
  <c r="U1511" i="2" s="1"/>
  <c r="O1511" i="2"/>
  <c r="N1511" i="2"/>
  <c r="T1510" i="2"/>
  <c r="S1510" i="2"/>
  <c r="R1510" i="2"/>
  <c r="Q1510" i="2"/>
  <c r="P1510" i="2"/>
  <c r="U1510" i="2" s="1"/>
  <c r="O1510" i="2"/>
  <c r="N1510" i="2"/>
  <c r="S1509" i="2"/>
  <c r="R1509" i="2"/>
  <c r="Q1509" i="2"/>
  <c r="P1509" i="2"/>
  <c r="U1509" i="2" s="1"/>
  <c r="O1509" i="2"/>
  <c r="T1509" i="2" s="1"/>
  <c r="N1509" i="2"/>
  <c r="T1508" i="2"/>
  <c r="S1508" i="2"/>
  <c r="R1508" i="2"/>
  <c r="Q1508" i="2"/>
  <c r="P1508" i="2"/>
  <c r="U1508" i="2" s="1"/>
  <c r="O1508" i="2"/>
  <c r="N1508" i="2"/>
  <c r="T1507" i="2"/>
  <c r="S1507" i="2"/>
  <c r="R1507" i="2"/>
  <c r="Q1507" i="2"/>
  <c r="P1507" i="2"/>
  <c r="U1507" i="2" s="1"/>
  <c r="O1507" i="2"/>
  <c r="N1507" i="2"/>
  <c r="U1506" i="2"/>
  <c r="S1506" i="2"/>
  <c r="R1506" i="2"/>
  <c r="Q1506" i="2"/>
  <c r="P1506" i="2"/>
  <c r="O1506" i="2"/>
  <c r="T1506" i="2" s="1"/>
  <c r="N1506" i="2"/>
  <c r="T1505" i="2"/>
  <c r="S1505" i="2"/>
  <c r="R1505" i="2"/>
  <c r="Q1505" i="2"/>
  <c r="P1505" i="2"/>
  <c r="U1505" i="2" s="1"/>
  <c r="O1505" i="2"/>
  <c r="N1505" i="2"/>
  <c r="T1504" i="2"/>
  <c r="S1504" i="2"/>
  <c r="R1504" i="2"/>
  <c r="Q1504" i="2"/>
  <c r="P1504" i="2"/>
  <c r="U1504" i="2" s="1"/>
  <c r="O1504" i="2"/>
  <c r="N1504" i="2"/>
  <c r="S1503" i="2"/>
  <c r="R1503" i="2"/>
  <c r="Q1503" i="2"/>
  <c r="P1503" i="2"/>
  <c r="U1503" i="2" s="1"/>
  <c r="O1503" i="2"/>
  <c r="T1503" i="2" s="1"/>
  <c r="N1503" i="2"/>
  <c r="T1502" i="2"/>
  <c r="S1502" i="2"/>
  <c r="R1502" i="2"/>
  <c r="Q1502" i="2"/>
  <c r="P1502" i="2"/>
  <c r="U1502" i="2" s="1"/>
  <c r="O1502" i="2"/>
  <c r="N1502" i="2"/>
  <c r="T1501" i="2"/>
  <c r="S1501" i="2"/>
  <c r="R1501" i="2"/>
  <c r="Q1501" i="2"/>
  <c r="P1501" i="2"/>
  <c r="U1501" i="2" s="1"/>
  <c r="O1501" i="2"/>
  <c r="N1501" i="2"/>
  <c r="S1500" i="2"/>
  <c r="R1500" i="2"/>
  <c r="Q1500" i="2"/>
  <c r="O1500" i="2"/>
  <c r="T1500" i="2" s="1"/>
  <c r="N1500" i="2"/>
  <c r="T1499" i="2"/>
  <c r="S1499" i="2"/>
  <c r="R1499" i="2"/>
  <c r="Q1499" i="2"/>
  <c r="P1499" i="2"/>
  <c r="U1499" i="2" s="1"/>
  <c r="O1499" i="2"/>
  <c r="N1499" i="2"/>
  <c r="T1498" i="2"/>
  <c r="S1498" i="2"/>
  <c r="R1498" i="2"/>
  <c r="Q1498" i="2"/>
  <c r="P1498" i="2"/>
  <c r="U1498" i="2" s="1"/>
  <c r="O1498" i="2"/>
  <c r="N1498" i="2"/>
  <c r="S1497" i="2"/>
  <c r="R1497" i="2"/>
  <c r="Q1497" i="2"/>
  <c r="P1497" i="2"/>
  <c r="U1497" i="2" s="1"/>
  <c r="O1497" i="2"/>
  <c r="T1497" i="2" s="1"/>
  <c r="N1497" i="2"/>
  <c r="T1496" i="2"/>
  <c r="S1496" i="2"/>
  <c r="R1496" i="2"/>
  <c r="Q1496" i="2"/>
  <c r="P1496" i="2"/>
  <c r="U1496" i="2" s="1"/>
  <c r="O1496" i="2"/>
  <c r="N1496" i="2"/>
  <c r="T1495" i="2"/>
  <c r="S1495" i="2"/>
  <c r="R1495" i="2"/>
  <c r="Q1495" i="2"/>
  <c r="P1495" i="2"/>
  <c r="U1495" i="2" s="1"/>
  <c r="O1495" i="2"/>
  <c r="N1495" i="2"/>
  <c r="U1494" i="2"/>
  <c r="S1494" i="2"/>
  <c r="R1494" i="2"/>
  <c r="Q1494" i="2"/>
  <c r="P1494" i="2"/>
  <c r="O1494" i="2"/>
  <c r="T1494" i="2" s="1"/>
  <c r="N1494" i="2"/>
  <c r="T1493" i="2"/>
  <c r="S1493" i="2"/>
  <c r="R1493" i="2"/>
  <c r="Q1493" i="2"/>
  <c r="P1493" i="2"/>
  <c r="U1493" i="2" s="1"/>
  <c r="O1493" i="2"/>
  <c r="N1493" i="2"/>
  <c r="T1492" i="2"/>
  <c r="S1492" i="2"/>
  <c r="R1492" i="2"/>
  <c r="Q1492" i="2"/>
  <c r="P1492" i="2"/>
  <c r="U1492" i="2" s="1"/>
  <c r="O1492" i="2"/>
  <c r="N1492" i="2"/>
  <c r="S1491" i="2"/>
  <c r="R1491" i="2"/>
  <c r="Q1491" i="2"/>
  <c r="O1491" i="2"/>
  <c r="T1491" i="2" s="1"/>
  <c r="N1491" i="2"/>
  <c r="T1490" i="2"/>
  <c r="S1490" i="2"/>
  <c r="R1490" i="2"/>
  <c r="Q1490" i="2"/>
  <c r="P1490" i="2"/>
  <c r="U1490" i="2" s="1"/>
  <c r="O1490" i="2"/>
  <c r="N1490" i="2"/>
  <c r="T1489" i="2"/>
  <c r="S1489" i="2"/>
  <c r="R1489" i="2"/>
  <c r="Q1489" i="2"/>
  <c r="P1489" i="2"/>
  <c r="U1489" i="2" s="1"/>
  <c r="O1489" i="2"/>
  <c r="N1489" i="2"/>
  <c r="S1488" i="2"/>
  <c r="R1488" i="2"/>
  <c r="Q1488" i="2"/>
  <c r="O1488" i="2"/>
  <c r="T1488" i="2" s="1"/>
  <c r="N1488" i="2"/>
  <c r="T1487" i="2"/>
  <c r="S1487" i="2"/>
  <c r="R1487" i="2"/>
  <c r="Q1487" i="2"/>
  <c r="P1487" i="2"/>
  <c r="U1487" i="2" s="1"/>
  <c r="O1487" i="2"/>
  <c r="N1487" i="2"/>
  <c r="T1486" i="2"/>
  <c r="S1486" i="2"/>
  <c r="R1486" i="2"/>
  <c r="Q1486" i="2"/>
  <c r="P1486" i="2"/>
  <c r="U1486" i="2" s="1"/>
  <c r="O1486" i="2"/>
  <c r="N1486" i="2"/>
  <c r="S1485" i="2"/>
  <c r="R1485" i="2"/>
  <c r="Q1485" i="2"/>
  <c r="P1485" i="2"/>
  <c r="U1485" i="2" s="1"/>
  <c r="O1485" i="2"/>
  <c r="T1485" i="2" s="1"/>
  <c r="N1485" i="2"/>
  <c r="T1484" i="2"/>
  <c r="S1484" i="2"/>
  <c r="R1484" i="2"/>
  <c r="Q1484" i="2"/>
  <c r="P1484" i="2"/>
  <c r="U1484" i="2" s="1"/>
  <c r="O1484" i="2"/>
  <c r="N1484" i="2"/>
  <c r="T1483" i="2"/>
  <c r="S1483" i="2"/>
  <c r="R1483" i="2"/>
  <c r="Q1483" i="2"/>
  <c r="P1483" i="2"/>
  <c r="U1483" i="2" s="1"/>
  <c r="O1483" i="2"/>
  <c r="N1483" i="2"/>
  <c r="U1482" i="2"/>
  <c r="S1482" i="2"/>
  <c r="R1482" i="2"/>
  <c r="Q1482" i="2"/>
  <c r="P1482" i="2"/>
  <c r="O1482" i="2"/>
  <c r="T1482" i="2" s="1"/>
  <c r="N1482" i="2"/>
  <c r="T1481" i="2"/>
  <c r="S1481" i="2"/>
  <c r="R1481" i="2"/>
  <c r="Q1481" i="2"/>
  <c r="P1481" i="2"/>
  <c r="U1481" i="2" s="1"/>
  <c r="O1481" i="2"/>
  <c r="N1481" i="2"/>
  <c r="T1480" i="2"/>
  <c r="S1480" i="2"/>
  <c r="R1480" i="2"/>
  <c r="Q1480" i="2"/>
  <c r="P1480" i="2"/>
  <c r="U1480" i="2" s="1"/>
  <c r="O1480" i="2"/>
  <c r="N1480" i="2"/>
  <c r="S1479" i="2"/>
  <c r="R1479" i="2"/>
  <c r="Q1479" i="2"/>
  <c r="P1479" i="2"/>
  <c r="U1479" i="2" s="1"/>
  <c r="O1479" i="2"/>
  <c r="T1479" i="2" s="1"/>
  <c r="N1479" i="2"/>
  <c r="T1478" i="2"/>
  <c r="S1478" i="2"/>
  <c r="R1478" i="2"/>
  <c r="Q1478" i="2"/>
  <c r="P1478" i="2"/>
  <c r="U1478" i="2" s="1"/>
  <c r="O1478" i="2"/>
  <c r="N1478" i="2"/>
  <c r="T1477" i="2"/>
  <c r="S1477" i="2"/>
  <c r="R1477" i="2"/>
  <c r="Q1477" i="2"/>
  <c r="P1477" i="2"/>
  <c r="U1477" i="2" s="1"/>
  <c r="O1477" i="2"/>
  <c r="N1477" i="2"/>
  <c r="S1476" i="2"/>
  <c r="R1476" i="2"/>
  <c r="Q1476" i="2"/>
  <c r="O1476" i="2"/>
  <c r="T1476" i="2" s="1"/>
  <c r="N1476" i="2"/>
  <c r="T1475" i="2"/>
  <c r="S1475" i="2"/>
  <c r="R1475" i="2"/>
  <c r="Q1475" i="2"/>
  <c r="P1475" i="2"/>
  <c r="U1475" i="2" s="1"/>
  <c r="O1475" i="2"/>
  <c r="N1475" i="2"/>
  <c r="T1474" i="2"/>
  <c r="S1474" i="2"/>
  <c r="R1474" i="2"/>
  <c r="Q1474" i="2"/>
  <c r="P1474" i="2"/>
  <c r="U1474" i="2" s="1"/>
  <c r="O1474" i="2"/>
  <c r="N1474" i="2"/>
  <c r="S1473" i="2"/>
  <c r="R1473" i="2"/>
  <c r="Q1473" i="2"/>
  <c r="P1473" i="2"/>
  <c r="U1473" i="2" s="1"/>
  <c r="O1473" i="2"/>
  <c r="T1473" i="2" s="1"/>
  <c r="N1473" i="2"/>
  <c r="T1472" i="2"/>
  <c r="S1472" i="2"/>
  <c r="R1472" i="2"/>
  <c r="Q1472" i="2"/>
  <c r="P1472" i="2"/>
  <c r="U1472" i="2" s="1"/>
  <c r="O1472" i="2"/>
  <c r="N1472" i="2"/>
  <c r="T1471" i="2"/>
  <c r="S1471" i="2"/>
  <c r="R1471" i="2"/>
  <c r="Q1471" i="2"/>
  <c r="P1471" i="2"/>
  <c r="U1471" i="2" s="1"/>
  <c r="O1471" i="2"/>
  <c r="N1471" i="2"/>
  <c r="U1470" i="2"/>
  <c r="S1470" i="2"/>
  <c r="R1470" i="2"/>
  <c r="Q1470" i="2"/>
  <c r="P1470" i="2"/>
  <c r="O1470" i="2"/>
  <c r="T1470" i="2" s="1"/>
  <c r="N1470" i="2"/>
  <c r="T1469" i="2"/>
  <c r="S1469" i="2"/>
  <c r="R1469" i="2"/>
  <c r="Q1469" i="2"/>
  <c r="P1469" i="2"/>
  <c r="U1469" i="2" s="1"/>
  <c r="O1469" i="2"/>
  <c r="N1469" i="2"/>
  <c r="T1468" i="2"/>
  <c r="S1468" i="2"/>
  <c r="R1468" i="2"/>
  <c r="Q1468" i="2"/>
  <c r="P1468" i="2"/>
  <c r="U1468" i="2" s="1"/>
  <c r="O1468" i="2"/>
  <c r="N1468" i="2"/>
  <c r="T1467" i="2"/>
  <c r="S1467" i="2"/>
  <c r="R1467" i="2"/>
  <c r="Q1467" i="2"/>
  <c r="P1467" i="2"/>
  <c r="U1467" i="2" s="1"/>
  <c r="O1467" i="2"/>
  <c r="N1467" i="2"/>
  <c r="T1466" i="2"/>
  <c r="S1466" i="2"/>
  <c r="R1466" i="2"/>
  <c r="Q1466" i="2"/>
  <c r="P1466" i="2"/>
  <c r="U1466" i="2" s="1"/>
  <c r="O1466" i="2"/>
  <c r="N1466" i="2"/>
  <c r="T1465" i="2"/>
  <c r="S1465" i="2"/>
  <c r="R1465" i="2"/>
  <c r="Q1465" i="2"/>
  <c r="P1465" i="2"/>
  <c r="U1465" i="2" s="1"/>
  <c r="O1465" i="2"/>
  <c r="N1465" i="2"/>
  <c r="S1464" i="2"/>
  <c r="R1464" i="2"/>
  <c r="Q1464" i="2"/>
  <c r="O1464" i="2"/>
  <c r="N1464" i="2"/>
  <c r="T1463" i="2"/>
  <c r="S1463" i="2"/>
  <c r="R1463" i="2"/>
  <c r="Q1463" i="2"/>
  <c r="P1463" i="2"/>
  <c r="U1463" i="2" s="1"/>
  <c r="O1463" i="2"/>
  <c r="N1463" i="2"/>
  <c r="T1462" i="2"/>
  <c r="S1462" i="2"/>
  <c r="R1462" i="2"/>
  <c r="Q1462" i="2"/>
  <c r="P1462" i="2"/>
  <c r="U1462" i="2" s="1"/>
  <c r="O1462" i="2"/>
  <c r="N1462" i="2"/>
  <c r="S1461" i="2"/>
  <c r="R1461" i="2"/>
  <c r="Q1461" i="2"/>
  <c r="O1461" i="2"/>
  <c r="T1461" i="2" s="1"/>
  <c r="N1461" i="2"/>
  <c r="T1460" i="2"/>
  <c r="S1460" i="2"/>
  <c r="R1460" i="2"/>
  <c r="Q1460" i="2"/>
  <c r="P1460" i="2"/>
  <c r="U1460" i="2" s="1"/>
  <c r="O1460" i="2"/>
  <c r="N1460" i="2"/>
  <c r="T1459" i="2"/>
  <c r="S1459" i="2"/>
  <c r="R1459" i="2"/>
  <c r="Q1459" i="2"/>
  <c r="P1459" i="2"/>
  <c r="U1459" i="2" s="1"/>
  <c r="O1459" i="2"/>
  <c r="N1459" i="2"/>
  <c r="T1458" i="2"/>
  <c r="S1458" i="2"/>
  <c r="R1458" i="2"/>
  <c r="Q1458" i="2"/>
  <c r="P1458" i="2"/>
  <c r="U1458" i="2" s="1"/>
  <c r="O1458" i="2"/>
  <c r="N1458" i="2"/>
  <c r="T1457" i="2"/>
  <c r="S1457" i="2"/>
  <c r="R1457" i="2"/>
  <c r="Q1457" i="2"/>
  <c r="P1457" i="2"/>
  <c r="U1457" i="2" s="1"/>
  <c r="O1457" i="2"/>
  <c r="N1457" i="2"/>
  <c r="T1456" i="2"/>
  <c r="S1456" i="2"/>
  <c r="R1456" i="2"/>
  <c r="Q1456" i="2"/>
  <c r="P1456" i="2"/>
  <c r="U1456" i="2" s="1"/>
  <c r="O1456" i="2"/>
  <c r="N1456" i="2"/>
  <c r="T1455" i="2"/>
  <c r="S1455" i="2"/>
  <c r="R1455" i="2"/>
  <c r="Q1455" i="2"/>
  <c r="O1455" i="2"/>
  <c r="P1455" i="2" s="1"/>
  <c r="U1455" i="2" s="1"/>
  <c r="N1455" i="2"/>
  <c r="T1454" i="2"/>
  <c r="S1454" i="2"/>
  <c r="R1454" i="2"/>
  <c r="Q1454" i="2"/>
  <c r="P1454" i="2"/>
  <c r="U1454" i="2" s="1"/>
  <c r="O1454" i="2"/>
  <c r="N1454" i="2"/>
  <c r="T1453" i="2"/>
  <c r="S1453" i="2"/>
  <c r="R1453" i="2"/>
  <c r="Q1453" i="2"/>
  <c r="P1453" i="2"/>
  <c r="U1453" i="2" s="1"/>
  <c r="O1453" i="2"/>
  <c r="N1453" i="2"/>
  <c r="T1452" i="2"/>
  <c r="S1452" i="2"/>
  <c r="R1452" i="2"/>
  <c r="Q1452" i="2"/>
  <c r="P1452" i="2"/>
  <c r="U1452" i="2" s="1"/>
  <c r="O1452" i="2"/>
  <c r="N1452" i="2"/>
  <c r="T1451" i="2"/>
  <c r="S1451" i="2"/>
  <c r="R1451" i="2"/>
  <c r="Q1451" i="2"/>
  <c r="P1451" i="2"/>
  <c r="U1451" i="2" s="1"/>
  <c r="O1451" i="2"/>
  <c r="N1451" i="2"/>
  <c r="T1450" i="2"/>
  <c r="S1450" i="2"/>
  <c r="R1450" i="2"/>
  <c r="Q1450" i="2"/>
  <c r="P1450" i="2"/>
  <c r="U1450" i="2" s="1"/>
  <c r="O1450" i="2"/>
  <c r="N1450" i="2"/>
  <c r="T1449" i="2"/>
  <c r="S1449" i="2"/>
  <c r="R1449" i="2"/>
  <c r="Q1449" i="2"/>
  <c r="P1449" i="2"/>
  <c r="U1449" i="2" s="1"/>
  <c r="O1449" i="2"/>
  <c r="N1449" i="2"/>
  <c r="T1448" i="2"/>
  <c r="S1448" i="2"/>
  <c r="R1448" i="2"/>
  <c r="Q1448" i="2"/>
  <c r="P1448" i="2"/>
  <c r="U1448" i="2" s="1"/>
  <c r="O1448" i="2"/>
  <c r="N1448" i="2"/>
  <c r="T1447" i="2"/>
  <c r="S1447" i="2"/>
  <c r="R1447" i="2"/>
  <c r="Q1447" i="2"/>
  <c r="P1447" i="2"/>
  <c r="U1447" i="2" s="1"/>
  <c r="O1447" i="2"/>
  <c r="N1447" i="2"/>
  <c r="S1446" i="2"/>
  <c r="R1446" i="2"/>
  <c r="Q1446" i="2"/>
  <c r="P1446" i="2"/>
  <c r="U1446" i="2" s="1"/>
  <c r="O1446" i="2"/>
  <c r="T1446" i="2" s="1"/>
  <c r="N1446" i="2"/>
  <c r="T1445" i="2"/>
  <c r="S1445" i="2"/>
  <c r="R1445" i="2"/>
  <c r="Q1445" i="2"/>
  <c r="P1445" i="2"/>
  <c r="U1445" i="2" s="1"/>
  <c r="O1445" i="2"/>
  <c r="N1445" i="2"/>
  <c r="T1444" i="2"/>
  <c r="S1444" i="2"/>
  <c r="R1444" i="2"/>
  <c r="Q1444" i="2"/>
  <c r="P1444" i="2"/>
  <c r="U1444" i="2" s="1"/>
  <c r="O1444" i="2"/>
  <c r="N1444" i="2"/>
  <c r="S1443" i="2"/>
  <c r="R1443" i="2"/>
  <c r="Q1443" i="2"/>
  <c r="O1443" i="2"/>
  <c r="T1443" i="2" s="1"/>
  <c r="N1443" i="2"/>
  <c r="T1442" i="2"/>
  <c r="S1442" i="2"/>
  <c r="R1442" i="2"/>
  <c r="Q1442" i="2"/>
  <c r="P1442" i="2"/>
  <c r="U1442" i="2" s="1"/>
  <c r="O1442" i="2"/>
  <c r="N1442" i="2"/>
  <c r="T1441" i="2"/>
  <c r="S1441" i="2"/>
  <c r="R1441" i="2"/>
  <c r="Q1441" i="2"/>
  <c r="P1441" i="2"/>
  <c r="U1441" i="2" s="1"/>
  <c r="O1441" i="2"/>
  <c r="N1441" i="2"/>
  <c r="T1440" i="2"/>
  <c r="S1440" i="2"/>
  <c r="R1440" i="2"/>
  <c r="Q1440" i="2"/>
  <c r="P1440" i="2"/>
  <c r="U1440" i="2" s="1"/>
  <c r="O1440" i="2"/>
  <c r="N1440" i="2"/>
  <c r="T1439" i="2"/>
  <c r="S1439" i="2"/>
  <c r="R1439" i="2"/>
  <c r="Q1439" i="2"/>
  <c r="P1439" i="2"/>
  <c r="U1439" i="2" s="1"/>
  <c r="O1439" i="2"/>
  <c r="N1439" i="2"/>
  <c r="T1438" i="2"/>
  <c r="S1438" i="2"/>
  <c r="R1438" i="2"/>
  <c r="Q1438" i="2"/>
  <c r="P1438" i="2"/>
  <c r="U1438" i="2" s="1"/>
  <c r="O1438" i="2"/>
  <c r="N1438" i="2"/>
  <c r="U1437" i="2"/>
  <c r="T1437" i="2"/>
  <c r="S1437" i="2"/>
  <c r="R1437" i="2"/>
  <c r="Q1437" i="2"/>
  <c r="O1437" i="2"/>
  <c r="P1437" i="2" s="1"/>
  <c r="N1437" i="2"/>
  <c r="T1436" i="2"/>
  <c r="S1436" i="2"/>
  <c r="R1436" i="2"/>
  <c r="Q1436" i="2"/>
  <c r="P1436" i="2"/>
  <c r="U1436" i="2" s="1"/>
  <c r="O1436" i="2"/>
  <c r="N1436" i="2"/>
  <c r="T1435" i="2"/>
  <c r="S1435" i="2"/>
  <c r="R1435" i="2"/>
  <c r="Q1435" i="2"/>
  <c r="P1435" i="2"/>
  <c r="U1435" i="2" s="1"/>
  <c r="O1435" i="2"/>
  <c r="N1435" i="2"/>
  <c r="T1434" i="2"/>
  <c r="S1434" i="2"/>
  <c r="R1434" i="2"/>
  <c r="Q1434" i="2"/>
  <c r="P1434" i="2"/>
  <c r="U1434" i="2" s="1"/>
  <c r="O1434" i="2"/>
  <c r="N1434" i="2"/>
  <c r="T1433" i="2"/>
  <c r="S1433" i="2"/>
  <c r="R1433" i="2"/>
  <c r="Q1433" i="2"/>
  <c r="P1433" i="2"/>
  <c r="U1433" i="2" s="1"/>
  <c r="O1433" i="2"/>
  <c r="N1433" i="2"/>
  <c r="T1432" i="2"/>
  <c r="S1432" i="2"/>
  <c r="R1432" i="2"/>
  <c r="Q1432" i="2"/>
  <c r="P1432" i="2"/>
  <c r="U1432" i="2" s="1"/>
  <c r="O1432" i="2"/>
  <c r="N1432" i="2"/>
  <c r="T1431" i="2"/>
  <c r="S1431" i="2"/>
  <c r="R1431" i="2"/>
  <c r="Q1431" i="2"/>
  <c r="P1431" i="2"/>
  <c r="U1431" i="2" s="1"/>
  <c r="O1431" i="2"/>
  <c r="N1431" i="2"/>
  <c r="T1430" i="2"/>
  <c r="S1430" i="2"/>
  <c r="R1430" i="2"/>
  <c r="Q1430" i="2"/>
  <c r="P1430" i="2"/>
  <c r="U1430" i="2" s="1"/>
  <c r="O1430" i="2"/>
  <c r="N1430" i="2"/>
  <c r="T1429" i="2"/>
  <c r="S1429" i="2"/>
  <c r="R1429" i="2"/>
  <c r="Q1429" i="2"/>
  <c r="P1429" i="2"/>
  <c r="U1429" i="2" s="1"/>
  <c r="O1429" i="2"/>
  <c r="N1429" i="2"/>
  <c r="S1428" i="2"/>
  <c r="R1428" i="2"/>
  <c r="Q1428" i="2"/>
  <c r="O1428" i="2"/>
  <c r="T1428" i="2" s="1"/>
  <c r="N1428" i="2"/>
  <c r="T1427" i="2"/>
  <c r="S1427" i="2"/>
  <c r="R1427" i="2"/>
  <c r="Q1427" i="2"/>
  <c r="P1427" i="2"/>
  <c r="U1427" i="2" s="1"/>
  <c r="O1427" i="2"/>
  <c r="N1427" i="2"/>
  <c r="T1426" i="2"/>
  <c r="S1426" i="2"/>
  <c r="R1426" i="2"/>
  <c r="Q1426" i="2"/>
  <c r="P1426" i="2"/>
  <c r="U1426" i="2" s="1"/>
  <c r="O1426" i="2"/>
  <c r="N1426" i="2"/>
  <c r="S1425" i="2"/>
  <c r="R1425" i="2"/>
  <c r="Q1425" i="2"/>
  <c r="O1425" i="2"/>
  <c r="T1425" i="2" s="1"/>
  <c r="N1425" i="2"/>
  <c r="T1424" i="2"/>
  <c r="S1424" i="2"/>
  <c r="R1424" i="2"/>
  <c r="Q1424" i="2"/>
  <c r="P1424" i="2"/>
  <c r="U1424" i="2" s="1"/>
  <c r="O1424" i="2"/>
  <c r="N1424" i="2"/>
  <c r="T1423" i="2"/>
  <c r="S1423" i="2"/>
  <c r="R1423" i="2"/>
  <c r="Q1423" i="2"/>
  <c r="P1423" i="2"/>
  <c r="U1423" i="2" s="1"/>
  <c r="O1423" i="2"/>
  <c r="N1423" i="2"/>
  <c r="T1422" i="2"/>
  <c r="S1422" i="2"/>
  <c r="R1422" i="2"/>
  <c r="Q1422" i="2"/>
  <c r="P1422" i="2"/>
  <c r="U1422" i="2" s="1"/>
  <c r="O1422" i="2"/>
  <c r="N1422" i="2"/>
  <c r="T1421" i="2"/>
  <c r="S1421" i="2"/>
  <c r="R1421" i="2"/>
  <c r="Q1421" i="2"/>
  <c r="P1421" i="2"/>
  <c r="U1421" i="2" s="1"/>
  <c r="O1421" i="2"/>
  <c r="N1421" i="2"/>
  <c r="T1420" i="2"/>
  <c r="S1420" i="2"/>
  <c r="R1420" i="2"/>
  <c r="Q1420" i="2"/>
  <c r="P1420" i="2"/>
  <c r="U1420" i="2" s="1"/>
  <c r="O1420" i="2"/>
  <c r="N1420" i="2"/>
  <c r="U1419" i="2"/>
  <c r="T1419" i="2"/>
  <c r="S1419" i="2"/>
  <c r="R1419" i="2"/>
  <c r="Q1419" i="2"/>
  <c r="O1419" i="2"/>
  <c r="P1419" i="2" s="1"/>
  <c r="N1419" i="2"/>
  <c r="T1418" i="2"/>
  <c r="S1418" i="2"/>
  <c r="R1418" i="2"/>
  <c r="Q1418" i="2"/>
  <c r="P1418" i="2"/>
  <c r="U1418" i="2" s="1"/>
  <c r="O1418" i="2"/>
  <c r="N1418" i="2"/>
  <c r="T1417" i="2"/>
  <c r="S1417" i="2"/>
  <c r="R1417" i="2"/>
  <c r="Q1417" i="2"/>
  <c r="P1417" i="2"/>
  <c r="U1417" i="2" s="1"/>
  <c r="O1417" i="2"/>
  <c r="N1417" i="2"/>
  <c r="T1416" i="2"/>
  <c r="S1416" i="2"/>
  <c r="R1416" i="2"/>
  <c r="Q1416" i="2"/>
  <c r="P1416" i="2"/>
  <c r="U1416" i="2" s="1"/>
  <c r="O1416" i="2"/>
  <c r="N1416" i="2"/>
  <c r="T1415" i="2"/>
  <c r="S1415" i="2"/>
  <c r="R1415" i="2"/>
  <c r="Q1415" i="2"/>
  <c r="P1415" i="2"/>
  <c r="U1415" i="2" s="1"/>
  <c r="O1415" i="2"/>
  <c r="N1415" i="2"/>
  <c r="T1414" i="2"/>
  <c r="S1414" i="2"/>
  <c r="R1414" i="2"/>
  <c r="Q1414" i="2"/>
  <c r="P1414" i="2"/>
  <c r="U1414" i="2" s="1"/>
  <c r="O1414" i="2"/>
  <c r="N1414" i="2"/>
  <c r="T1413" i="2"/>
  <c r="S1413" i="2"/>
  <c r="R1413" i="2"/>
  <c r="Q1413" i="2"/>
  <c r="P1413" i="2"/>
  <c r="U1413" i="2" s="1"/>
  <c r="O1413" i="2"/>
  <c r="N1413" i="2"/>
  <c r="T1412" i="2"/>
  <c r="S1412" i="2"/>
  <c r="R1412" i="2"/>
  <c r="Q1412" i="2"/>
  <c r="P1412" i="2"/>
  <c r="U1412" i="2" s="1"/>
  <c r="O1412" i="2"/>
  <c r="N1412" i="2"/>
  <c r="T1411" i="2"/>
  <c r="S1411" i="2"/>
  <c r="R1411" i="2"/>
  <c r="Q1411" i="2"/>
  <c r="P1411" i="2"/>
  <c r="U1411" i="2" s="1"/>
  <c r="O1411" i="2"/>
  <c r="N1411" i="2"/>
  <c r="S1410" i="2"/>
  <c r="R1410" i="2"/>
  <c r="Q1410" i="2"/>
  <c r="P1410" i="2"/>
  <c r="U1410" i="2" s="1"/>
  <c r="O1410" i="2"/>
  <c r="T1410" i="2" s="1"/>
  <c r="N1410" i="2"/>
  <c r="T1409" i="2"/>
  <c r="S1409" i="2"/>
  <c r="R1409" i="2"/>
  <c r="Q1409" i="2"/>
  <c r="P1409" i="2"/>
  <c r="U1409" i="2" s="1"/>
  <c r="O1409" i="2"/>
  <c r="N1409" i="2"/>
  <c r="T1408" i="2"/>
  <c r="S1408" i="2"/>
  <c r="R1408" i="2"/>
  <c r="Q1408" i="2"/>
  <c r="P1408" i="2"/>
  <c r="U1408" i="2" s="1"/>
  <c r="O1408" i="2"/>
  <c r="N1408" i="2"/>
  <c r="S1407" i="2"/>
  <c r="R1407" i="2"/>
  <c r="Q1407" i="2"/>
  <c r="O1407" i="2"/>
  <c r="T1407" i="2" s="1"/>
  <c r="N1407" i="2"/>
  <c r="T1406" i="2"/>
  <c r="S1406" i="2"/>
  <c r="R1406" i="2"/>
  <c r="Q1406" i="2"/>
  <c r="P1406" i="2"/>
  <c r="U1406" i="2" s="1"/>
  <c r="O1406" i="2"/>
  <c r="N1406" i="2"/>
  <c r="T1405" i="2"/>
  <c r="S1405" i="2"/>
  <c r="R1405" i="2"/>
  <c r="Q1405" i="2"/>
  <c r="P1405" i="2"/>
  <c r="U1405" i="2" s="1"/>
  <c r="O1405" i="2"/>
  <c r="N1405" i="2"/>
  <c r="T1404" i="2"/>
  <c r="S1404" i="2"/>
  <c r="R1404" i="2"/>
  <c r="Q1404" i="2"/>
  <c r="P1404" i="2"/>
  <c r="U1404" i="2" s="1"/>
  <c r="O1404" i="2"/>
  <c r="N1404" i="2"/>
  <c r="T1403" i="2"/>
  <c r="S1403" i="2"/>
  <c r="R1403" i="2"/>
  <c r="Q1403" i="2"/>
  <c r="P1403" i="2"/>
  <c r="U1403" i="2" s="1"/>
  <c r="O1403" i="2"/>
  <c r="N1403" i="2"/>
  <c r="T1402" i="2"/>
  <c r="S1402" i="2"/>
  <c r="R1402" i="2"/>
  <c r="Q1402" i="2"/>
  <c r="P1402" i="2"/>
  <c r="U1402" i="2" s="1"/>
  <c r="O1402" i="2"/>
  <c r="N1402" i="2"/>
  <c r="T1401" i="2"/>
  <c r="S1401" i="2"/>
  <c r="R1401" i="2"/>
  <c r="Q1401" i="2"/>
  <c r="O1401" i="2"/>
  <c r="P1401" i="2" s="1"/>
  <c r="U1401" i="2" s="1"/>
  <c r="N1401" i="2"/>
  <c r="T1400" i="2"/>
  <c r="S1400" i="2"/>
  <c r="R1400" i="2"/>
  <c r="Q1400" i="2"/>
  <c r="P1400" i="2"/>
  <c r="U1400" i="2" s="1"/>
  <c r="O1400" i="2"/>
  <c r="N1400" i="2"/>
  <c r="T1399" i="2"/>
  <c r="S1399" i="2"/>
  <c r="R1399" i="2"/>
  <c r="Q1399" i="2"/>
  <c r="P1399" i="2"/>
  <c r="U1399" i="2" s="1"/>
  <c r="O1399" i="2"/>
  <c r="N1399" i="2"/>
  <c r="T1398" i="2"/>
  <c r="S1398" i="2"/>
  <c r="R1398" i="2"/>
  <c r="Q1398" i="2"/>
  <c r="P1398" i="2"/>
  <c r="U1398" i="2" s="1"/>
  <c r="O1398" i="2"/>
  <c r="N1398" i="2"/>
  <c r="T1397" i="2"/>
  <c r="S1397" i="2"/>
  <c r="R1397" i="2"/>
  <c r="Q1397" i="2"/>
  <c r="P1397" i="2"/>
  <c r="U1397" i="2" s="1"/>
  <c r="O1397" i="2"/>
  <c r="N1397" i="2"/>
  <c r="T1396" i="2"/>
  <c r="S1396" i="2"/>
  <c r="R1396" i="2"/>
  <c r="Q1396" i="2"/>
  <c r="P1396" i="2"/>
  <c r="U1396" i="2" s="1"/>
  <c r="O1396" i="2"/>
  <c r="N1396" i="2"/>
  <c r="T1395" i="2"/>
  <c r="S1395" i="2"/>
  <c r="R1395" i="2"/>
  <c r="Q1395" i="2"/>
  <c r="P1395" i="2"/>
  <c r="U1395" i="2" s="1"/>
  <c r="O1395" i="2"/>
  <c r="N1395" i="2"/>
  <c r="T1394" i="2"/>
  <c r="S1394" i="2"/>
  <c r="R1394" i="2"/>
  <c r="Q1394" i="2"/>
  <c r="P1394" i="2"/>
  <c r="U1394" i="2" s="1"/>
  <c r="O1394" i="2"/>
  <c r="N1394" i="2"/>
  <c r="T1393" i="2"/>
  <c r="S1393" i="2"/>
  <c r="R1393" i="2"/>
  <c r="Q1393" i="2"/>
  <c r="P1393" i="2"/>
  <c r="U1393" i="2" s="1"/>
  <c r="O1393" i="2"/>
  <c r="N1393" i="2"/>
  <c r="S1392" i="2"/>
  <c r="R1392" i="2"/>
  <c r="Q1392" i="2"/>
  <c r="O1392" i="2"/>
  <c r="N1392" i="2"/>
  <c r="T1391" i="2"/>
  <c r="S1391" i="2"/>
  <c r="R1391" i="2"/>
  <c r="Q1391" i="2"/>
  <c r="P1391" i="2"/>
  <c r="U1391" i="2" s="1"/>
  <c r="O1391" i="2"/>
  <c r="N1391" i="2"/>
  <c r="T1390" i="2"/>
  <c r="S1390" i="2"/>
  <c r="R1390" i="2"/>
  <c r="Q1390" i="2"/>
  <c r="P1390" i="2"/>
  <c r="U1390" i="2" s="1"/>
  <c r="O1390" i="2"/>
  <c r="N1390" i="2"/>
  <c r="S1389" i="2"/>
  <c r="R1389" i="2"/>
  <c r="Q1389" i="2"/>
  <c r="O1389" i="2"/>
  <c r="T1389" i="2" s="1"/>
  <c r="N1389" i="2"/>
  <c r="T1388" i="2"/>
  <c r="S1388" i="2"/>
  <c r="R1388" i="2"/>
  <c r="Q1388" i="2"/>
  <c r="P1388" i="2"/>
  <c r="U1388" i="2" s="1"/>
  <c r="O1388" i="2"/>
  <c r="N1388" i="2"/>
  <c r="T1387" i="2"/>
  <c r="S1387" i="2"/>
  <c r="R1387" i="2"/>
  <c r="Q1387" i="2"/>
  <c r="P1387" i="2"/>
  <c r="U1387" i="2" s="1"/>
  <c r="O1387" i="2"/>
  <c r="N1387" i="2"/>
  <c r="T1386" i="2"/>
  <c r="S1386" i="2"/>
  <c r="R1386" i="2"/>
  <c r="Q1386" i="2"/>
  <c r="P1386" i="2"/>
  <c r="U1386" i="2" s="1"/>
  <c r="O1386" i="2"/>
  <c r="N1386" i="2"/>
  <c r="T1385" i="2"/>
  <c r="S1385" i="2"/>
  <c r="R1385" i="2"/>
  <c r="Q1385" i="2"/>
  <c r="P1385" i="2"/>
  <c r="U1385" i="2" s="1"/>
  <c r="O1385" i="2"/>
  <c r="N1385" i="2"/>
  <c r="T1384" i="2"/>
  <c r="S1384" i="2"/>
  <c r="R1384" i="2"/>
  <c r="Q1384" i="2"/>
  <c r="P1384" i="2"/>
  <c r="U1384" i="2" s="1"/>
  <c r="O1384" i="2"/>
  <c r="N1384" i="2"/>
  <c r="T1383" i="2"/>
  <c r="S1383" i="2"/>
  <c r="R1383" i="2"/>
  <c r="Q1383" i="2"/>
  <c r="O1383" i="2"/>
  <c r="P1383" i="2" s="1"/>
  <c r="U1383" i="2" s="1"/>
  <c r="N1383" i="2"/>
  <c r="T1382" i="2"/>
  <c r="S1382" i="2"/>
  <c r="R1382" i="2"/>
  <c r="Q1382" i="2"/>
  <c r="P1382" i="2"/>
  <c r="U1382" i="2" s="1"/>
  <c r="O1382" i="2"/>
  <c r="N1382" i="2"/>
  <c r="T1381" i="2"/>
  <c r="S1381" i="2"/>
  <c r="R1381" i="2"/>
  <c r="Q1381" i="2"/>
  <c r="P1381" i="2"/>
  <c r="U1381" i="2" s="1"/>
  <c r="O1381" i="2"/>
  <c r="N1381" i="2"/>
  <c r="T1380" i="2"/>
  <c r="S1380" i="2"/>
  <c r="R1380" i="2"/>
  <c r="Q1380" i="2"/>
  <c r="P1380" i="2"/>
  <c r="U1380" i="2" s="1"/>
  <c r="O1380" i="2"/>
  <c r="N1380" i="2"/>
  <c r="T1379" i="2"/>
  <c r="S1379" i="2"/>
  <c r="R1379" i="2"/>
  <c r="Q1379" i="2"/>
  <c r="P1379" i="2"/>
  <c r="U1379" i="2" s="1"/>
  <c r="O1379" i="2"/>
  <c r="N1379" i="2"/>
  <c r="T1378" i="2"/>
  <c r="S1378" i="2"/>
  <c r="R1378" i="2"/>
  <c r="Q1378" i="2"/>
  <c r="P1378" i="2"/>
  <c r="U1378" i="2" s="1"/>
  <c r="O1378" i="2"/>
  <c r="N1378" i="2"/>
  <c r="T1377" i="2"/>
  <c r="S1377" i="2"/>
  <c r="R1377" i="2"/>
  <c r="Q1377" i="2"/>
  <c r="P1377" i="2"/>
  <c r="U1377" i="2" s="1"/>
  <c r="O1377" i="2"/>
  <c r="N1377" i="2"/>
  <c r="T1376" i="2"/>
  <c r="S1376" i="2"/>
  <c r="R1376" i="2"/>
  <c r="Q1376" i="2"/>
  <c r="P1376" i="2"/>
  <c r="U1376" i="2" s="1"/>
  <c r="O1376" i="2"/>
  <c r="N1376" i="2"/>
  <c r="T1375" i="2"/>
  <c r="S1375" i="2"/>
  <c r="R1375" i="2"/>
  <c r="Q1375" i="2"/>
  <c r="P1375" i="2"/>
  <c r="U1375" i="2" s="1"/>
  <c r="O1375" i="2"/>
  <c r="N1375" i="2"/>
  <c r="S1374" i="2"/>
  <c r="R1374" i="2"/>
  <c r="Q1374" i="2"/>
  <c r="P1374" i="2"/>
  <c r="U1374" i="2" s="1"/>
  <c r="O1374" i="2"/>
  <c r="T1374" i="2" s="1"/>
  <c r="N1374" i="2"/>
  <c r="T1373" i="2"/>
  <c r="S1373" i="2"/>
  <c r="R1373" i="2"/>
  <c r="Q1373" i="2"/>
  <c r="P1373" i="2"/>
  <c r="U1373" i="2" s="1"/>
  <c r="O1373" i="2"/>
  <c r="N1373" i="2"/>
  <c r="T1372" i="2"/>
  <c r="S1372" i="2"/>
  <c r="R1372" i="2"/>
  <c r="Q1372" i="2"/>
  <c r="P1372" i="2"/>
  <c r="U1372" i="2" s="1"/>
  <c r="O1372" i="2"/>
  <c r="N1372" i="2"/>
  <c r="S1371" i="2"/>
  <c r="R1371" i="2"/>
  <c r="Q1371" i="2"/>
  <c r="O1371" i="2"/>
  <c r="T1371" i="2" s="1"/>
  <c r="N1371" i="2"/>
  <c r="T1370" i="2"/>
  <c r="S1370" i="2"/>
  <c r="R1370" i="2"/>
  <c r="Q1370" i="2"/>
  <c r="P1370" i="2"/>
  <c r="U1370" i="2" s="1"/>
  <c r="O1370" i="2"/>
  <c r="N1370" i="2"/>
  <c r="T1369" i="2"/>
  <c r="S1369" i="2"/>
  <c r="R1369" i="2"/>
  <c r="Q1369" i="2"/>
  <c r="P1369" i="2"/>
  <c r="U1369" i="2" s="1"/>
  <c r="O1369" i="2"/>
  <c r="N1369" i="2"/>
  <c r="T1368" i="2"/>
  <c r="S1368" i="2"/>
  <c r="R1368" i="2"/>
  <c r="Q1368" i="2"/>
  <c r="P1368" i="2"/>
  <c r="U1368" i="2" s="1"/>
  <c r="O1368" i="2"/>
  <c r="N1368" i="2"/>
  <c r="T1367" i="2"/>
  <c r="S1367" i="2"/>
  <c r="R1367" i="2"/>
  <c r="Q1367" i="2"/>
  <c r="P1367" i="2"/>
  <c r="U1367" i="2" s="1"/>
  <c r="O1367" i="2"/>
  <c r="N1367" i="2"/>
  <c r="T1366" i="2"/>
  <c r="S1366" i="2"/>
  <c r="R1366" i="2"/>
  <c r="Q1366" i="2"/>
  <c r="P1366" i="2"/>
  <c r="U1366" i="2" s="1"/>
  <c r="O1366" i="2"/>
  <c r="N1366" i="2"/>
  <c r="U1365" i="2"/>
  <c r="T1365" i="2"/>
  <c r="S1365" i="2"/>
  <c r="R1365" i="2"/>
  <c r="Q1365" i="2"/>
  <c r="O1365" i="2"/>
  <c r="P1365" i="2" s="1"/>
  <c r="N1365" i="2"/>
  <c r="T1364" i="2"/>
  <c r="S1364" i="2"/>
  <c r="R1364" i="2"/>
  <c r="Q1364" i="2"/>
  <c r="P1364" i="2"/>
  <c r="U1364" i="2" s="1"/>
  <c r="O1364" i="2"/>
  <c r="N1364" i="2"/>
  <c r="T1363" i="2"/>
  <c r="S1363" i="2"/>
  <c r="R1363" i="2"/>
  <c r="Q1363" i="2"/>
  <c r="P1363" i="2"/>
  <c r="U1363" i="2" s="1"/>
  <c r="O1363" i="2"/>
  <c r="N1363" i="2"/>
  <c r="T1362" i="2"/>
  <c r="S1362" i="2"/>
  <c r="R1362" i="2"/>
  <c r="Q1362" i="2"/>
  <c r="P1362" i="2"/>
  <c r="U1362" i="2" s="1"/>
  <c r="O1362" i="2"/>
  <c r="N1362" i="2"/>
  <c r="T1361" i="2"/>
  <c r="S1361" i="2"/>
  <c r="R1361" i="2"/>
  <c r="Q1361" i="2"/>
  <c r="P1361" i="2"/>
  <c r="U1361" i="2" s="1"/>
  <c r="O1361" i="2"/>
  <c r="N1361" i="2"/>
  <c r="T1360" i="2"/>
  <c r="S1360" i="2"/>
  <c r="R1360" i="2"/>
  <c r="Q1360" i="2"/>
  <c r="P1360" i="2"/>
  <c r="U1360" i="2" s="1"/>
  <c r="O1360" i="2"/>
  <c r="N1360" i="2"/>
  <c r="T1359" i="2"/>
  <c r="S1359" i="2"/>
  <c r="R1359" i="2"/>
  <c r="Q1359" i="2"/>
  <c r="P1359" i="2"/>
  <c r="U1359" i="2" s="1"/>
  <c r="O1359" i="2"/>
  <c r="N1359" i="2"/>
  <c r="T1358" i="2"/>
  <c r="S1358" i="2"/>
  <c r="R1358" i="2"/>
  <c r="Q1358" i="2"/>
  <c r="P1358" i="2"/>
  <c r="U1358" i="2" s="1"/>
  <c r="O1358" i="2"/>
  <c r="N1358" i="2"/>
  <c r="T1357" i="2"/>
  <c r="S1357" i="2"/>
  <c r="R1357" i="2"/>
  <c r="Q1357" i="2"/>
  <c r="P1357" i="2"/>
  <c r="U1357" i="2" s="1"/>
  <c r="O1357" i="2"/>
  <c r="N1357" i="2"/>
  <c r="S1356" i="2"/>
  <c r="R1356" i="2"/>
  <c r="Q1356" i="2"/>
  <c r="O1356" i="2"/>
  <c r="T1356" i="2" s="1"/>
  <c r="N1356" i="2"/>
  <c r="T1355" i="2"/>
  <c r="S1355" i="2"/>
  <c r="R1355" i="2"/>
  <c r="Q1355" i="2"/>
  <c r="P1355" i="2"/>
  <c r="U1355" i="2" s="1"/>
  <c r="O1355" i="2"/>
  <c r="N1355" i="2"/>
  <c r="T1354" i="2"/>
  <c r="S1354" i="2"/>
  <c r="R1354" i="2"/>
  <c r="Q1354" i="2"/>
  <c r="P1354" i="2"/>
  <c r="U1354" i="2" s="1"/>
  <c r="O1354" i="2"/>
  <c r="N1354" i="2"/>
  <c r="S1353" i="2"/>
  <c r="R1353" i="2"/>
  <c r="Q1353" i="2"/>
  <c r="O1353" i="2"/>
  <c r="T1353" i="2" s="1"/>
  <c r="N1353" i="2"/>
  <c r="T1352" i="2"/>
  <c r="S1352" i="2"/>
  <c r="R1352" i="2"/>
  <c r="Q1352" i="2"/>
  <c r="P1352" i="2"/>
  <c r="U1352" i="2" s="1"/>
  <c r="O1352" i="2"/>
  <c r="N1352" i="2"/>
  <c r="T1351" i="2"/>
  <c r="S1351" i="2"/>
  <c r="R1351" i="2"/>
  <c r="Q1351" i="2"/>
  <c r="P1351" i="2"/>
  <c r="U1351" i="2" s="1"/>
  <c r="O1351" i="2"/>
  <c r="N1351" i="2"/>
  <c r="T1350" i="2"/>
  <c r="S1350" i="2"/>
  <c r="R1350" i="2"/>
  <c r="Q1350" i="2"/>
  <c r="P1350" i="2"/>
  <c r="U1350" i="2" s="1"/>
  <c r="O1350" i="2"/>
  <c r="N1350" i="2"/>
  <c r="T1349" i="2"/>
  <c r="S1349" i="2"/>
  <c r="R1349" i="2"/>
  <c r="Q1349" i="2"/>
  <c r="P1349" i="2"/>
  <c r="U1349" i="2" s="1"/>
  <c r="O1349" i="2"/>
  <c r="N1349" i="2"/>
  <c r="T1348" i="2"/>
  <c r="S1348" i="2"/>
  <c r="R1348" i="2"/>
  <c r="Q1348" i="2"/>
  <c r="P1348" i="2"/>
  <c r="U1348" i="2" s="1"/>
  <c r="O1348" i="2"/>
  <c r="N1348" i="2"/>
  <c r="U1347" i="2"/>
  <c r="T1347" i="2"/>
  <c r="S1347" i="2"/>
  <c r="R1347" i="2"/>
  <c r="Q1347" i="2"/>
  <c r="O1347" i="2"/>
  <c r="P1347" i="2" s="1"/>
  <c r="N1347" i="2"/>
  <c r="T1346" i="2"/>
  <c r="S1346" i="2"/>
  <c r="R1346" i="2"/>
  <c r="Q1346" i="2"/>
  <c r="P1346" i="2"/>
  <c r="U1346" i="2" s="1"/>
  <c r="O1346" i="2"/>
  <c r="N1346" i="2"/>
  <c r="T1345" i="2"/>
  <c r="S1345" i="2"/>
  <c r="R1345" i="2"/>
  <c r="Q1345" i="2"/>
  <c r="P1345" i="2"/>
  <c r="U1345" i="2" s="1"/>
  <c r="O1345" i="2"/>
  <c r="N1345" i="2"/>
  <c r="T1344" i="2"/>
  <c r="S1344" i="2"/>
  <c r="R1344" i="2"/>
  <c r="Q1344" i="2"/>
  <c r="P1344" i="2"/>
  <c r="U1344" i="2" s="1"/>
  <c r="O1344" i="2"/>
  <c r="N1344" i="2"/>
  <c r="T1343" i="2"/>
  <c r="S1343" i="2"/>
  <c r="R1343" i="2"/>
  <c r="Q1343" i="2"/>
  <c r="P1343" i="2"/>
  <c r="U1343" i="2" s="1"/>
  <c r="O1343" i="2"/>
  <c r="N1343" i="2"/>
  <c r="T1342" i="2"/>
  <c r="S1342" i="2"/>
  <c r="R1342" i="2"/>
  <c r="Q1342" i="2"/>
  <c r="P1342" i="2"/>
  <c r="U1342" i="2" s="1"/>
  <c r="O1342" i="2"/>
  <c r="N1342" i="2"/>
  <c r="T1341" i="2"/>
  <c r="S1341" i="2"/>
  <c r="R1341" i="2"/>
  <c r="Q1341" i="2"/>
  <c r="P1341" i="2"/>
  <c r="U1341" i="2" s="1"/>
  <c r="O1341" i="2"/>
  <c r="N1341" i="2"/>
  <c r="T1340" i="2"/>
  <c r="S1340" i="2"/>
  <c r="R1340" i="2"/>
  <c r="Q1340" i="2"/>
  <c r="P1340" i="2"/>
  <c r="U1340" i="2" s="1"/>
  <c r="O1340" i="2"/>
  <c r="N1340" i="2"/>
  <c r="T1339" i="2"/>
  <c r="S1339" i="2"/>
  <c r="R1339" i="2"/>
  <c r="Q1339" i="2"/>
  <c r="P1339" i="2"/>
  <c r="U1339" i="2" s="1"/>
  <c r="O1339" i="2"/>
  <c r="N1339" i="2"/>
  <c r="S1338" i="2"/>
  <c r="R1338" i="2"/>
  <c r="Q1338" i="2"/>
  <c r="P1338" i="2"/>
  <c r="U1338" i="2" s="1"/>
  <c r="O1338" i="2"/>
  <c r="T1338" i="2" s="1"/>
  <c r="N1338" i="2"/>
  <c r="T1337" i="2"/>
  <c r="S1337" i="2"/>
  <c r="R1337" i="2"/>
  <c r="Q1337" i="2"/>
  <c r="P1337" i="2"/>
  <c r="U1337" i="2" s="1"/>
  <c r="O1337" i="2"/>
  <c r="N1337" i="2"/>
  <c r="T1336" i="2"/>
  <c r="S1336" i="2"/>
  <c r="R1336" i="2"/>
  <c r="Q1336" i="2"/>
  <c r="P1336" i="2"/>
  <c r="U1336" i="2" s="1"/>
  <c r="O1336" i="2"/>
  <c r="N1336" i="2"/>
  <c r="S1335" i="2"/>
  <c r="R1335" i="2"/>
  <c r="Q1335" i="2"/>
  <c r="O1335" i="2"/>
  <c r="T1335" i="2" s="1"/>
  <c r="N1335" i="2"/>
  <c r="T1334" i="2"/>
  <c r="S1334" i="2"/>
  <c r="R1334" i="2"/>
  <c r="Q1334" i="2"/>
  <c r="P1334" i="2"/>
  <c r="U1334" i="2" s="1"/>
  <c r="O1334" i="2"/>
  <c r="N1334" i="2"/>
  <c r="T1333" i="2"/>
  <c r="S1333" i="2"/>
  <c r="R1333" i="2"/>
  <c r="Q1333" i="2"/>
  <c r="P1333" i="2"/>
  <c r="U1333" i="2" s="1"/>
  <c r="O1333" i="2"/>
  <c r="N1333" i="2"/>
  <c r="T1332" i="2"/>
  <c r="S1332" i="2"/>
  <c r="R1332" i="2"/>
  <c r="Q1332" i="2"/>
  <c r="P1332" i="2"/>
  <c r="U1332" i="2" s="1"/>
  <c r="O1332" i="2"/>
  <c r="N1332" i="2"/>
  <c r="T1331" i="2"/>
  <c r="S1331" i="2"/>
  <c r="R1331" i="2"/>
  <c r="Q1331" i="2"/>
  <c r="P1331" i="2"/>
  <c r="U1331" i="2" s="1"/>
  <c r="O1331" i="2"/>
  <c r="N1331" i="2"/>
  <c r="T1330" i="2"/>
  <c r="S1330" i="2"/>
  <c r="R1330" i="2"/>
  <c r="Q1330" i="2"/>
  <c r="P1330" i="2"/>
  <c r="U1330" i="2" s="1"/>
  <c r="O1330" i="2"/>
  <c r="N1330" i="2"/>
  <c r="S1329" i="2"/>
  <c r="R1329" i="2"/>
  <c r="Q1329" i="2"/>
  <c r="P1329" i="2"/>
  <c r="U1329" i="2" s="1"/>
  <c r="O1329" i="2"/>
  <c r="T1329" i="2" s="1"/>
  <c r="N1329" i="2"/>
  <c r="T1328" i="2"/>
  <c r="S1328" i="2"/>
  <c r="R1328" i="2"/>
  <c r="Q1328" i="2"/>
  <c r="P1328" i="2"/>
  <c r="U1328" i="2" s="1"/>
  <c r="O1328" i="2"/>
  <c r="N1328" i="2"/>
  <c r="U1327" i="2"/>
  <c r="T1327" i="2"/>
  <c r="S1327" i="2"/>
  <c r="R1327" i="2"/>
  <c r="Q1327" i="2"/>
  <c r="P1327" i="2"/>
  <c r="O1327" i="2"/>
  <c r="N1327" i="2"/>
  <c r="S1326" i="2"/>
  <c r="R1326" i="2"/>
  <c r="Q1326" i="2"/>
  <c r="O1326" i="2"/>
  <c r="P1326" i="2" s="1"/>
  <c r="U1326" i="2" s="1"/>
  <c r="N1326" i="2"/>
  <c r="T1325" i="2"/>
  <c r="S1325" i="2"/>
  <c r="R1325" i="2"/>
  <c r="Q1325" i="2"/>
  <c r="P1325" i="2"/>
  <c r="U1325" i="2" s="1"/>
  <c r="O1325" i="2"/>
  <c r="N1325" i="2"/>
  <c r="U1324" i="2"/>
  <c r="T1324" i="2"/>
  <c r="S1324" i="2"/>
  <c r="R1324" i="2"/>
  <c r="Q1324" i="2"/>
  <c r="P1324" i="2"/>
  <c r="O1324" i="2"/>
  <c r="N1324" i="2"/>
  <c r="U1323" i="2"/>
  <c r="T1323" i="2"/>
  <c r="S1323" i="2"/>
  <c r="R1323" i="2"/>
  <c r="Q1323" i="2"/>
  <c r="P1323" i="2"/>
  <c r="O1323" i="2"/>
  <c r="N1323" i="2"/>
  <c r="T1322" i="2"/>
  <c r="S1322" i="2"/>
  <c r="R1322" i="2"/>
  <c r="Q1322" i="2"/>
  <c r="P1322" i="2"/>
  <c r="U1322" i="2" s="1"/>
  <c r="O1322" i="2"/>
  <c r="N1322" i="2"/>
  <c r="T1321" i="2"/>
  <c r="S1321" i="2"/>
  <c r="R1321" i="2"/>
  <c r="Q1321" i="2"/>
  <c r="P1321" i="2"/>
  <c r="U1321" i="2" s="1"/>
  <c r="O1321" i="2"/>
  <c r="N1321" i="2"/>
  <c r="T1320" i="2"/>
  <c r="S1320" i="2"/>
  <c r="R1320" i="2"/>
  <c r="Q1320" i="2"/>
  <c r="P1320" i="2"/>
  <c r="U1320" i="2" s="1"/>
  <c r="O1320" i="2"/>
  <c r="N1320" i="2"/>
  <c r="T1319" i="2"/>
  <c r="S1319" i="2"/>
  <c r="R1319" i="2"/>
  <c r="Q1319" i="2"/>
  <c r="P1319" i="2"/>
  <c r="U1319" i="2" s="1"/>
  <c r="O1319" i="2"/>
  <c r="N1319" i="2"/>
  <c r="U1318" i="2"/>
  <c r="T1318" i="2"/>
  <c r="S1318" i="2"/>
  <c r="R1318" i="2"/>
  <c r="Q1318" i="2"/>
  <c r="P1318" i="2"/>
  <c r="O1318" i="2"/>
  <c r="N1318" i="2"/>
  <c r="S1317" i="2"/>
  <c r="R1317" i="2"/>
  <c r="Q1317" i="2"/>
  <c r="O1317" i="2"/>
  <c r="N1317" i="2"/>
  <c r="T1316" i="2"/>
  <c r="S1316" i="2"/>
  <c r="R1316" i="2"/>
  <c r="Q1316" i="2"/>
  <c r="P1316" i="2"/>
  <c r="U1316" i="2" s="1"/>
  <c r="O1316" i="2"/>
  <c r="N1316" i="2"/>
  <c r="U1315" i="2"/>
  <c r="T1315" i="2"/>
  <c r="S1315" i="2"/>
  <c r="R1315" i="2"/>
  <c r="Q1315" i="2"/>
  <c r="P1315" i="2"/>
  <c r="O1315" i="2"/>
  <c r="N1315" i="2"/>
  <c r="T1314" i="2"/>
  <c r="S1314" i="2"/>
  <c r="R1314" i="2"/>
  <c r="Q1314" i="2"/>
  <c r="P1314" i="2"/>
  <c r="U1314" i="2" s="1"/>
  <c r="O1314" i="2"/>
  <c r="N1314" i="2"/>
  <c r="T1313" i="2"/>
  <c r="S1313" i="2"/>
  <c r="R1313" i="2"/>
  <c r="Q1313" i="2"/>
  <c r="P1313" i="2"/>
  <c r="U1313" i="2" s="1"/>
  <c r="O1313" i="2"/>
  <c r="N1313" i="2"/>
  <c r="U1312" i="2"/>
  <c r="T1312" i="2"/>
  <c r="S1312" i="2"/>
  <c r="R1312" i="2"/>
  <c r="Q1312" i="2"/>
  <c r="P1312" i="2"/>
  <c r="O1312" i="2"/>
  <c r="N1312" i="2"/>
  <c r="S1311" i="2"/>
  <c r="R1311" i="2"/>
  <c r="Q1311" i="2"/>
  <c r="O1311" i="2"/>
  <c r="T1311" i="2" s="1"/>
  <c r="N1311" i="2"/>
  <c r="T1310" i="2"/>
  <c r="S1310" i="2"/>
  <c r="R1310" i="2"/>
  <c r="Q1310" i="2"/>
  <c r="P1310" i="2"/>
  <c r="U1310" i="2" s="1"/>
  <c r="O1310" i="2"/>
  <c r="N1310" i="2"/>
  <c r="T1309" i="2"/>
  <c r="S1309" i="2"/>
  <c r="R1309" i="2"/>
  <c r="Q1309" i="2"/>
  <c r="P1309" i="2"/>
  <c r="U1309" i="2" s="1"/>
  <c r="O1309" i="2"/>
  <c r="N1309" i="2"/>
  <c r="S1308" i="2"/>
  <c r="R1308" i="2"/>
  <c r="Q1308" i="2"/>
  <c r="O1308" i="2"/>
  <c r="T1308" i="2" s="1"/>
  <c r="N1308" i="2"/>
  <c r="T1307" i="2"/>
  <c r="S1307" i="2"/>
  <c r="R1307" i="2"/>
  <c r="Q1307" i="2"/>
  <c r="P1307" i="2"/>
  <c r="U1307" i="2" s="1"/>
  <c r="O1307" i="2"/>
  <c r="N1307" i="2"/>
  <c r="U1306" i="2"/>
  <c r="T1306" i="2"/>
  <c r="S1306" i="2"/>
  <c r="R1306" i="2"/>
  <c r="Q1306" i="2"/>
  <c r="P1306" i="2"/>
  <c r="O1306" i="2"/>
  <c r="N1306" i="2"/>
  <c r="S1305" i="2"/>
  <c r="R1305" i="2"/>
  <c r="Q1305" i="2"/>
  <c r="O1305" i="2"/>
  <c r="N1305" i="2"/>
  <c r="T1304" i="2"/>
  <c r="S1304" i="2"/>
  <c r="R1304" i="2"/>
  <c r="Q1304" i="2"/>
  <c r="P1304" i="2"/>
  <c r="U1304" i="2" s="1"/>
  <c r="O1304" i="2"/>
  <c r="N1304" i="2"/>
  <c r="T1303" i="2"/>
  <c r="S1303" i="2"/>
  <c r="R1303" i="2"/>
  <c r="Q1303" i="2"/>
  <c r="P1303" i="2"/>
  <c r="U1303" i="2" s="1"/>
  <c r="O1303" i="2"/>
  <c r="N1303" i="2"/>
  <c r="S1302" i="2"/>
  <c r="R1302" i="2"/>
  <c r="Q1302" i="2"/>
  <c r="O1302" i="2"/>
  <c r="T1302" i="2" s="1"/>
  <c r="N1302" i="2"/>
  <c r="T1301" i="2"/>
  <c r="S1301" i="2"/>
  <c r="R1301" i="2"/>
  <c r="Q1301" i="2"/>
  <c r="P1301" i="2"/>
  <c r="U1301" i="2" s="1"/>
  <c r="O1301" i="2"/>
  <c r="N1301" i="2"/>
  <c r="T1300" i="2"/>
  <c r="S1300" i="2"/>
  <c r="R1300" i="2"/>
  <c r="Q1300" i="2"/>
  <c r="P1300" i="2"/>
  <c r="U1300" i="2" s="1"/>
  <c r="O1300" i="2"/>
  <c r="N1300" i="2"/>
  <c r="U1299" i="2"/>
  <c r="T1299" i="2"/>
  <c r="S1299" i="2"/>
  <c r="R1299" i="2"/>
  <c r="Q1299" i="2"/>
  <c r="O1299" i="2"/>
  <c r="P1299" i="2" s="1"/>
  <c r="N1299" i="2"/>
  <c r="T1298" i="2"/>
  <c r="S1298" i="2"/>
  <c r="R1298" i="2"/>
  <c r="Q1298" i="2"/>
  <c r="P1298" i="2"/>
  <c r="U1298" i="2" s="1"/>
  <c r="O1298" i="2"/>
  <c r="N1298" i="2"/>
  <c r="T1297" i="2"/>
  <c r="S1297" i="2"/>
  <c r="R1297" i="2"/>
  <c r="Q1297" i="2"/>
  <c r="P1297" i="2"/>
  <c r="U1297" i="2" s="1"/>
  <c r="O1297" i="2"/>
  <c r="N1297" i="2"/>
  <c r="T1296" i="2"/>
  <c r="S1296" i="2"/>
  <c r="R1296" i="2"/>
  <c r="Q1296" i="2"/>
  <c r="P1296" i="2"/>
  <c r="U1296" i="2" s="1"/>
  <c r="O1296" i="2"/>
  <c r="N1296" i="2"/>
  <c r="T1295" i="2"/>
  <c r="S1295" i="2"/>
  <c r="R1295" i="2"/>
  <c r="Q1295" i="2"/>
  <c r="P1295" i="2"/>
  <c r="U1295" i="2" s="1"/>
  <c r="O1295" i="2"/>
  <c r="N1295" i="2"/>
  <c r="U1294" i="2"/>
  <c r="T1294" i="2"/>
  <c r="S1294" i="2"/>
  <c r="R1294" i="2"/>
  <c r="Q1294" i="2"/>
  <c r="P1294" i="2"/>
  <c r="O1294" i="2"/>
  <c r="N1294" i="2"/>
  <c r="T1293" i="2"/>
  <c r="S1293" i="2"/>
  <c r="R1293" i="2"/>
  <c r="Q1293" i="2"/>
  <c r="P1293" i="2"/>
  <c r="U1293" i="2" s="1"/>
  <c r="O1293" i="2"/>
  <c r="N1293" i="2"/>
  <c r="T1292" i="2"/>
  <c r="S1292" i="2"/>
  <c r="R1292" i="2"/>
  <c r="Q1292" i="2"/>
  <c r="P1292" i="2"/>
  <c r="U1292" i="2" s="1"/>
  <c r="O1292" i="2"/>
  <c r="N1292" i="2"/>
  <c r="U1291" i="2"/>
  <c r="T1291" i="2"/>
  <c r="S1291" i="2"/>
  <c r="R1291" i="2"/>
  <c r="Q1291" i="2"/>
  <c r="P1291" i="2"/>
  <c r="O1291" i="2"/>
  <c r="N1291" i="2"/>
  <c r="T1290" i="2"/>
  <c r="S1290" i="2"/>
  <c r="R1290" i="2"/>
  <c r="Q1290" i="2"/>
  <c r="P1290" i="2"/>
  <c r="U1290" i="2" s="1"/>
  <c r="O1290" i="2"/>
  <c r="N1290" i="2"/>
  <c r="T1289" i="2"/>
  <c r="S1289" i="2"/>
  <c r="R1289" i="2"/>
  <c r="Q1289" i="2"/>
  <c r="P1289" i="2"/>
  <c r="U1289" i="2" s="1"/>
  <c r="O1289" i="2"/>
  <c r="N1289" i="2"/>
  <c r="T1288" i="2"/>
  <c r="S1288" i="2"/>
  <c r="R1288" i="2"/>
  <c r="Q1288" i="2"/>
  <c r="P1288" i="2"/>
  <c r="U1288" i="2" s="1"/>
  <c r="O1288" i="2"/>
  <c r="N1288" i="2"/>
  <c r="T1287" i="2"/>
  <c r="S1287" i="2"/>
  <c r="R1287" i="2"/>
  <c r="Q1287" i="2"/>
  <c r="P1287" i="2"/>
  <c r="U1287" i="2" s="1"/>
  <c r="O1287" i="2"/>
  <c r="N1287" i="2"/>
  <c r="T1286" i="2"/>
  <c r="S1286" i="2"/>
  <c r="R1286" i="2"/>
  <c r="Q1286" i="2"/>
  <c r="P1286" i="2"/>
  <c r="U1286" i="2" s="1"/>
  <c r="O1286" i="2"/>
  <c r="N1286" i="2"/>
  <c r="T1285" i="2"/>
  <c r="S1285" i="2"/>
  <c r="R1285" i="2"/>
  <c r="Q1285" i="2"/>
  <c r="P1285" i="2"/>
  <c r="U1285" i="2" s="1"/>
  <c r="O1285" i="2"/>
  <c r="N1285" i="2"/>
  <c r="T1284" i="2"/>
  <c r="S1284" i="2"/>
  <c r="R1284" i="2"/>
  <c r="Q1284" i="2"/>
  <c r="P1284" i="2"/>
  <c r="U1284" i="2" s="1"/>
  <c r="O1284" i="2"/>
  <c r="N1284" i="2"/>
  <c r="T1283" i="2"/>
  <c r="S1283" i="2"/>
  <c r="R1283" i="2"/>
  <c r="Q1283" i="2"/>
  <c r="P1283" i="2"/>
  <c r="U1283" i="2" s="1"/>
  <c r="O1283" i="2"/>
  <c r="N1283" i="2"/>
  <c r="T1282" i="2"/>
  <c r="S1282" i="2"/>
  <c r="R1282" i="2"/>
  <c r="Q1282" i="2"/>
  <c r="P1282" i="2"/>
  <c r="U1282" i="2" s="1"/>
  <c r="O1282" i="2"/>
  <c r="N1282" i="2"/>
  <c r="T1281" i="2"/>
  <c r="S1281" i="2"/>
  <c r="R1281" i="2"/>
  <c r="Q1281" i="2"/>
  <c r="P1281" i="2"/>
  <c r="U1281" i="2" s="1"/>
  <c r="O1281" i="2"/>
  <c r="N1281" i="2"/>
  <c r="T1280" i="2"/>
  <c r="S1280" i="2"/>
  <c r="R1280" i="2"/>
  <c r="Q1280" i="2"/>
  <c r="P1280" i="2"/>
  <c r="U1280" i="2" s="1"/>
  <c r="O1280" i="2"/>
  <c r="N1280" i="2"/>
  <c r="T1279" i="2"/>
  <c r="S1279" i="2"/>
  <c r="R1279" i="2"/>
  <c r="Q1279" i="2"/>
  <c r="P1279" i="2"/>
  <c r="U1279" i="2" s="1"/>
  <c r="O1279" i="2"/>
  <c r="N1279" i="2"/>
  <c r="T1278" i="2"/>
  <c r="S1278" i="2"/>
  <c r="R1278" i="2"/>
  <c r="Q1278" i="2"/>
  <c r="P1278" i="2"/>
  <c r="U1278" i="2" s="1"/>
  <c r="O1278" i="2"/>
  <c r="N1278" i="2"/>
  <c r="T1277" i="2"/>
  <c r="S1277" i="2"/>
  <c r="R1277" i="2"/>
  <c r="Q1277" i="2"/>
  <c r="P1277" i="2"/>
  <c r="U1277" i="2" s="1"/>
  <c r="O1277" i="2"/>
  <c r="N1277" i="2"/>
  <c r="U1276" i="2"/>
  <c r="T1276" i="2"/>
  <c r="S1276" i="2"/>
  <c r="R1276" i="2"/>
  <c r="Q1276" i="2"/>
  <c r="P1276" i="2"/>
  <c r="O1276" i="2"/>
  <c r="N1276" i="2"/>
  <c r="T1275" i="2"/>
  <c r="S1275" i="2"/>
  <c r="R1275" i="2"/>
  <c r="Q1275" i="2"/>
  <c r="P1275" i="2"/>
  <c r="U1275" i="2" s="1"/>
  <c r="O1275" i="2"/>
  <c r="N1275" i="2"/>
  <c r="T1274" i="2"/>
  <c r="S1274" i="2"/>
  <c r="R1274" i="2"/>
  <c r="Q1274" i="2"/>
  <c r="P1274" i="2"/>
  <c r="U1274" i="2" s="1"/>
  <c r="O1274" i="2"/>
  <c r="N1274" i="2"/>
  <c r="U1273" i="2"/>
  <c r="T1273" i="2"/>
  <c r="S1273" i="2"/>
  <c r="R1273" i="2"/>
  <c r="Q1273" i="2"/>
  <c r="P1273" i="2"/>
  <c r="O1273" i="2"/>
  <c r="N1273" i="2"/>
  <c r="T1272" i="2"/>
  <c r="S1272" i="2"/>
  <c r="R1272" i="2"/>
  <c r="Q1272" i="2"/>
  <c r="P1272" i="2"/>
  <c r="U1272" i="2" s="1"/>
  <c r="O1272" i="2"/>
  <c r="N1272" i="2"/>
  <c r="T1271" i="2"/>
  <c r="S1271" i="2"/>
  <c r="R1271" i="2"/>
  <c r="Q1271" i="2"/>
  <c r="P1271" i="2"/>
  <c r="U1271" i="2" s="1"/>
  <c r="O1271" i="2"/>
  <c r="N1271" i="2"/>
  <c r="T1270" i="2"/>
  <c r="S1270" i="2"/>
  <c r="R1270" i="2"/>
  <c r="Q1270" i="2"/>
  <c r="P1270" i="2"/>
  <c r="U1270" i="2" s="1"/>
  <c r="O1270" i="2"/>
  <c r="N1270" i="2"/>
  <c r="T1269" i="2"/>
  <c r="S1269" i="2"/>
  <c r="R1269" i="2"/>
  <c r="Q1269" i="2"/>
  <c r="P1269" i="2"/>
  <c r="U1269" i="2" s="1"/>
  <c r="O1269" i="2"/>
  <c r="N1269" i="2"/>
  <c r="T1268" i="2"/>
  <c r="S1268" i="2"/>
  <c r="R1268" i="2"/>
  <c r="Q1268" i="2"/>
  <c r="P1268" i="2"/>
  <c r="U1268" i="2" s="1"/>
  <c r="O1268" i="2"/>
  <c r="N1268" i="2"/>
  <c r="T1267" i="2"/>
  <c r="S1267" i="2"/>
  <c r="R1267" i="2"/>
  <c r="Q1267" i="2"/>
  <c r="P1267" i="2"/>
  <c r="U1267" i="2" s="1"/>
  <c r="O1267" i="2"/>
  <c r="N1267" i="2"/>
  <c r="T1266" i="2"/>
  <c r="S1266" i="2"/>
  <c r="R1266" i="2"/>
  <c r="Q1266" i="2"/>
  <c r="P1266" i="2"/>
  <c r="U1266" i="2" s="1"/>
  <c r="O1266" i="2"/>
  <c r="N1266" i="2"/>
  <c r="T1265" i="2"/>
  <c r="S1265" i="2"/>
  <c r="R1265" i="2"/>
  <c r="Q1265" i="2"/>
  <c r="P1265" i="2"/>
  <c r="U1265" i="2" s="1"/>
  <c r="O1265" i="2"/>
  <c r="N1265" i="2"/>
  <c r="T1264" i="2"/>
  <c r="S1264" i="2"/>
  <c r="R1264" i="2"/>
  <c r="Q1264" i="2"/>
  <c r="P1264" i="2"/>
  <c r="U1264" i="2" s="1"/>
  <c r="O1264" i="2"/>
  <c r="N1264" i="2"/>
  <c r="T1263" i="2"/>
  <c r="S1263" i="2"/>
  <c r="R1263" i="2"/>
  <c r="Q1263" i="2"/>
  <c r="P1263" i="2"/>
  <c r="U1263" i="2" s="1"/>
  <c r="O1263" i="2"/>
  <c r="N1263" i="2"/>
  <c r="T1262" i="2"/>
  <c r="S1262" i="2"/>
  <c r="R1262" i="2"/>
  <c r="Q1262" i="2"/>
  <c r="P1262" i="2"/>
  <c r="U1262" i="2" s="1"/>
  <c r="O1262" i="2"/>
  <c r="N1262" i="2"/>
  <c r="T1261" i="2"/>
  <c r="S1261" i="2"/>
  <c r="R1261" i="2"/>
  <c r="Q1261" i="2"/>
  <c r="P1261" i="2"/>
  <c r="U1261" i="2" s="1"/>
  <c r="O1261" i="2"/>
  <c r="N1261" i="2"/>
  <c r="T1260" i="2"/>
  <c r="S1260" i="2"/>
  <c r="R1260" i="2"/>
  <c r="Q1260" i="2"/>
  <c r="P1260" i="2"/>
  <c r="U1260" i="2" s="1"/>
  <c r="O1260" i="2"/>
  <c r="N1260" i="2"/>
  <c r="T1259" i="2"/>
  <c r="S1259" i="2"/>
  <c r="R1259" i="2"/>
  <c r="Q1259" i="2"/>
  <c r="P1259" i="2"/>
  <c r="U1259" i="2" s="1"/>
  <c r="O1259" i="2"/>
  <c r="N1259" i="2"/>
  <c r="U1258" i="2"/>
  <c r="T1258" i="2"/>
  <c r="S1258" i="2"/>
  <c r="R1258" i="2"/>
  <c r="Q1258" i="2"/>
  <c r="P1258" i="2"/>
  <c r="O1258" i="2"/>
  <c r="N1258" i="2"/>
  <c r="T1257" i="2"/>
  <c r="S1257" i="2"/>
  <c r="R1257" i="2"/>
  <c r="Q1257" i="2"/>
  <c r="P1257" i="2"/>
  <c r="U1257" i="2" s="1"/>
  <c r="O1257" i="2"/>
  <c r="N1257" i="2"/>
  <c r="T1256" i="2"/>
  <c r="S1256" i="2"/>
  <c r="R1256" i="2"/>
  <c r="Q1256" i="2"/>
  <c r="P1256" i="2"/>
  <c r="U1256" i="2" s="1"/>
  <c r="O1256" i="2"/>
  <c r="N1256" i="2"/>
  <c r="U1255" i="2"/>
  <c r="T1255" i="2"/>
  <c r="S1255" i="2"/>
  <c r="R1255" i="2"/>
  <c r="Q1255" i="2"/>
  <c r="P1255" i="2"/>
  <c r="O1255" i="2"/>
  <c r="N1255" i="2"/>
  <c r="T1254" i="2"/>
  <c r="S1254" i="2"/>
  <c r="R1254" i="2"/>
  <c r="Q1254" i="2"/>
  <c r="P1254" i="2"/>
  <c r="U1254" i="2" s="1"/>
  <c r="O1254" i="2"/>
  <c r="N1254" i="2"/>
  <c r="T1253" i="2"/>
  <c r="S1253" i="2"/>
  <c r="R1253" i="2"/>
  <c r="Q1253" i="2"/>
  <c r="P1253" i="2"/>
  <c r="U1253" i="2" s="1"/>
  <c r="O1253" i="2"/>
  <c r="N1253" i="2"/>
  <c r="T1252" i="2"/>
  <c r="S1252" i="2"/>
  <c r="R1252" i="2"/>
  <c r="Q1252" i="2"/>
  <c r="P1252" i="2"/>
  <c r="U1252" i="2" s="1"/>
  <c r="O1252" i="2"/>
  <c r="N1252" i="2"/>
  <c r="T1251" i="2"/>
  <c r="S1251" i="2"/>
  <c r="R1251" i="2"/>
  <c r="Q1251" i="2"/>
  <c r="P1251" i="2"/>
  <c r="U1251" i="2" s="1"/>
  <c r="O1251" i="2"/>
  <c r="N1251" i="2"/>
  <c r="T1250" i="2"/>
  <c r="S1250" i="2"/>
  <c r="R1250" i="2"/>
  <c r="Q1250" i="2"/>
  <c r="P1250" i="2"/>
  <c r="U1250" i="2" s="1"/>
  <c r="O1250" i="2"/>
  <c r="N1250" i="2"/>
  <c r="T1249" i="2"/>
  <c r="S1249" i="2"/>
  <c r="R1249" i="2"/>
  <c r="Q1249" i="2"/>
  <c r="P1249" i="2"/>
  <c r="U1249" i="2" s="1"/>
  <c r="O1249" i="2"/>
  <c r="N1249" i="2"/>
  <c r="T1248" i="2"/>
  <c r="S1248" i="2"/>
  <c r="R1248" i="2"/>
  <c r="Q1248" i="2"/>
  <c r="P1248" i="2"/>
  <c r="U1248" i="2" s="1"/>
  <c r="O1248" i="2"/>
  <c r="N1248" i="2"/>
  <c r="T1247" i="2"/>
  <c r="S1247" i="2"/>
  <c r="R1247" i="2"/>
  <c r="Q1247" i="2"/>
  <c r="P1247" i="2"/>
  <c r="U1247" i="2" s="1"/>
  <c r="O1247" i="2"/>
  <c r="N1247" i="2"/>
  <c r="T1246" i="2"/>
  <c r="S1246" i="2"/>
  <c r="R1246" i="2"/>
  <c r="Q1246" i="2"/>
  <c r="P1246" i="2"/>
  <c r="U1246" i="2" s="1"/>
  <c r="O1246" i="2"/>
  <c r="N1246" i="2"/>
  <c r="T1245" i="2"/>
  <c r="S1245" i="2"/>
  <c r="R1245" i="2"/>
  <c r="Q1245" i="2"/>
  <c r="P1245" i="2"/>
  <c r="U1245" i="2" s="1"/>
  <c r="O1245" i="2"/>
  <c r="N1245" i="2"/>
  <c r="T1244" i="2"/>
  <c r="S1244" i="2"/>
  <c r="R1244" i="2"/>
  <c r="Q1244" i="2"/>
  <c r="P1244" i="2"/>
  <c r="U1244" i="2" s="1"/>
  <c r="O1244" i="2"/>
  <c r="N1244" i="2"/>
  <c r="T1243" i="2"/>
  <c r="S1243" i="2"/>
  <c r="R1243" i="2"/>
  <c r="Q1243" i="2"/>
  <c r="P1243" i="2"/>
  <c r="U1243" i="2" s="1"/>
  <c r="O1243" i="2"/>
  <c r="N1243" i="2"/>
  <c r="T1242" i="2"/>
  <c r="S1242" i="2"/>
  <c r="R1242" i="2"/>
  <c r="Q1242" i="2"/>
  <c r="P1242" i="2"/>
  <c r="U1242" i="2" s="1"/>
  <c r="O1242" i="2"/>
  <c r="N1242" i="2"/>
  <c r="T1241" i="2"/>
  <c r="S1241" i="2"/>
  <c r="R1241" i="2"/>
  <c r="Q1241" i="2"/>
  <c r="P1241" i="2"/>
  <c r="U1241" i="2" s="1"/>
  <c r="O1241" i="2"/>
  <c r="N1241" i="2"/>
  <c r="U1240" i="2"/>
  <c r="T1240" i="2"/>
  <c r="S1240" i="2"/>
  <c r="R1240" i="2"/>
  <c r="Q1240" i="2"/>
  <c r="P1240" i="2"/>
  <c r="O1240" i="2"/>
  <c r="N1240" i="2"/>
  <c r="T1239" i="2"/>
  <c r="S1239" i="2"/>
  <c r="R1239" i="2"/>
  <c r="Q1239" i="2"/>
  <c r="P1239" i="2"/>
  <c r="U1239" i="2" s="1"/>
  <c r="O1239" i="2"/>
  <c r="N1239" i="2"/>
  <c r="T1238" i="2"/>
  <c r="S1238" i="2"/>
  <c r="R1238" i="2"/>
  <c r="Q1238" i="2"/>
  <c r="P1238" i="2"/>
  <c r="U1238" i="2" s="1"/>
  <c r="O1238" i="2"/>
  <c r="N1238" i="2"/>
  <c r="U1237" i="2"/>
  <c r="T1237" i="2"/>
  <c r="S1237" i="2"/>
  <c r="R1237" i="2"/>
  <c r="Q1237" i="2"/>
  <c r="P1237" i="2"/>
  <c r="O1237" i="2"/>
  <c r="N1237" i="2"/>
  <c r="T1236" i="2"/>
  <c r="S1236" i="2"/>
  <c r="R1236" i="2"/>
  <c r="Q1236" i="2"/>
  <c r="P1236" i="2"/>
  <c r="U1236" i="2" s="1"/>
  <c r="O1236" i="2"/>
  <c r="N1236" i="2"/>
  <c r="T1235" i="2"/>
  <c r="S1235" i="2"/>
  <c r="R1235" i="2"/>
  <c r="Q1235" i="2"/>
  <c r="P1235" i="2"/>
  <c r="U1235" i="2" s="1"/>
  <c r="O1235" i="2"/>
  <c r="N1235" i="2"/>
  <c r="T1234" i="2"/>
  <c r="S1234" i="2"/>
  <c r="R1234" i="2"/>
  <c r="Q1234" i="2"/>
  <c r="P1234" i="2"/>
  <c r="U1234" i="2" s="1"/>
  <c r="O1234" i="2"/>
  <c r="N1234" i="2"/>
  <c r="T1233" i="2"/>
  <c r="S1233" i="2"/>
  <c r="R1233" i="2"/>
  <c r="Q1233" i="2"/>
  <c r="P1233" i="2"/>
  <c r="U1233" i="2" s="1"/>
  <c r="O1233" i="2"/>
  <c r="N1233" i="2"/>
  <c r="T1232" i="2"/>
  <c r="S1232" i="2"/>
  <c r="R1232" i="2"/>
  <c r="Q1232" i="2"/>
  <c r="P1232" i="2"/>
  <c r="U1232" i="2" s="1"/>
  <c r="O1232" i="2"/>
  <c r="N1232" i="2"/>
  <c r="T1231" i="2"/>
  <c r="S1231" i="2"/>
  <c r="R1231" i="2"/>
  <c r="Q1231" i="2"/>
  <c r="P1231" i="2"/>
  <c r="U1231" i="2" s="1"/>
  <c r="O1231" i="2"/>
  <c r="N1231" i="2"/>
  <c r="T1230" i="2"/>
  <c r="S1230" i="2"/>
  <c r="R1230" i="2"/>
  <c r="Q1230" i="2"/>
  <c r="P1230" i="2"/>
  <c r="U1230" i="2" s="1"/>
  <c r="O1230" i="2"/>
  <c r="N1230" i="2"/>
  <c r="T1229" i="2"/>
  <c r="S1229" i="2"/>
  <c r="R1229" i="2"/>
  <c r="Q1229" i="2"/>
  <c r="P1229" i="2"/>
  <c r="U1229" i="2" s="1"/>
  <c r="O1229" i="2"/>
  <c r="N1229" i="2"/>
  <c r="T1228" i="2"/>
  <c r="S1228" i="2"/>
  <c r="R1228" i="2"/>
  <c r="Q1228" i="2"/>
  <c r="P1228" i="2"/>
  <c r="U1228" i="2" s="1"/>
  <c r="O1228" i="2"/>
  <c r="N1228" i="2"/>
  <c r="T1227" i="2"/>
  <c r="S1227" i="2"/>
  <c r="R1227" i="2"/>
  <c r="Q1227" i="2"/>
  <c r="P1227" i="2"/>
  <c r="U1227" i="2" s="1"/>
  <c r="O1227" i="2"/>
  <c r="N1227" i="2"/>
  <c r="T1226" i="2"/>
  <c r="S1226" i="2"/>
  <c r="R1226" i="2"/>
  <c r="Q1226" i="2"/>
  <c r="P1226" i="2"/>
  <c r="U1226" i="2" s="1"/>
  <c r="O1226" i="2"/>
  <c r="N1226" i="2"/>
  <c r="T1225" i="2"/>
  <c r="S1225" i="2"/>
  <c r="R1225" i="2"/>
  <c r="Q1225" i="2"/>
  <c r="P1225" i="2"/>
  <c r="U1225" i="2" s="1"/>
  <c r="O1225" i="2"/>
  <c r="N1225" i="2"/>
  <c r="T1224" i="2"/>
  <c r="S1224" i="2"/>
  <c r="R1224" i="2"/>
  <c r="Q1224" i="2"/>
  <c r="P1224" i="2"/>
  <c r="U1224" i="2" s="1"/>
  <c r="O1224" i="2"/>
  <c r="N1224" i="2"/>
  <c r="T1223" i="2"/>
  <c r="S1223" i="2"/>
  <c r="R1223" i="2"/>
  <c r="Q1223" i="2"/>
  <c r="P1223" i="2"/>
  <c r="U1223" i="2" s="1"/>
  <c r="O1223" i="2"/>
  <c r="N1223" i="2"/>
  <c r="U1222" i="2"/>
  <c r="T1222" i="2"/>
  <c r="S1222" i="2"/>
  <c r="R1222" i="2"/>
  <c r="Q1222" i="2"/>
  <c r="P1222" i="2"/>
  <c r="O1222" i="2"/>
  <c r="N1222" i="2"/>
  <c r="T1221" i="2"/>
  <c r="S1221" i="2"/>
  <c r="R1221" i="2"/>
  <c r="Q1221" i="2"/>
  <c r="P1221" i="2"/>
  <c r="U1221" i="2" s="1"/>
  <c r="O1221" i="2"/>
  <c r="N1221" i="2"/>
  <c r="T1220" i="2"/>
  <c r="S1220" i="2"/>
  <c r="R1220" i="2"/>
  <c r="Q1220" i="2"/>
  <c r="P1220" i="2"/>
  <c r="U1220" i="2" s="1"/>
  <c r="O1220" i="2"/>
  <c r="N1220" i="2"/>
  <c r="U1219" i="2"/>
  <c r="T1219" i="2"/>
  <c r="S1219" i="2"/>
  <c r="R1219" i="2"/>
  <c r="Q1219" i="2"/>
  <c r="P1219" i="2"/>
  <c r="O1219" i="2"/>
  <c r="N1219" i="2"/>
  <c r="T1218" i="2"/>
  <c r="S1218" i="2"/>
  <c r="R1218" i="2"/>
  <c r="Q1218" i="2"/>
  <c r="P1218" i="2"/>
  <c r="U1218" i="2" s="1"/>
  <c r="O1218" i="2"/>
  <c r="N1218" i="2"/>
  <c r="T1217" i="2"/>
  <c r="S1217" i="2"/>
  <c r="R1217" i="2"/>
  <c r="Q1217" i="2"/>
  <c r="P1217" i="2"/>
  <c r="U1217" i="2" s="1"/>
  <c r="O1217" i="2"/>
  <c r="N1217" i="2"/>
  <c r="T1216" i="2"/>
  <c r="S1216" i="2"/>
  <c r="R1216" i="2"/>
  <c r="Q1216" i="2"/>
  <c r="P1216" i="2"/>
  <c r="U1216" i="2" s="1"/>
  <c r="O1216" i="2"/>
  <c r="N1216" i="2"/>
  <c r="T1215" i="2"/>
  <c r="S1215" i="2"/>
  <c r="R1215" i="2"/>
  <c r="Q1215" i="2"/>
  <c r="P1215" i="2"/>
  <c r="U1215" i="2" s="1"/>
  <c r="O1215" i="2"/>
  <c r="N1215" i="2"/>
  <c r="T1214" i="2"/>
  <c r="S1214" i="2"/>
  <c r="R1214" i="2"/>
  <c r="Q1214" i="2"/>
  <c r="P1214" i="2"/>
  <c r="U1214" i="2" s="1"/>
  <c r="O1214" i="2"/>
  <c r="N1214" i="2"/>
  <c r="T1213" i="2"/>
  <c r="S1213" i="2"/>
  <c r="R1213" i="2"/>
  <c r="Q1213" i="2"/>
  <c r="P1213" i="2"/>
  <c r="U1213" i="2" s="1"/>
  <c r="O1213" i="2"/>
  <c r="N1213" i="2"/>
  <c r="T1212" i="2"/>
  <c r="S1212" i="2"/>
  <c r="R1212" i="2"/>
  <c r="Q1212" i="2"/>
  <c r="P1212" i="2"/>
  <c r="U1212" i="2" s="1"/>
  <c r="O1212" i="2"/>
  <c r="N1212" i="2"/>
  <c r="T1211" i="2"/>
  <c r="S1211" i="2"/>
  <c r="R1211" i="2"/>
  <c r="Q1211" i="2"/>
  <c r="P1211" i="2"/>
  <c r="U1211" i="2" s="1"/>
  <c r="O1211" i="2"/>
  <c r="N1211" i="2"/>
  <c r="T1210" i="2"/>
  <c r="S1210" i="2"/>
  <c r="R1210" i="2"/>
  <c r="Q1210" i="2"/>
  <c r="P1210" i="2"/>
  <c r="U1210" i="2" s="1"/>
  <c r="O1210" i="2"/>
  <c r="N1210" i="2"/>
  <c r="T1209" i="2"/>
  <c r="S1209" i="2"/>
  <c r="R1209" i="2"/>
  <c r="Q1209" i="2"/>
  <c r="P1209" i="2"/>
  <c r="U1209" i="2" s="1"/>
  <c r="O1209" i="2"/>
  <c r="N1209" i="2"/>
  <c r="T1208" i="2"/>
  <c r="S1208" i="2"/>
  <c r="R1208" i="2"/>
  <c r="Q1208" i="2"/>
  <c r="P1208" i="2"/>
  <c r="U1208" i="2" s="1"/>
  <c r="O1208" i="2"/>
  <c r="N1208" i="2"/>
  <c r="T1207" i="2"/>
  <c r="S1207" i="2"/>
  <c r="R1207" i="2"/>
  <c r="Q1207" i="2"/>
  <c r="P1207" i="2"/>
  <c r="U1207" i="2" s="1"/>
  <c r="O1207" i="2"/>
  <c r="N1207" i="2"/>
  <c r="T1206" i="2"/>
  <c r="S1206" i="2"/>
  <c r="R1206" i="2"/>
  <c r="Q1206" i="2"/>
  <c r="P1206" i="2"/>
  <c r="U1206" i="2" s="1"/>
  <c r="O1206" i="2"/>
  <c r="N1206" i="2"/>
  <c r="T1205" i="2"/>
  <c r="S1205" i="2"/>
  <c r="R1205" i="2"/>
  <c r="Q1205" i="2"/>
  <c r="P1205" i="2"/>
  <c r="U1205" i="2" s="1"/>
  <c r="O1205" i="2"/>
  <c r="N1205" i="2"/>
  <c r="U1204" i="2"/>
  <c r="T1204" i="2"/>
  <c r="S1204" i="2"/>
  <c r="R1204" i="2"/>
  <c r="Q1204" i="2"/>
  <c r="P1204" i="2"/>
  <c r="O1204" i="2"/>
  <c r="N1204" i="2"/>
  <c r="T1203" i="2"/>
  <c r="S1203" i="2"/>
  <c r="R1203" i="2"/>
  <c r="Q1203" i="2"/>
  <c r="P1203" i="2"/>
  <c r="U1203" i="2" s="1"/>
  <c r="O1203" i="2"/>
  <c r="N1203" i="2"/>
  <c r="T1202" i="2"/>
  <c r="S1202" i="2"/>
  <c r="R1202" i="2"/>
  <c r="Q1202" i="2"/>
  <c r="P1202" i="2"/>
  <c r="U1202" i="2" s="1"/>
  <c r="O1202" i="2"/>
  <c r="N1202" i="2"/>
  <c r="U1201" i="2"/>
  <c r="T1201" i="2"/>
  <c r="S1201" i="2"/>
  <c r="R1201" i="2"/>
  <c r="Q1201" i="2"/>
  <c r="P1201" i="2"/>
  <c r="O1201" i="2"/>
  <c r="N1201" i="2"/>
  <c r="T1200" i="2"/>
  <c r="S1200" i="2"/>
  <c r="R1200" i="2"/>
  <c r="Q1200" i="2"/>
  <c r="P1200" i="2"/>
  <c r="U1200" i="2" s="1"/>
  <c r="O1200" i="2"/>
  <c r="N1200" i="2"/>
  <c r="T1199" i="2"/>
  <c r="S1199" i="2"/>
  <c r="R1199" i="2"/>
  <c r="Q1199" i="2"/>
  <c r="P1199" i="2"/>
  <c r="U1199" i="2" s="1"/>
  <c r="O1199" i="2"/>
  <c r="N1199" i="2"/>
  <c r="T1198" i="2"/>
  <c r="S1198" i="2"/>
  <c r="R1198" i="2"/>
  <c r="Q1198" i="2"/>
  <c r="P1198" i="2"/>
  <c r="U1198" i="2" s="1"/>
  <c r="O1198" i="2"/>
  <c r="N1198" i="2"/>
  <c r="T1197" i="2"/>
  <c r="S1197" i="2"/>
  <c r="R1197" i="2"/>
  <c r="Q1197" i="2"/>
  <c r="P1197" i="2"/>
  <c r="U1197" i="2" s="1"/>
  <c r="O1197" i="2"/>
  <c r="N1197" i="2"/>
  <c r="T1196" i="2"/>
  <c r="S1196" i="2"/>
  <c r="R1196" i="2"/>
  <c r="Q1196" i="2"/>
  <c r="P1196" i="2"/>
  <c r="U1196" i="2" s="1"/>
  <c r="O1196" i="2"/>
  <c r="N1196" i="2"/>
  <c r="T1195" i="2"/>
  <c r="S1195" i="2"/>
  <c r="R1195" i="2"/>
  <c r="Q1195" i="2"/>
  <c r="P1195" i="2"/>
  <c r="U1195" i="2" s="1"/>
  <c r="O1195" i="2"/>
  <c r="N1195" i="2"/>
  <c r="T1194" i="2"/>
  <c r="S1194" i="2"/>
  <c r="R1194" i="2"/>
  <c r="Q1194" i="2"/>
  <c r="P1194" i="2"/>
  <c r="U1194" i="2" s="1"/>
  <c r="O1194" i="2"/>
  <c r="N1194" i="2"/>
  <c r="T1193" i="2"/>
  <c r="S1193" i="2"/>
  <c r="R1193" i="2"/>
  <c r="Q1193" i="2"/>
  <c r="P1193" i="2"/>
  <c r="U1193" i="2" s="1"/>
  <c r="O1193" i="2"/>
  <c r="N1193" i="2"/>
  <c r="T1192" i="2"/>
  <c r="S1192" i="2"/>
  <c r="R1192" i="2"/>
  <c r="Q1192" i="2"/>
  <c r="P1192" i="2"/>
  <c r="U1192" i="2" s="1"/>
  <c r="O1192" i="2"/>
  <c r="N1192" i="2"/>
  <c r="T1191" i="2"/>
  <c r="S1191" i="2"/>
  <c r="R1191" i="2"/>
  <c r="Q1191" i="2"/>
  <c r="P1191" i="2"/>
  <c r="U1191" i="2" s="1"/>
  <c r="O1191" i="2"/>
  <c r="N1191" i="2"/>
  <c r="T1190" i="2"/>
  <c r="S1190" i="2"/>
  <c r="R1190" i="2"/>
  <c r="Q1190" i="2"/>
  <c r="P1190" i="2"/>
  <c r="U1190" i="2" s="1"/>
  <c r="O1190" i="2"/>
  <c r="N1190" i="2"/>
  <c r="T1189" i="2"/>
  <c r="S1189" i="2"/>
  <c r="R1189" i="2"/>
  <c r="Q1189" i="2"/>
  <c r="P1189" i="2"/>
  <c r="U1189" i="2" s="1"/>
  <c r="O1189" i="2"/>
  <c r="N1189" i="2"/>
  <c r="T1188" i="2"/>
  <c r="S1188" i="2"/>
  <c r="R1188" i="2"/>
  <c r="Q1188" i="2"/>
  <c r="P1188" i="2"/>
  <c r="U1188" i="2" s="1"/>
  <c r="O1188" i="2"/>
  <c r="N1188" i="2"/>
  <c r="T1187" i="2"/>
  <c r="S1187" i="2"/>
  <c r="R1187" i="2"/>
  <c r="Q1187" i="2"/>
  <c r="P1187" i="2"/>
  <c r="U1187" i="2" s="1"/>
  <c r="O1187" i="2"/>
  <c r="N1187" i="2"/>
  <c r="U1186" i="2"/>
  <c r="T1186" i="2"/>
  <c r="S1186" i="2"/>
  <c r="R1186" i="2"/>
  <c r="Q1186" i="2"/>
  <c r="P1186" i="2"/>
  <c r="O1186" i="2"/>
  <c r="N1186" i="2"/>
  <c r="T1185" i="2"/>
  <c r="S1185" i="2"/>
  <c r="R1185" i="2"/>
  <c r="Q1185" i="2"/>
  <c r="P1185" i="2"/>
  <c r="U1185" i="2" s="1"/>
  <c r="O1185" i="2"/>
  <c r="N1185" i="2"/>
  <c r="T1184" i="2"/>
  <c r="S1184" i="2"/>
  <c r="R1184" i="2"/>
  <c r="Q1184" i="2"/>
  <c r="P1184" i="2"/>
  <c r="U1184" i="2" s="1"/>
  <c r="O1184" i="2"/>
  <c r="N1184" i="2"/>
  <c r="U1183" i="2"/>
  <c r="T1183" i="2"/>
  <c r="S1183" i="2"/>
  <c r="R1183" i="2"/>
  <c r="Q1183" i="2"/>
  <c r="P1183" i="2"/>
  <c r="O1183" i="2"/>
  <c r="N1183" i="2"/>
  <c r="T1182" i="2"/>
  <c r="S1182" i="2"/>
  <c r="R1182" i="2"/>
  <c r="Q1182" i="2"/>
  <c r="P1182" i="2"/>
  <c r="U1182" i="2" s="1"/>
  <c r="O1182" i="2"/>
  <c r="N1182" i="2"/>
  <c r="T1181" i="2"/>
  <c r="S1181" i="2"/>
  <c r="R1181" i="2"/>
  <c r="Q1181" i="2"/>
  <c r="P1181" i="2"/>
  <c r="U1181" i="2" s="1"/>
  <c r="O1181" i="2"/>
  <c r="N1181" i="2"/>
  <c r="T1180" i="2"/>
  <c r="S1180" i="2"/>
  <c r="R1180" i="2"/>
  <c r="Q1180" i="2"/>
  <c r="P1180" i="2"/>
  <c r="U1180" i="2" s="1"/>
  <c r="O1180" i="2"/>
  <c r="N1180" i="2"/>
  <c r="T1179" i="2"/>
  <c r="S1179" i="2"/>
  <c r="R1179" i="2"/>
  <c r="Q1179" i="2"/>
  <c r="P1179" i="2"/>
  <c r="U1179" i="2" s="1"/>
  <c r="O1179" i="2"/>
  <c r="N1179" i="2"/>
  <c r="T1178" i="2"/>
  <c r="S1178" i="2"/>
  <c r="R1178" i="2"/>
  <c r="Q1178" i="2"/>
  <c r="P1178" i="2"/>
  <c r="U1178" i="2" s="1"/>
  <c r="O1178" i="2"/>
  <c r="N1178" i="2"/>
  <c r="T1177" i="2"/>
  <c r="S1177" i="2"/>
  <c r="R1177" i="2"/>
  <c r="Q1177" i="2"/>
  <c r="P1177" i="2"/>
  <c r="U1177" i="2" s="1"/>
  <c r="O1177" i="2"/>
  <c r="N1177" i="2"/>
  <c r="T1176" i="2"/>
  <c r="S1176" i="2"/>
  <c r="R1176" i="2"/>
  <c r="Q1176" i="2"/>
  <c r="P1176" i="2"/>
  <c r="U1176" i="2" s="1"/>
  <c r="O1176" i="2"/>
  <c r="N1176" i="2"/>
  <c r="T1175" i="2"/>
  <c r="S1175" i="2"/>
  <c r="R1175" i="2"/>
  <c r="Q1175" i="2"/>
  <c r="P1175" i="2"/>
  <c r="U1175" i="2" s="1"/>
  <c r="O1175" i="2"/>
  <c r="N1175" i="2"/>
  <c r="T1174" i="2"/>
  <c r="S1174" i="2"/>
  <c r="R1174" i="2"/>
  <c r="Q1174" i="2"/>
  <c r="P1174" i="2"/>
  <c r="U1174" i="2" s="1"/>
  <c r="O1174" i="2"/>
  <c r="N1174" i="2"/>
  <c r="T1173" i="2"/>
  <c r="S1173" i="2"/>
  <c r="R1173" i="2"/>
  <c r="Q1173" i="2"/>
  <c r="P1173" i="2"/>
  <c r="U1173" i="2" s="1"/>
  <c r="O1173" i="2"/>
  <c r="N1173" i="2"/>
  <c r="T1172" i="2"/>
  <c r="S1172" i="2"/>
  <c r="R1172" i="2"/>
  <c r="Q1172" i="2"/>
  <c r="P1172" i="2"/>
  <c r="U1172" i="2" s="1"/>
  <c r="O1172" i="2"/>
  <c r="N1172" i="2"/>
  <c r="T1171" i="2"/>
  <c r="S1171" i="2"/>
  <c r="R1171" i="2"/>
  <c r="Q1171" i="2"/>
  <c r="P1171" i="2"/>
  <c r="U1171" i="2" s="1"/>
  <c r="O1171" i="2"/>
  <c r="N1171" i="2"/>
  <c r="T1170" i="2"/>
  <c r="S1170" i="2"/>
  <c r="R1170" i="2"/>
  <c r="Q1170" i="2"/>
  <c r="P1170" i="2"/>
  <c r="U1170" i="2" s="1"/>
  <c r="O1170" i="2"/>
  <c r="N1170" i="2"/>
  <c r="T1169" i="2"/>
  <c r="S1169" i="2"/>
  <c r="R1169" i="2"/>
  <c r="Q1169" i="2"/>
  <c r="P1169" i="2"/>
  <c r="U1169" i="2" s="1"/>
  <c r="O1169" i="2"/>
  <c r="N1169" i="2"/>
  <c r="U1168" i="2"/>
  <c r="T1168" i="2"/>
  <c r="S1168" i="2"/>
  <c r="R1168" i="2"/>
  <c r="Q1168" i="2"/>
  <c r="P1168" i="2"/>
  <c r="O1168" i="2"/>
  <c r="N1168" i="2"/>
  <c r="T1167" i="2"/>
  <c r="S1167" i="2"/>
  <c r="R1167" i="2"/>
  <c r="Q1167" i="2"/>
  <c r="P1167" i="2"/>
  <c r="U1167" i="2" s="1"/>
  <c r="O1167" i="2"/>
  <c r="N1167" i="2"/>
  <c r="T1166" i="2"/>
  <c r="S1166" i="2"/>
  <c r="R1166" i="2"/>
  <c r="Q1166" i="2"/>
  <c r="P1166" i="2"/>
  <c r="U1166" i="2" s="1"/>
  <c r="O1166" i="2"/>
  <c r="N1166" i="2"/>
  <c r="U1165" i="2"/>
  <c r="T1165" i="2"/>
  <c r="S1165" i="2"/>
  <c r="R1165" i="2"/>
  <c r="Q1165" i="2"/>
  <c r="P1165" i="2"/>
  <c r="O1165" i="2"/>
  <c r="N1165" i="2"/>
  <c r="T1164" i="2"/>
  <c r="S1164" i="2"/>
  <c r="R1164" i="2"/>
  <c r="Q1164" i="2"/>
  <c r="P1164" i="2"/>
  <c r="U1164" i="2" s="1"/>
  <c r="O1164" i="2"/>
  <c r="N1164" i="2"/>
  <c r="T1163" i="2"/>
  <c r="S1163" i="2"/>
  <c r="R1163" i="2"/>
  <c r="Q1163" i="2"/>
  <c r="P1163" i="2"/>
  <c r="U1163" i="2" s="1"/>
  <c r="O1163" i="2"/>
  <c r="N1163" i="2"/>
  <c r="T1162" i="2"/>
  <c r="S1162" i="2"/>
  <c r="R1162" i="2"/>
  <c r="Q1162" i="2"/>
  <c r="P1162" i="2"/>
  <c r="U1162" i="2" s="1"/>
  <c r="O1162" i="2"/>
  <c r="N1162" i="2"/>
  <c r="T1161" i="2"/>
  <c r="S1161" i="2"/>
  <c r="R1161" i="2"/>
  <c r="Q1161" i="2"/>
  <c r="P1161" i="2"/>
  <c r="U1161" i="2" s="1"/>
  <c r="O1161" i="2"/>
  <c r="N1161" i="2"/>
  <c r="T1160" i="2"/>
  <c r="S1160" i="2"/>
  <c r="R1160" i="2"/>
  <c r="Q1160" i="2"/>
  <c r="P1160" i="2"/>
  <c r="U1160" i="2" s="1"/>
  <c r="O1160" i="2"/>
  <c r="N1160" i="2"/>
  <c r="T1159" i="2"/>
  <c r="S1159" i="2"/>
  <c r="R1159" i="2"/>
  <c r="Q1159" i="2"/>
  <c r="P1159" i="2"/>
  <c r="U1159" i="2" s="1"/>
  <c r="O1159" i="2"/>
  <c r="N1159" i="2"/>
  <c r="T1158" i="2"/>
  <c r="S1158" i="2"/>
  <c r="R1158" i="2"/>
  <c r="Q1158" i="2"/>
  <c r="P1158" i="2"/>
  <c r="U1158" i="2" s="1"/>
  <c r="O1158" i="2"/>
  <c r="N1158" i="2"/>
  <c r="T1157" i="2"/>
  <c r="S1157" i="2"/>
  <c r="R1157" i="2"/>
  <c r="Q1157" i="2"/>
  <c r="P1157" i="2"/>
  <c r="U1157" i="2" s="1"/>
  <c r="O1157" i="2"/>
  <c r="N1157" i="2"/>
  <c r="T1156" i="2"/>
  <c r="S1156" i="2"/>
  <c r="R1156" i="2"/>
  <c r="Q1156" i="2"/>
  <c r="P1156" i="2"/>
  <c r="U1156" i="2" s="1"/>
  <c r="O1156" i="2"/>
  <c r="N1156" i="2"/>
  <c r="T1155" i="2"/>
  <c r="S1155" i="2"/>
  <c r="R1155" i="2"/>
  <c r="Q1155" i="2"/>
  <c r="P1155" i="2"/>
  <c r="U1155" i="2" s="1"/>
  <c r="O1155" i="2"/>
  <c r="N1155" i="2"/>
  <c r="T1154" i="2"/>
  <c r="S1154" i="2"/>
  <c r="R1154" i="2"/>
  <c r="Q1154" i="2"/>
  <c r="P1154" i="2"/>
  <c r="U1154" i="2" s="1"/>
  <c r="O1154" i="2"/>
  <c r="N1154" i="2"/>
  <c r="T1153" i="2"/>
  <c r="S1153" i="2"/>
  <c r="R1153" i="2"/>
  <c r="Q1153" i="2"/>
  <c r="P1153" i="2"/>
  <c r="U1153" i="2" s="1"/>
  <c r="O1153" i="2"/>
  <c r="N1153" i="2"/>
  <c r="T1152" i="2"/>
  <c r="S1152" i="2"/>
  <c r="R1152" i="2"/>
  <c r="Q1152" i="2"/>
  <c r="P1152" i="2"/>
  <c r="U1152" i="2" s="1"/>
  <c r="O1152" i="2"/>
  <c r="N1152" i="2"/>
  <c r="T1151" i="2"/>
  <c r="S1151" i="2"/>
  <c r="R1151" i="2"/>
  <c r="Q1151" i="2"/>
  <c r="P1151" i="2"/>
  <c r="U1151" i="2" s="1"/>
  <c r="O1151" i="2"/>
  <c r="N1151" i="2"/>
  <c r="U1150" i="2"/>
  <c r="T1150" i="2"/>
  <c r="S1150" i="2"/>
  <c r="R1150" i="2"/>
  <c r="Q1150" i="2"/>
  <c r="P1150" i="2"/>
  <c r="O1150" i="2"/>
  <c r="N1150" i="2"/>
  <c r="T1149" i="2"/>
  <c r="S1149" i="2"/>
  <c r="R1149" i="2"/>
  <c r="Q1149" i="2"/>
  <c r="P1149" i="2"/>
  <c r="U1149" i="2" s="1"/>
  <c r="O1149" i="2"/>
  <c r="N1149" i="2"/>
  <c r="T1148" i="2"/>
  <c r="S1148" i="2"/>
  <c r="R1148" i="2"/>
  <c r="Q1148" i="2"/>
  <c r="P1148" i="2"/>
  <c r="U1148" i="2" s="1"/>
  <c r="O1148" i="2"/>
  <c r="N1148" i="2"/>
  <c r="U1147" i="2"/>
  <c r="T1147" i="2"/>
  <c r="S1147" i="2"/>
  <c r="R1147" i="2"/>
  <c r="Q1147" i="2"/>
  <c r="P1147" i="2"/>
  <c r="O1147" i="2"/>
  <c r="N1147" i="2"/>
  <c r="T1146" i="2"/>
  <c r="S1146" i="2"/>
  <c r="R1146" i="2"/>
  <c r="Q1146" i="2"/>
  <c r="P1146" i="2"/>
  <c r="U1146" i="2" s="1"/>
  <c r="O1146" i="2"/>
  <c r="N1146" i="2"/>
  <c r="T1145" i="2"/>
  <c r="S1145" i="2"/>
  <c r="R1145" i="2"/>
  <c r="Q1145" i="2"/>
  <c r="P1145" i="2"/>
  <c r="U1145" i="2" s="1"/>
  <c r="O1145" i="2"/>
  <c r="N1145" i="2"/>
  <c r="T1144" i="2"/>
  <c r="S1144" i="2"/>
  <c r="R1144" i="2"/>
  <c r="Q1144" i="2"/>
  <c r="P1144" i="2"/>
  <c r="U1144" i="2" s="1"/>
  <c r="O1144" i="2"/>
  <c r="N1144" i="2"/>
  <c r="T1143" i="2"/>
  <c r="S1143" i="2"/>
  <c r="R1143" i="2"/>
  <c r="Q1143" i="2"/>
  <c r="P1143" i="2"/>
  <c r="U1143" i="2" s="1"/>
  <c r="O1143" i="2"/>
  <c r="N1143" i="2"/>
  <c r="T1142" i="2"/>
  <c r="S1142" i="2"/>
  <c r="R1142" i="2"/>
  <c r="Q1142" i="2"/>
  <c r="P1142" i="2"/>
  <c r="U1142" i="2" s="1"/>
  <c r="O1142" i="2"/>
  <c r="N1142" i="2"/>
  <c r="T1141" i="2"/>
  <c r="S1141" i="2"/>
  <c r="R1141" i="2"/>
  <c r="Q1141" i="2"/>
  <c r="P1141" i="2"/>
  <c r="U1141" i="2" s="1"/>
  <c r="O1141" i="2"/>
  <c r="N1141" i="2"/>
  <c r="T1140" i="2"/>
  <c r="S1140" i="2"/>
  <c r="R1140" i="2"/>
  <c r="Q1140" i="2"/>
  <c r="P1140" i="2"/>
  <c r="U1140" i="2" s="1"/>
  <c r="O1140" i="2"/>
  <c r="N1140" i="2"/>
  <c r="T1139" i="2"/>
  <c r="S1139" i="2"/>
  <c r="R1139" i="2"/>
  <c r="Q1139" i="2"/>
  <c r="P1139" i="2"/>
  <c r="U1139" i="2" s="1"/>
  <c r="O1139" i="2"/>
  <c r="N1139" i="2"/>
  <c r="T1138" i="2"/>
  <c r="S1138" i="2"/>
  <c r="R1138" i="2"/>
  <c r="Q1138" i="2"/>
  <c r="P1138" i="2"/>
  <c r="U1138" i="2" s="1"/>
  <c r="O1138" i="2"/>
  <c r="N1138" i="2"/>
  <c r="T1137" i="2"/>
  <c r="S1137" i="2"/>
  <c r="R1137" i="2"/>
  <c r="Q1137" i="2"/>
  <c r="P1137" i="2"/>
  <c r="U1137" i="2" s="1"/>
  <c r="O1137" i="2"/>
  <c r="N1137" i="2"/>
  <c r="T1136" i="2"/>
  <c r="S1136" i="2"/>
  <c r="R1136" i="2"/>
  <c r="Q1136" i="2"/>
  <c r="P1136" i="2"/>
  <c r="U1136" i="2" s="1"/>
  <c r="O1136" i="2"/>
  <c r="N1136" i="2"/>
  <c r="T1135" i="2"/>
  <c r="S1135" i="2"/>
  <c r="R1135" i="2"/>
  <c r="Q1135" i="2"/>
  <c r="P1135" i="2"/>
  <c r="U1135" i="2" s="1"/>
  <c r="O1135" i="2"/>
  <c r="N1135" i="2"/>
  <c r="T1134" i="2"/>
  <c r="S1134" i="2"/>
  <c r="R1134" i="2"/>
  <c r="Q1134" i="2"/>
  <c r="P1134" i="2"/>
  <c r="U1134" i="2" s="1"/>
  <c r="O1134" i="2"/>
  <c r="N1134" i="2"/>
  <c r="T1133" i="2"/>
  <c r="S1133" i="2"/>
  <c r="R1133" i="2"/>
  <c r="Q1133" i="2"/>
  <c r="P1133" i="2"/>
  <c r="U1133" i="2" s="1"/>
  <c r="O1133" i="2"/>
  <c r="N1133" i="2"/>
  <c r="U1132" i="2"/>
  <c r="T1132" i="2"/>
  <c r="S1132" i="2"/>
  <c r="R1132" i="2"/>
  <c r="Q1132" i="2"/>
  <c r="P1132" i="2"/>
  <c r="O1132" i="2"/>
  <c r="N1132" i="2"/>
  <c r="T1131" i="2"/>
  <c r="S1131" i="2"/>
  <c r="R1131" i="2"/>
  <c r="Q1131" i="2"/>
  <c r="P1131" i="2"/>
  <c r="U1131" i="2" s="1"/>
  <c r="O1131" i="2"/>
  <c r="N1131" i="2"/>
  <c r="T1130" i="2"/>
  <c r="S1130" i="2"/>
  <c r="R1130" i="2"/>
  <c r="Q1130" i="2"/>
  <c r="P1130" i="2"/>
  <c r="U1130" i="2" s="1"/>
  <c r="O1130" i="2"/>
  <c r="N1130" i="2"/>
  <c r="U1129" i="2"/>
  <c r="T1129" i="2"/>
  <c r="S1129" i="2"/>
  <c r="R1129" i="2"/>
  <c r="Q1129" i="2"/>
  <c r="P1129" i="2"/>
  <c r="O1129" i="2"/>
  <c r="N1129" i="2"/>
  <c r="S1128" i="2"/>
  <c r="R1128" i="2"/>
  <c r="Q1128" i="2"/>
  <c r="O1128" i="2"/>
  <c r="N1128" i="2"/>
  <c r="T1127" i="2"/>
  <c r="S1127" i="2"/>
  <c r="R1127" i="2"/>
  <c r="Q1127" i="2"/>
  <c r="P1127" i="2"/>
  <c r="U1127" i="2" s="1"/>
  <c r="O1127" i="2"/>
  <c r="N1127" i="2"/>
  <c r="T1126" i="2"/>
  <c r="S1126" i="2"/>
  <c r="R1126" i="2"/>
  <c r="Q1126" i="2"/>
  <c r="P1126" i="2"/>
  <c r="U1126" i="2" s="1"/>
  <c r="O1126" i="2"/>
  <c r="N1126" i="2"/>
  <c r="S1125" i="2"/>
  <c r="R1125" i="2"/>
  <c r="Q1125" i="2"/>
  <c r="O1125" i="2"/>
  <c r="T1125" i="2" s="1"/>
  <c r="N1125" i="2"/>
  <c r="T1124" i="2"/>
  <c r="S1124" i="2"/>
  <c r="R1124" i="2"/>
  <c r="Q1124" i="2"/>
  <c r="P1124" i="2"/>
  <c r="U1124" i="2" s="1"/>
  <c r="O1124" i="2"/>
  <c r="N1124" i="2"/>
  <c r="T1123" i="2"/>
  <c r="S1123" i="2"/>
  <c r="R1123" i="2"/>
  <c r="Q1123" i="2"/>
  <c r="P1123" i="2"/>
  <c r="U1123" i="2" s="1"/>
  <c r="O1123" i="2"/>
  <c r="N1123" i="2"/>
  <c r="S1122" i="2"/>
  <c r="R1122" i="2"/>
  <c r="Q1122" i="2"/>
  <c r="O1122" i="2"/>
  <c r="T1122" i="2" s="1"/>
  <c r="N1122" i="2"/>
  <c r="T1121" i="2"/>
  <c r="S1121" i="2"/>
  <c r="R1121" i="2"/>
  <c r="Q1121" i="2"/>
  <c r="P1121" i="2"/>
  <c r="U1121" i="2" s="1"/>
  <c r="O1121" i="2"/>
  <c r="N1121" i="2"/>
  <c r="T1120" i="2"/>
  <c r="S1120" i="2"/>
  <c r="R1120" i="2"/>
  <c r="Q1120" i="2"/>
  <c r="P1120" i="2"/>
  <c r="U1120" i="2" s="1"/>
  <c r="O1120" i="2"/>
  <c r="N1120" i="2"/>
  <c r="T1119" i="2"/>
  <c r="S1119" i="2"/>
  <c r="R1119" i="2"/>
  <c r="Q1119" i="2"/>
  <c r="O1119" i="2"/>
  <c r="P1119" i="2" s="1"/>
  <c r="U1119" i="2" s="1"/>
  <c r="N1119" i="2"/>
  <c r="T1118" i="2"/>
  <c r="S1118" i="2"/>
  <c r="R1118" i="2"/>
  <c r="Q1118" i="2"/>
  <c r="P1118" i="2"/>
  <c r="U1118" i="2" s="1"/>
  <c r="O1118" i="2"/>
  <c r="N1118" i="2"/>
  <c r="T1117" i="2"/>
  <c r="S1117" i="2"/>
  <c r="R1117" i="2"/>
  <c r="Q1117" i="2"/>
  <c r="P1117" i="2"/>
  <c r="U1117" i="2" s="1"/>
  <c r="O1117" i="2"/>
  <c r="N1117" i="2"/>
  <c r="T1116" i="2"/>
  <c r="S1116" i="2"/>
  <c r="R1116" i="2"/>
  <c r="Q1116" i="2"/>
  <c r="P1116" i="2"/>
  <c r="U1116" i="2" s="1"/>
  <c r="O1116" i="2"/>
  <c r="N1116" i="2"/>
  <c r="T1115" i="2"/>
  <c r="S1115" i="2"/>
  <c r="R1115" i="2"/>
  <c r="Q1115" i="2"/>
  <c r="P1115" i="2"/>
  <c r="U1115" i="2" s="1"/>
  <c r="O1115" i="2"/>
  <c r="N1115" i="2"/>
  <c r="U1114" i="2"/>
  <c r="T1114" i="2"/>
  <c r="S1114" i="2"/>
  <c r="R1114" i="2"/>
  <c r="Q1114" i="2"/>
  <c r="P1114" i="2"/>
  <c r="O1114" i="2"/>
  <c r="N1114" i="2"/>
  <c r="S1113" i="2"/>
  <c r="R1113" i="2"/>
  <c r="Q1113" i="2"/>
  <c r="O1113" i="2"/>
  <c r="N1113" i="2"/>
  <c r="T1112" i="2"/>
  <c r="S1112" i="2"/>
  <c r="R1112" i="2"/>
  <c r="Q1112" i="2"/>
  <c r="P1112" i="2"/>
  <c r="U1112" i="2" s="1"/>
  <c r="O1112" i="2"/>
  <c r="N1112" i="2"/>
  <c r="U1111" i="2"/>
  <c r="T1111" i="2"/>
  <c r="S1111" i="2"/>
  <c r="R1111" i="2"/>
  <c r="Q1111" i="2"/>
  <c r="P1111" i="2"/>
  <c r="O1111" i="2"/>
  <c r="N1111" i="2"/>
  <c r="S1110" i="2"/>
  <c r="R1110" i="2"/>
  <c r="Q1110" i="2"/>
  <c r="P1110" i="2"/>
  <c r="U1110" i="2" s="1"/>
  <c r="O1110" i="2"/>
  <c r="T1110" i="2" s="1"/>
  <c r="N1110" i="2"/>
  <c r="T1109" i="2"/>
  <c r="S1109" i="2"/>
  <c r="R1109" i="2"/>
  <c r="Q1109" i="2"/>
  <c r="P1109" i="2"/>
  <c r="U1109" i="2" s="1"/>
  <c r="O1109" i="2"/>
  <c r="N1109" i="2"/>
  <c r="T1108" i="2"/>
  <c r="S1108" i="2"/>
  <c r="R1108" i="2"/>
  <c r="Q1108" i="2"/>
  <c r="P1108" i="2"/>
  <c r="U1108" i="2" s="1"/>
  <c r="O1108" i="2"/>
  <c r="N1108" i="2"/>
  <c r="S1107" i="2"/>
  <c r="R1107" i="2"/>
  <c r="Q1107" i="2"/>
  <c r="O1107" i="2"/>
  <c r="N1107" i="2"/>
  <c r="U1106" i="2"/>
  <c r="T1106" i="2"/>
  <c r="S1106" i="2"/>
  <c r="R1106" i="2"/>
  <c r="Q1106" i="2"/>
  <c r="P1106" i="2"/>
  <c r="O1106" i="2"/>
  <c r="N1106" i="2"/>
  <c r="U1105" i="2"/>
  <c r="T1105" i="2"/>
  <c r="S1105" i="2"/>
  <c r="R1105" i="2"/>
  <c r="Q1105" i="2"/>
  <c r="P1105" i="2"/>
  <c r="O1105" i="2"/>
  <c r="N1105" i="2"/>
  <c r="T1104" i="2"/>
  <c r="S1104" i="2"/>
  <c r="R1104" i="2"/>
  <c r="Q1104" i="2"/>
  <c r="P1104" i="2"/>
  <c r="U1104" i="2" s="1"/>
  <c r="O1104" i="2"/>
  <c r="N1104" i="2"/>
  <c r="U1103" i="2"/>
  <c r="T1103" i="2"/>
  <c r="S1103" i="2"/>
  <c r="R1103" i="2"/>
  <c r="Q1103" i="2"/>
  <c r="P1103" i="2"/>
  <c r="O1103" i="2"/>
  <c r="N1103" i="2"/>
  <c r="T1102" i="2"/>
  <c r="S1102" i="2"/>
  <c r="R1102" i="2"/>
  <c r="Q1102" i="2"/>
  <c r="P1102" i="2"/>
  <c r="U1102" i="2" s="1"/>
  <c r="O1102" i="2"/>
  <c r="N1102" i="2"/>
  <c r="S1101" i="2"/>
  <c r="R1101" i="2"/>
  <c r="Q1101" i="2"/>
  <c r="O1101" i="2"/>
  <c r="T1101" i="2" s="1"/>
  <c r="N1101" i="2"/>
  <c r="U1100" i="2"/>
  <c r="T1100" i="2"/>
  <c r="S1100" i="2"/>
  <c r="R1100" i="2"/>
  <c r="Q1100" i="2"/>
  <c r="P1100" i="2"/>
  <c r="O1100" i="2"/>
  <c r="N1100" i="2"/>
  <c r="T1099" i="2"/>
  <c r="S1099" i="2"/>
  <c r="R1099" i="2"/>
  <c r="Q1099" i="2"/>
  <c r="P1099" i="2"/>
  <c r="U1099" i="2" s="1"/>
  <c r="O1099" i="2"/>
  <c r="N1099" i="2"/>
  <c r="S1098" i="2"/>
  <c r="R1098" i="2"/>
  <c r="Q1098" i="2"/>
  <c r="P1098" i="2"/>
  <c r="U1098" i="2" s="1"/>
  <c r="O1098" i="2"/>
  <c r="T1098" i="2" s="1"/>
  <c r="N1098" i="2"/>
  <c r="U1097" i="2"/>
  <c r="T1097" i="2"/>
  <c r="S1097" i="2"/>
  <c r="R1097" i="2"/>
  <c r="Q1097" i="2"/>
  <c r="P1097" i="2"/>
  <c r="O1097" i="2"/>
  <c r="N1097" i="2"/>
  <c r="T1096" i="2"/>
  <c r="S1096" i="2"/>
  <c r="R1096" i="2"/>
  <c r="Q1096" i="2"/>
  <c r="P1096" i="2"/>
  <c r="U1096" i="2" s="1"/>
  <c r="O1096" i="2"/>
  <c r="N1096" i="2"/>
  <c r="S1095" i="2"/>
  <c r="R1095" i="2"/>
  <c r="Q1095" i="2"/>
  <c r="O1095" i="2"/>
  <c r="T1095" i="2" s="1"/>
  <c r="N1095" i="2"/>
  <c r="U1094" i="2"/>
  <c r="T1094" i="2"/>
  <c r="S1094" i="2"/>
  <c r="R1094" i="2"/>
  <c r="Q1094" i="2"/>
  <c r="P1094" i="2"/>
  <c r="O1094" i="2"/>
  <c r="N1094" i="2"/>
  <c r="U1093" i="2"/>
  <c r="T1093" i="2"/>
  <c r="S1093" i="2"/>
  <c r="R1093" i="2"/>
  <c r="Q1093" i="2"/>
  <c r="P1093" i="2"/>
  <c r="O1093" i="2"/>
  <c r="N1093" i="2"/>
  <c r="T1092" i="2"/>
  <c r="S1092" i="2"/>
  <c r="R1092" i="2"/>
  <c r="Q1092" i="2"/>
  <c r="P1092" i="2"/>
  <c r="U1092" i="2" s="1"/>
  <c r="O1092" i="2"/>
  <c r="N1092" i="2"/>
  <c r="T1091" i="2"/>
  <c r="S1091" i="2"/>
  <c r="R1091" i="2"/>
  <c r="Q1091" i="2"/>
  <c r="P1091" i="2"/>
  <c r="U1091" i="2" s="1"/>
  <c r="O1091" i="2"/>
  <c r="N1091" i="2"/>
  <c r="T1090" i="2"/>
  <c r="S1090" i="2"/>
  <c r="R1090" i="2"/>
  <c r="Q1090" i="2"/>
  <c r="P1090" i="2"/>
  <c r="U1090" i="2" s="1"/>
  <c r="O1090" i="2"/>
  <c r="N1090" i="2"/>
  <c r="U1089" i="2"/>
  <c r="T1089" i="2"/>
  <c r="S1089" i="2"/>
  <c r="R1089" i="2"/>
  <c r="Q1089" i="2"/>
  <c r="P1089" i="2"/>
  <c r="O1089" i="2"/>
  <c r="N1089" i="2"/>
  <c r="T1088" i="2"/>
  <c r="S1088" i="2"/>
  <c r="R1088" i="2"/>
  <c r="Q1088" i="2"/>
  <c r="P1088" i="2"/>
  <c r="U1088" i="2" s="1"/>
  <c r="O1088" i="2"/>
  <c r="N1088" i="2"/>
  <c r="T1087" i="2"/>
  <c r="S1087" i="2"/>
  <c r="R1087" i="2"/>
  <c r="Q1087" i="2"/>
  <c r="P1087" i="2"/>
  <c r="U1087" i="2" s="1"/>
  <c r="O1087" i="2"/>
  <c r="N1087" i="2"/>
  <c r="U1086" i="2"/>
  <c r="T1086" i="2"/>
  <c r="S1086" i="2"/>
  <c r="R1086" i="2"/>
  <c r="Q1086" i="2"/>
  <c r="P1086" i="2"/>
  <c r="O1086" i="2"/>
  <c r="N1086" i="2"/>
  <c r="T1085" i="2"/>
  <c r="S1085" i="2"/>
  <c r="R1085" i="2"/>
  <c r="Q1085" i="2"/>
  <c r="P1085" i="2"/>
  <c r="U1085" i="2" s="1"/>
  <c r="O1085" i="2"/>
  <c r="N1085" i="2"/>
  <c r="T1084" i="2"/>
  <c r="S1084" i="2"/>
  <c r="R1084" i="2"/>
  <c r="Q1084" i="2"/>
  <c r="P1084" i="2"/>
  <c r="U1084" i="2" s="1"/>
  <c r="O1084" i="2"/>
  <c r="N1084" i="2"/>
  <c r="U1083" i="2"/>
  <c r="T1083" i="2"/>
  <c r="S1083" i="2"/>
  <c r="R1083" i="2"/>
  <c r="Q1083" i="2"/>
  <c r="P1083" i="2"/>
  <c r="O1083" i="2"/>
  <c r="N1083" i="2"/>
  <c r="T1082" i="2"/>
  <c r="S1082" i="2"/>
  <c r="R1082" i="2"/>
  <c r="Q1082" i="2"/>
  <c r="P1082" i="2"/>
  <c r="U1082" i="2" s="1"/>
  <c r="O1082" i="2"/>
  <c r="N1082" i="2"/>
  <c r="T1081" i="2"/>
  <c r="S1081" i="2"/>
  <c r="R1081" i="2"/>
  <c r="Q1081" i="2"/>
  <c r="P1081" i="2"/>
  <c r="U1081" i="2" s="1"/>
  <c r="O1081" i="2"/>
  <c r="N1081" i="2"/>
  <c r="U1080" i="2"/>
  <c r="T1080" i="2"/>
  <c r="S1080" i="2"/>
  <c r="R1080" i="2"/>
  <c r="Q1080" i="2"/>
  <c r="P1080" i="2"/>
  <c r="O1080" i="2"/>
  <c r="N1080" i="2"/>
  <c r="T1079" i="2"/>
  <c r="S1079" i="2"/>
  <c r="R1079" i="2"/>
  <c r="Q1079" i="2"/>
  <c r="P1079" i="2"/>
  <c r="U1079" i="2" s="1"/>
  <c r="O1079" i="2"/>
  <c r="N1079" i="2"/>
  <c r="T1078" i="2"/>
  <c r="S1078" i="2"/>
  <c r="R1078" i="2"/>
  <c r="Q1078" i="2"/>
  <c r="P1078" i="2"/>
  <c r="U1078" i="2" s="1"/>
  <c r="O1078" i="2"/>
  <c r="N1078" i="2"/>
  <c r="U1077" i="2"/>
  <c r="T1077" i="2"/>
  <c r="S1077" i="2"/>
  <c r="R1077" i="2"/>
  <c r="Q1077" i="2"/>
  <c r="P1077" i="2"/>
  <c r="O1077" i="2"/>
  <c r="N1077" i="2"/>
  <c r="T1076" i="2"/>
  <c r="S1076" i="2"/>
  <c r="R1076" i="2"/>
  <c r="Q1076" i="2"/>
  <c r="P1076" i="2"/>
  <c r="U1076" i="2" s="1"/>
  <c r="O1076" i="2"/>
  <c r="N1076" i="2"/>
  <c r="T1075" i="2"/>
  <c r="S1075" i="2"/>
  <c r="R1075" i="2"/>
  <c r="Q1075" i="2"/>
  <c r="P1075" i="2"/>
  <c r="U1075" i="2" s="1"/>
  <c r="O1075" i="2"/>
  <c r="N1075" i="2"/>
  <c r="U1074" i="2"/>
  <c r="T1074" i="2"/>
  <c r="S1074" i="2"/>
  <c r="R1074" i="2"/>
  <c r="Q1074" i="2"/>
  <c r="P1074" i="2"/>
  <c r="O1074" i="2"/>
  <c r="N1074" i="2"/>
  <c r="T1073" i="2"/>
  <c r="S1073" i="2"/>
  <c r="R1073" i="2"/>
  <c r="Q1073" i="2"/>
  <c r="P1073" i="2"/>
  <c r="U1073" i="2" s="1"/>
  <c r="O1073" i="2"/>
  <c r="N1073" i="2"/>
  <c r="T1072" i="2"/>
  <c r="S1072" i="2"/>
  <c r="R1072" i="2"/>
  <c r="Q1072" i="2"/>
  <c r="P1072" i="2"/>
  <c r="U1072" i="2" s="1"/>
  <c r="O1072" i="2"/>
  <c r="N1072" i="2"/>
  <c r="U1071" i="2"/>
  <c r="T1071" i="2"/>
  <c r="S1071" i="2"/>
  <c r="R1071" i="2"/>
  <c r="Q1071" i="2"/>
  <c r="P1071" i="2"/>
  <c r="O1071" i="2"/>
  <c r="N1071" i="2"/>
  <c r="T1070" i="2"/>
  <c r="S1070" i="2"/>
  <c r="R1070" i="2"/>
  <c r="Q1070" i="2"/>
  <c r="P1070" i="2"/>
  <c r="U1070" i="2" s="1"/>
  <c r="O1070" i="2"/>
  <c r="N1070" i="2"/>
  <c r="T1069" i="2"/>
  <c r="S1069" i="2"/>
  <c r="R1069" i="2"/>
  <c r="Q1069" i="2"/>
  <c r="P1069" i="2"/>
  <c r="U1069" i="2" s="1"/>
  <c r="O1069" i="2"/>
  <c r="N1069" i="2"/>
  <c r="U1068" i="2"/>
  <c r="T1068" i="2"/>
  <c r="S1068" i="2"/>
  <c r="R1068" i="2"/>
  <c r="Q1068" i="2"/>
  <c r="P1068" i="2"/>
  <c r="O1068" i="2"/>
  <c r="N1068" i="2"/>
  <c r="T1067" i="2"/>
  <c r="S1067" i="2"/>
  <c r="R1067" i="2"/>
  <c r="Q1067" i="2"/>
  <c r="P1067" i="2"/>
  <c r="U1067" i="2" s="1"/>
  <c r="O1067" i="2"/>
  <c r="N1067" i="2"/>
  <c r="T1066" i="2"/>
  <c r="S1066" i="2"/>
  <c r="R1066" i="2"/>
  <c r="Q1066" i="2"/>
  <c r="P1066" i="2"/>
  <c r="U1066" i="2" s="1"/>
  <c r="O1066" i="2"/>
  <c r="N1066" i="2"/>
  <c r="U1065" i="2"/>
  <c r="T1065" i="2"/>
  <c r="S1065" i="2"/>
  <c r="R1065" i="2"/>
  <c r="Q1065" i="2"/>
  <c r="P1065" i="2"/>
  <c r="O1065" i="2"/>
  <c r="N1065" i="2"/>
  <c r="T1064" i="2"/>
  <c r="S1064" i="2"/>
  <c r="R1064" i="2"/>
  <c r="Q1064" i="2"/>
  <c r="P1064" i="2"/>
  <c r="U1064" i="2" s="1"/>
  <c r="O1064" i="2"/>
  <c r="N1064" i="2"/>
  <c r="T1063" i="2"/>
  <c r="S1063" i="2"/>
  <c r="R1063" i="2"/>
  <c r="Q1063" i="2"/>
  <c r="P1063" i="2"/>
  <c r="U1063" i="2" s="1"/>
  <c r="O1063" i="2"/>
  <c r="N1063" i="2"/>
  <c r="U1062" i="2"/>
  <c r="T1062" i="2"/>
  <c r="S1062" i="2"/>
  <c r="R1062" i="2"/>
  <c r="Q1062" i="2"/>
  <c r="P1062" i="2"/>
  <c r="O1062" i="2"/>
  <c r="N1062" i="2"/>
  <c r="T1061" i="2"/>
  <c r="S1061" i="2"/>
  <c r="R1061" i="2"/>
  <c r="Q1061" i="2"/>
  <c r="P1061" i="2"/>
  <c r="U1061" i="2" s="1"/>
  <c r="O1061" i="2"/>
  <c r="N1061" i="2"/>
  <c r="T1060" i="2"/>
  <c r="S1060" i="2"/>
  <c r="R1060" i="2"/>
  <c r="Q1060" i="2"/>
  <c r="P1060" i="2"/>
  <c r="U1060" i="2" s="1"/>
  <c r="O1060" i="2"/>
  <c r="N1060" i="2"/>
  <c r="U1059" i="2"/>
  <c r="T1059" i="2"/>
  <c r="S1059" i="2"/>
  <c r="R1059" i="2"/>
  <c r="Q1059" i="2"/>
  <c r="P1059" i="2"/>
  <c r="O1059" i="2"/>
  <c r="N1059" i="2"/>
  <c r="T1058" i="2"/>
  <c r="S1058" i="2"/>
  <c r="R1058" i="2"/>
  <c r="Q1058" i="2"/>
  <c r="P1058" i="2"/>
  <c r="U1058" i="2" s="1"/>
  <c r="O1058" i="2"/>
  <c r="N1058" i="2"/>
  <c r="T1057" i="2"/>
  <c r="S1057" i="2"/>
  <c r="R1057" i="2"/>
  <c r="Q1057" i="2"/>
  <c r="P1057" i="2"/>
  <c r="U1057" i="2" s="1"/>
  <c r="O1057" i="2"/>
  <c r="N1057" i="2"/>
  <c r="U1056" i="2"/>
  <c r="T1056" i="2"/>
  <c r="S1056" i="2"/>
  <c r="R1056" i="2"/>
  <c r="Q1056" i="2"/>
  <c r="P1056" i="2"/>
  <c r="O1056" i="2"/>
  <c r="N1056" i="2"/>
  <c r="T1055" i="2"/>
  <c r="S1055" i="2"/>
  <c r="R1055" i="2"/>
  <c r="Q1055" i="2"/>
  <c r="P1055" i="2"/>
  <c r="U1055" i="2" s="1"/>
  <c r="O1055" i="2"/>
  <c r="N1055" i="2"/>
  <c r="T1054" i="2"/>
  <c r="S1054" i="2"/>
  <c r="R1054" i="2"/>
  <c r="Q1054" i="2"/>
  <c r="P1054" i="2"/>
  <c r="U1054" i="2" s="1"/>
  <c r="O1054" i="2"/>
  <c r="N1054" i="2"/>
  <c r="U1053" i="2"/>
  <c r="T1053" i="2"/>
  <c r="S1053" i="2"/>
  <c r="R1053" i="2"/>
  <c r="Q1053" i="2"/>
  <c r="P1053" i="2"/>
  <c r="O1053" i="2"/>
  <c r="N1053" i="2"/>
  <c r="T1052" i="2"/>
  <c r="S1052" i="2"/>
  <c r="R1052" i="2"/>
  <c r="Q1052" i="2"/>
  <c r="P1052" i="2"/>
  <c r="U1052" i="2" s="1"/>
  <c r="O1052" i="2"/>
  <c r="N1052" i="2"/>
  <c r="T1051" i="2"/>
  <c r="S1051" i="2"/>
  <c r="R1051" i="2"/>
  <c r="Q1051" i="2"/>
  <c r="P1051" i="2"/>
  <c r="U1051" i="2" s="1"/>
  <c r="O1051" i="2"/>
  <c r="N1051" i="2"/>
  <c r="U1050" i="2"/>
  <c r="T1050" i="2"/>
  <c r="S1050" i="2"/>
  <c r="R1050" i="2"/>
  <c r="Q1050" i="2"/>
  <c r="P1050" i="2"/>
  <c r="O1050" i="2"/>
  <c r="N1050" i="2"/>
  <c r="T1049" i="2"/>
  <c r="S1049" i="2"/>
  <c r="R1049" i="2"/>
  <c r="Q1049" i="2"/>
  <c r="P1049" i="2"/>
  <c r="U1049" i="2" s="1"/>
  <c r="O1049" i="2"/>
  <c r="N1049" i="2"/>
  <c r="T1048" i="2"/>
  <c r="S1048" i="2"/>
  <c r="R1048" i="2"/>
  <c r="Q1048" i="2"/>
  <c r="P1048" i="2"/>
  <c r="U1048" i="2" s="1"/>
  <c r="O1048" i="2"/>
  <c r="N1048" i="2"/>
  <c r="U1047" i="2"/>
  <c r="T1047" i="2"/>
  <c r="S1047" i="2"/>
  <c r="R1047" i="2"/>
  <c r="Q1047" i="2"/>
  <c r="P1047" i="2"/>
  <c r="O1047" i="2"/>
  <c r="N1047" i="2"/>
  <c r="T1046" i="2"/>
  <c r="S1046" i="2"/>
  <c r="R1046" i="2"/>
  <c r="Q1046" i="2"/>
  <c r="P1046" i="2"/>
  <c r="U1046" i="2" s="1"/>
  <c r="O1046" i="2"/>
  <c r="N1046" i="2"/>
  <c r="T1045" i="2"/>
  <c r="S1045" i="2"/>
  <c r="R1045" i="2"/>
  <c r="Q1045" i="2"/>
  <c r="P1045" i="2"/>
  <c r="U1045" i="2" s="1"/>
  <c r="O1045" i="2"/>
  <c r="N1045" i="2"/>
  <c r="U1044" i="2"/>
  <c r="T1044" i="2"/>
  <c r="S1044" i="2"/>
  <c r="R1044" i="2"/>
  <c r="Q1044" i="2"/>
  <c r="P1044" i="2"/>
  <c r="O1044" i="2"/>
  <c r="N1044" i="2"/>
  <c r="T1043" i="2"/>
  <c r="S1043" i="2"/>
  <c r="R1043" i="2"/>
  <c r="Q1043" i="2"/>
  <c r="P1043" i="2"/>
  <c r="U1043" i="2" s="1"/>
  <c r="O1043" i="2"/>
  <c r="N1043" i="2"/>
  <c r="T1042" i="2"/>
  <c r="S1042" i="2"/>
  <c r="R1042" i="2"/>
  <c r="Q1042" i="2"/>
  <c r="P1042" i="2"/>
  <c r="U1042" i="2" s="1"/>
  <c r="O1042" i="2"/>
  <c r="N1042" i="2"/>
  <c r="U1041" i="2"/>
  <c r="T1041" i="2"/>
  <c r="S1041" i="2"/>
  <c r="R1041" i="2"/>
  <c r="Q1041" i="2"/>
  <c r="P1041" i="2"/>
  <c r="O1041" i="2"/>
  <c r="N1041" i="2"/>
  <c r="T1040" i="2"/>
  <c r="S1040" i="2"/>
  <c r="R1040" i="2"/>
  <c r="Q1040" i="2"/>
  <c r="P1040" i="2"/>
  <c r="U1040" i="2" s="1"/>
  <c r="O1040" i="2"/>
  <c r="N1040" i="2"/>
  <c r="T1039" i="2"/>
  <c r="S1039" i="2"/>
  <c r="R1039" i="2"/>
  <c r="Q1039" i="2"/>
  <c r="P1039" i="2"/>
  <c r="U1039" i="2" s="1"/>
  <c r="O1039" i="2"/>
  <c r="N1039" i="2"/>
  <c r="U1038" i="2"/>
  <c r="T1038" i="2"/>
  <c r="S1038" i="2"/>
  <c r="R1038" i="2"/>
  <c r="Q1038" i="2"/>
  <c r="P1038" i="2"/>
  <c r="O1038" i="2"/>
  <c r="N1038" i="2"/>
  <c r="T1037" i="2"/>
  <c r="S1037" i="2"/>
  <c r="R1037" i="2"/>
  <c r="Q1037" i="2"/>
  <c r="P1037" i="2"/>
  <c r="U1037" i="2" s="1"/>
  <c r="O1037" i="2"/>
  <c r="N1037" i="2"/>
  <c r="T1036" i="2"/>
  <c r="S1036" i="2"/>
  <c r="R1036" i="2"/>
  <c r="Q1036" i="2"/>
  <c r="P1036" i="2"/>
  <c r="U1036" i="2" s="1"/>
  <c r="O1036" i="2"/>
  <c r="N1036" i="2"/>
  <c r="U1035" i="2"/>
  <c r="T1035" i="2"/>
  <c r="S1035" i="2"/>
  <c r="R1035" i="2"/>
  <c r="Q1035" i="2"/>
  <c r="P1035" i="2"/>
  <c r="O1035" i="2"/>
  <c r="N1035" i="2"/>
  <c r="T1034" i="2"/>
  <c r="S1034" i="2"/>
  <c r="R1034" i="2"/>
  <c r="Q1034" i="2"/>
  <c r="P1034" i="2"/>
  <c r="U1034" i="2" s="1"/>
  <c r="O1034" i="2"/>
  <c r="N1034" i="2"/>
  <c r="T1033" i="2"/>
  <c r="S1033" i="2"/>
  <c r="R1033" i="2"/>
  <c r="Q1033" i="2"/>
  <c r="P1033" i="2"/>
  <c r="U1033" i="2" s="1"/>
  <c r="O1033" i="2"/>
  <c r="N1033" i="2"/>
  <c r="U1032" i="2"/>
  <c r="T1032" i="2"/>
  <c r="S1032" i="2"/>
  <c r="R1032" i="2"/>
  <c r="Q1032" i="2"/>
  <c r="P1032" i="2"/>
  <c r="O1032" i="2"/>
  <c r="N1032" i="2"/>
  <c r="T1031" i="2"/>
  <c r="S1031" i="2"/>
  <c r="R1031" i="2"/>
  <c r="Q1031" i="2"/>
  <c r="P1031" i="2"/>
  <c r="U1031" i="2" s="1"/>
  <c r="O1031" i="2"/>
  <c r="N1031" i="2"/>
  <c r="T1030" i="2"/>
  <c r="S1030" i="2"/>
  <c r="R1030" i="2"/>
  <c r="Q1030" i="2"/>
  <c r="P1030" i="2"/>
  <c r="U1030" i="2" s="1"/>
  <c r="O1030" i="2"/>
  <c r="N1030" i="2"/>
  <c r="U1029" i="2"/>
  <c r="T1029" i="2"/>
  <c r="S1029" i="2"/>
  <c r="R1029" i="2"/>
  <c r="Q1029" i="2"/>
  <c r="P1029" i="2"/>
  <c r="O1029" i="2"/>
  <c r="N1029" i="2"/>
  <c r="T1028" i="2"/>
  <c r="S1028" i="2"/>
  <c r="R1028" i="2"/>
  <c r="Q1028" i="2"/>
  <c r="P1028" i="2"/>
  <c r="U1028" i="2" s="1"/>
  <c r="O1028" i="2"/>
  <c r="N1028" i="2"/>
  <c r="T1027" i="2"/>
  <c r="S1027" i="2"/>
  <c r="R1027" i="2"/>
  <c r="Q1027" i="2"/>
  <c r="P1027" i="2"/>
  <c r="U1027" i="2" s="1"/>
  <c r="O1027" i="2"/>
  <c r="N1027" i="2"/>
  <c r="U1026" i="2"/>
  <c r="T1026" i="2"/>
  <c r="S1026" i="2"/>
  <c r="R1026" i="2"/>
  <c r="Q1026" i="2"/>
  <c r="P1026" i="2"/>
  <c r="O1026" i="2"/>
  <c r="N1026" i="2"/>
  <c r="T1025" i="2"/>
  <c r="S1025" i="2"/>
  <c r="R1025" i="2"/>
  <c r="Q1025" i="2"/>
  <c r="P1025" i="2"/>
  <c r="U1025" i="2" s="1"/>
  <c r="O1025" i="2"/>
  <c r="N1025" i="2"/>
  <c r="T1024" i="2"/>
  <c r="S1024" i="2"/>
  <c r="R1024" i="2"/>
  <c r="Q1024" i="2"/>
  <c r="P1024" i="2"/>
  <c r="U1024" i="2" s="1"/>
  <c r="O1024" i="2"/>
  <c r="N1024" i="2"/>
  <c r="U1023" i="2"/>
  <c r="T1023" i="2"/>
  <c r="S1023" i="2"/>
  <c r="R1023" i="2"/>
  <c r="Q1023" i="2"/>
  <c r="P1023" i="2"/>
  <c r="O1023" i="2"/>
  <c r="N1023" i="2"/>
  <c r="T1022" i="2"/>
  <c r="S1022" i="2"/>
  <c r="R1022" i="2"/>
  <c r="Q1022" i="2"/>
  <c r="P1022" i="2"/>
  <c r="U1022" i="2" s="1"/>
  <c r="O1022" i="2"/>
  <c r="N1022" i="2"/>
  <c r="T1021" i="2"/>
  <c r="S1021" i="2"/>
  <c r="R1021" i="2"/>
  <c r="Q1021" i="2"/>
  <c r="P1021" i="2"/>
  <c r="U1021" i="2" s="1"/>
  <c r="O1021" i="2"/>
  <c r="N1021" i="2"/>
  <c r="U1020" i="2"/>
  <c r="T1020" i="2"/>
  <c r="S1020" i="2"/>
  <c r="R1020" i="2"/>
  <c r="Q1020" i="2"/>
  <c r="P1020" i="2"/>
  <c r="O1020" i="2"/>
  <c r="N1020" i="2"/>
  <c r="T1019" i="2"/>
  <c r="S1019" i="2"/>
  <c r="R1019" i="2"/>
  <c r="Q1019" i="2"/>
  <c r="P1019" i="2"/>
  <c r="U1019" i="2" s="1"/>
  <c r="O1019" i="2"/>
  <c r="N1019" i="2"/>
  <c r="T1018" i="2"/>
  <c r="S1018" i="2"/>
  <c r="R1018" i="2"/>
  <c r="Q1018" i="2"/>
  <c r="P1018" i="2"/>
  <c r="U1018" i="2" s="1"/>
  <c r="O1018" i="2"/>
  <c r="N1018" i="2"/>
  <c r="U1017" i="2"/>
  <c r="T1017" i="2"/>
  <c r="S1017" i="2"/>
  <c r="R1017" i="2"/>
  <c r="Q1017" i="2"/>
  <c r="P1017" i="2"/>
  <c r="O1017" i="2"/>
  <c r="N1017" i="2"/>
  <c r="T1016" i="2"/>
  <c r="S1016" i="2"/>
  <c r="R1016" i="2"/>
  <c r="Q1016" i="2"/>
  <c r="P1016" i="2"/>
  <c r="U1016" i="2" s="1"/>
  <c r="O1016" i="2"/>
  <c r="N1016" i="2"/>
  <c r="T1015" i="2"/>
  <c r="S1015" i="2"/>
  <c r="R1015" i="2"/>
  <c r="Q1015" i="2"/>
  <c r="P1015" i="2"/>
  <c r="U1015" i="2" s="1"/>
  <c r="O1015" i="2"/>
  <c r="N1015" i="2"/>
  <c r="U1014" i="2"/>
  <c r="T1014" i="2"/>
  <c r="S1014" i="2"/>
  <c r="R1014" i="2"/>
  <c r="Q1014" i="2"/>
  <c r="P1014" i="2"/>
  <c r="O1014" i="2"/>
  <c r="N1014" i="2"/>
  <c r="T1013" i="2"/>
  <c r="S1013" i="2"/>
  <c r="R1013" i="2"/>
  <c r="Q1013" i="2"/>
  <c r="P1013" i="2"/>
  <c r="U1013" i="2" s="1"/>
  <c r="O1013" i="2"/>
  <c r="N1013" i="2"/>
  <c r="T1012" i="2"/>
  <c r="S1012" i="2"/>
  <c r="R1012" i="2"/>
  <c r="Q1012" i="2"/>
  <c r="P1012" i="2"/>
  <c r="U1012" i="2" s="1"/>
  <c r="O1012" i="2"/>
  <c r="N1012" i="2"/>
  <c r="U1011" i="2"/>
  <c r="T1011" i="2"/>
  <c r="S1011" i="2"/>
  <c r="R1011" i="2"/>
  <c r="Q1011" i="2"/>
  <c r="P1011" i="2"/>
  <c r="O1011" i="2"/>
  <c r="N1011" i="2"/>
  <c r="T1010" i="2"/>
  <c r="S1010" i="2"/>
  <c r="R1010" i="2"/>
  <c r="Q1010" i="2"/>
  <c r="P1010" i="2"/>
  <c r="U1010" i="2" s="1"/>
  <c r="O1010" i="2"/>
  <c r="N1010" i="2"/>
  <c r="T1009" i="2"/>
  <c r="S1009" i="2"/>
  <c r="R1009" i="2"/>
  <c r="Q1009" i="2"/>
  <c r="P1009" i="2"/>
  <c r="U1009" i="2" s="1"/>
  <c r="O1009" i="2"/>
  <c r="N1009" i="2"/>
  <c r="U1008" i="2"/>
  <c r="T1008" i="2"/>
  <c r="S1008" i="2"/>
  <c r="R1008" i="2"/>
  <c r="Q1008" i="2"/>
  <c r="P1008" i="2"/>
  <c r="O1008" i="2"/>
  <c r="N1008" i="2"/>
  <c r="T1007" i="2"/>
  <c r="S1007" i="2"/>
  <c r="R1007" i="2"/>
  <c r="Q1007" i="2"/>
  <c r="P1007" i="2"/>
  <c r="U1007" i="2" s="1"/>
  <c r="O1007" i="2"/>
  <c r="N1007" i="2"/>
  <c r="T1006" i="2"/>
  <c r="S1006" i="2"/>
  <c r="R1006" i="2"/>
  <c r="Q1006" i="2"/>
  <c r="P1006" i="2"/>
  <c r="U1006" i="2" s="1"/>
  <c r="O1006" i="2"/>
  <c r="N1006" i="2"/>
  <c r="U1005" i="2"/>
  <c r="T1005" i="2"/>
  <c r="S1005" i="2"/>
  <c r="R1005" i="2"/>
  <c r="Q1005" i="2"/>
  <c r="P1005" i="2"/>
  <c r="O1005" i="2"/>
  <c r="N1005" i="2"/>
  <c r="T1004" i="2"/>
  <c r="S1004" i="2"/>
  <c r="R1004" i="2"/>
  <c r="Q1004" i="2"/>
  <c r="P1004" i="2"/>
  <c r="U1004" i="2" s="1"/>
  <c r="O1004" i="2"/>
  <c r="N1004" i="2"/>
  <c r="T1003" i="2"/>
  <c r="S1003" i="2"/>
  <c r="R1003" i="2"/>
  <c r="Q1003" i="2"/>
  <c r="P1003" i="2"/>
  <c r="U1003" i="2" s="1"/>
  <c r="O1003" i="2"/>
  <c r="N1003" i="2"/>
  <c r="U1002" i="2"/>
  <c r="T1002" i="2"/>
  <c r="S1002" i="2"/>
  <c r="R1002" i="2"/>
  <c r="Q1002" i="2"/>
  <c r="P1002" i="2"/>
  <c r="O1002" i="2"/>
  <c r="N1002" i="2"/>
  <c r="T1001" i="2"/>
  <c r="S1001" i="2"/>
  <c r="R1001" i="2"/>
  <c r="Q1001" i="2"/>
  <c r="P1001" i="2"/>
  <c r="U1001" i="2" s="1"/>
  <c r="O1001" i="2"/>
  <c r="N1001" i="2"/>
  <c r="T1000" i="2"/>
  <c r="S1000" i="2"/>
  <c r="R1000" i="2"/>
  <c r="Q1000" i="2"/>
  <c r="P1000" i="2"/>
  <c r="U1000" i="2" s="1"/>
  <c r="O1000" i="2"/>
  <c r="N1000" i="2"/>
  <c r="U999" i="2"/>
  <c r="T999" i="2"/>
  <c r="S999" i="2"/>
  <c r="R999" i="2"/>
  <c r="Q999" i="2"/>
  <c r="P999" i="2"/>
  <c r="O999" i="2"/>
  <c r="N999" i="2"/>
  <c r="T998" i="2"/>
  <c r="S998" i="2"/>
  <c r="R998" i="2"/>
  <c r="Q998" i="2"/>
  <c r="P998" i="2"/>
  <c r="U998" i="2" s="1"/>
  <c r="O998" i="2"/>
  <c r="N998" i="2"/>
  <c r="T997" i="2"/>
  <c r="S997" i="2"/>
  <c r="R997" i="2"/>
  <c r="Q997" i="2"/>
  <c r="P997" i="2"/>
  <c r="U997" i="2" s="1"/>
  <c r="O997" i="2"/>
  <c r="N997" i="2"/>
  <c r="U996" i="2"/>
  <c r="T996" i="2"/>
  <c r="S996" i="2"/>
  <c r="R996" i="2"/>
  <c r="Q996" i="2"/>
  <c r="P996" i="2"/>
  <c r="O996" i="2"/>
  <c r="N996" i="2"/>
  <c r="T995" i="2"/>
  <c r="S995" i="2"/>
  <c r="R995" i="2"/>
  <c r="Q995" i="2"/>
  <c r="P995" i="2"/>
  <c r="U995" i="2" s="1"/>
  <c r="O995" i="2"/>
  <c r="N995" i="2"/>
  <c r="T994" i="2"/>
  <c r="S994" i="2"/>
  <c r="R994" i="2"/>
  <c r="Q994" i="2"/>
  <c r="P994" i="2"/>
  <c r="U994" i="2" s="1"/>
  <c r="O994" i="2"/>
  <c r="N994" i="2"/>
  <c r="U993" i="2"/>
  <c r="T993" i="2"/>
  <c r="S993" i="2"/>
  <c r="R993" i="2"/>
  <c r="Q993" i="2"/>
  <c r="P993" i="2"/>
  <c r="O993" i="2"/>
  <c r="N993" i="2"/>
  <c r="T992" i="2"/>
  <c r="S992" i="2"/>
  <c r="R992" i="2"/>
  <c r="Q992" i="2"/>
  <c r="P992" i="2"/>
  <c r="U992" i="2" s="1"/>
  <c r="O992" i="2"/>
  <c r="N992" i="2"/>
  <c r="T991" i="2"/>
  <c r="S991" i="2"/>
  <c r="R991" i="2"/>
  <c r="Q991" i="2"/>
  <c r="P991" i="2"/>
  <c r="U991" i="2" s="1"/>
  <c r="O991" i="2"/>
  <c r="N991" i="2"/>
  <c r="U990" i="2"/>
  <c r="T990" i="2"/>
  <c r="S990" i="2"/>
  <c r="R990" i="2"/>
  <c r="Q990" i="2"/>
  <c r="P990" i="2"/>
  <c r="O990" i="2"/>
  <c r="N990" i="2"/>
  <c r="T989" i="2"/>
  <c r="S989" i="2"/>
  <c r="R989" i="2"/>
  <c r="Q989" i="2"/>
  <c r="P989" i="2"/>
  <c r="U989" i="2" s="1"/>
  <c r="O989" i="2"/>
  <c r="N989" i="2"/>
  <c r="T988" i="2"/>
  <c r="S988" i="2"/>
  <c r="R988" i="2"/>
  <c r="Q988" i="2"/>
  <c r="P988" i="2"/>
  <c r="U988" i="2" s="1"/>
  <c r="O988" i="2"/>
  <c r="N988" i="2"/>
  <c r="T987" i="2"/>
  <c r="S987" i="2"/>
  <c r="R987" i="2"/>
  <c r="Q987" i="2"/>
  <c r="P987" i="2"/>
  <c r="U987" i="2" s="1"/>
  <c r="O987" i="2"/>
  <c r="N987" i="2"/>
  <c r="T986" i="2"/>
  <c r="S986" i="2"/>
  <c r="R986" i="2"/>
  <c r="Q986" i="2"/>
  <c r="P986" i="2"/>
  <c r="U986" i="2" s="1"/>
  <c r="O986" i="2"/>
  <c r="N986" i="2"/>
  <c r="T985" i="2"/>
  <c r="S985" i="2"/>
  <c r="R985" i="2"/>
  <c r="Q985" i="2"/>
  <c r="P985" i="2"/>
  <c r="U985" i="2" s="1"/>
  <c r="O985" i="2"/>
  <c r="N985" i="2"/>
  <c r="T984" i="2"/>
  <c r="S984" i="2"/>
  <c r="R984" i="2"/>
  <c r="Q984" i="2"/>
  <c r="P984" i="2"/>
  <c r="U984" i="2" s="1"/>
  <c r="O984" i="2"/>
  <c r="N984" i="2"/>
  <c r="T983" i="2"/>
  <c r="S983" i="2"/>
  <c r="R983" i="2"/>
  <c r="Q983" i="2"/>
  <c r="P983" i="2"/>
  <c r="U983" i="2" s="1"/>
  <c r="O983" i="2"/>
  <c r="N983" i="2"/>
  <c r="T982" i="2"/>
  <c r="S982" i="2"/>
  <c r="R982" i="2"/>
  <c r="Q982" i="2"/>
  <c r="P982" i="2"/>
  <c r="U982" i="2" s="1"/>
  <c r="O982" i="2"/>
  <c r="N982" i="2"/>
  <c r="T981" i="2"/>
  <c r="S981" i="2"/>
  <c r="R981" i="2"/>
  <c r="Q981" i="2"/>
  <c r="P981" i="2"/>
  <c r="U981" i="2" s="1"/>
  <c r="O981" i="2"/>
  <c r="N981" i="2"/>
  <c r="T980" i="2"/>
  <c r="S980" i="2"/>
  <c r="R980" i="2"/>
  <c r="Q980" i="2"/>
  <c r="P980" i="2"/>
  <c r="U980" i="2" s="1"/>
  <c r="O980" i="2"/>
  <c r="N980" i="2"/>
  <c r="T979" i="2"/>
  <c r="S979" i="2"/>
  <c r="R979" i="2"/>
  <c r="Q979" i="2"/>
  <c r="P979" i="2"/>
  <c r="U979" i="2" s="1"/>
  <c r="O979" i="2"/>
  <c r="N979" i="2"/>
  <c r="U978" i="2"/>
  <c r="T978" i="2"/>
  <c r="S978" i="2"/>
  <c r="R978" i="2"/>
  <c r="Q978" i="2"/>
  <c r="P978" i="2"/>
  <c r="O978" i="2"/>
  <c r="N978" i="2"/>
  <c r="T977" i="2"/>
  <c r="S977" i="2"/>
  <c r="R977" i="2"/>
  <c r="Q977" i="2"/>
  <c r="P977" i="2"/>
  <c r="U977" i="2" s="1"/>
  <c r="O977" i="2"/>
  <c r="N977" i="2"/>
  <c r="T976" i="2"/>
  <c r="S976" i="2"/>
  <c r="R976" i="2"/>
  <c r="Q976" i="2"/>
  <c r="P976" i="2"/>
  <c r="U976" i="2" s="1"/>
  <c r="O976" i="2"/>
  <c r="N976" i="2"/>
  <c r="U975" i="2"/>
  <c r="T975" i="2"/>
  <c r="S975" i="2"/>
  <c r="R975" i="2"/>
  <c r="Q975" i="2"/>
  <c r="P975" i="2"/>
  <c r="O975" i="2"/>
  <c r="N975" i="2"/>
  <c r="T974" i="2"/>
  <c r="S974" i="2"/>
  <c r="R974" i="2"/>
  <c r="Q974" i="2"/>
  <c r="P974" i="2"/>
  <c r="U974" i="2" s="1"/>
  <c r="O974" i="2"/>
  <c r="N974" i="2"/>
  <c r="T973" i="2"/>
  <c r="S973" i="2"/>
  <c r="R973" i="2"/>
  <c r="Q973" i="2"/>
  <c r="P973" i="2"/>
  <c r="U973" i="2" s="1"/>
  <c r="O973" i="2"/>
  <c r="N973" i="2"/>
  <c r="T972" i="2"/>
  <c r="S972" i="2"/>
  <c r="R972" i="2"/>
  <c r="Q972" i="2"/>
  <c r="P972" i="2"/>
  <c r="U972" i="2" s="1"/>
  <c r="O972" i="2"/>
  <c r="N972" i="2"/>
  <c r="T971" i="2"/>
  <c r="S971" i="2"/>
  <c r="R971" i="2"/>
  <c r="Q971" i="2"/>
  <c r="P971" i="2"/>
  <c r="U971" i="2" s="1"/>
  <c r="O971" i="2"/>
  <c r="N971" i="2"/>
  <c r="T970" i="2"/>
  <c r="S970" i="2"/>
  <c r="R970" i="2"/>
  <c r="Q970" i="2"/>
  <c r="P970" i="2"/>
  <c r="U970" i="2" s="1"/>
  <c r="O970" i="2"/>
  <c r="N970" i="2"/>
  <c r="T969" i="2"/>
  <c r="S969" i="2"/>
  <c r="R969" i="2"/>
  <c r="Q969" i="2"/>
  <c r="P969" i="2"/>
  <c r="U969" i="2" s="1"/>
  <c r="O969" i="2"/>
  <c r="N969" i="2"/>
  <c r="T968" i="2"/>
  <c r="S968" i="2"/>
  <c r="R968" i="2"/>
  <c r="Q968" i="2"/>
  <c r="P968" i="2"/>
  <c r="U968" i="2" s="1"/>
  <c r="O968" i="2"/>
  <c r="N968" i="2"/>
  <c r="T967" i="2"/>
  <c r="S967" i="2"/>
  <c r="R967" i="2"/>
  <c r="Q967" i="2"/>
  <c r="P967" i="2"/>
  <c r="U967" i="2" s="1"/>
  <c r="O967" i="2"/>
  <c r="N967" i="2"/>
  <c r="T966" i="2"/>
  <c r="S966" i="2"/>
  <c r="R966" i="2"/>
  <c r="Q966" i="2"/>
  <c r="P966" i="2"/>
  <c r="U966" i="2" s="1"/>
  <c r="O966" i="2"/>
  <c r="N966" i="2"/>
  <c r="T965" i="2"/>
  <c r="S965" i="2"/>
  <c r="R965" i="2"/>
  <c r="Q965" i="2"/>
  <c r="P965" i="2"/>
  <c r="U965" i="2" s="1"/>
  <c r="O965" i="2"/>
  <c r="N965" i="2"/>
  <c r="T964" i="2"/>
  <c r="S964" i="2"/>
  <c r="R964" i="2"/>
  <c r="Q964" i="2"/>
  <c r="P964" i="2"/>
  <c r="U964" i="2" s="1"/>
  <c r="O964" i="2"/>
  <c r="N964" i="2"/>
  <c r="T963" i="2"/>
  <c r="S963" i="2"/>
  <c r="R963" i="2"/>
  <c r="Q963" i="2"/>
  <c r="P963" i="2"/>
  <c r="U963" i="2" s="1"/>
  <c r="O963" i="2"/>
  <c r="N963" i="2"/>
  <c r="T962" i="2"/>
  <c r="S962" i="2"/>
  <c r="R962" i="2"/>
  <c r="Q962" i="2"/>
  <c r="P962" i="2"/>
  <c r="U962" i="2" s="1"/>
  <c r="O962" i="2"/>
  <c r="N962" i="2"/>
  <c r="T961" i="2"/>
  <c r="S961" i="2"/>
  <c r="R961" i="2"/>
  <c r="Q961" i="2"/>
  <c r="P961" i="2"/>
  <c r="U961" i="2" s="1"/>
  <c r="O961" i="2"/>
  <c r="N961" i="2"/>
  <c r="U960" i="2"/>
  <c r="T960" i="2"/>
  <c r="S960" i="2"/>
  <c r="R960" i="2"/>
  <c r="Q960" i="2"/>
  <c r="P960" i="2"/>
  <c r="O960" i="2"/>
  <c r="N960" i="2"/>
  <c r="T959" i="2"/>
  <c r="S959" i="2"/>
  <c r="R959" i="2"/>
  <c r="Q959" i="2"/>
  <c r="P959" i="2"/>
  <c r="U959" i="2" s="1"/>
  <c r="O959" i="2"/>
  <c r="N959" i="2"/>
  <c r="T958" i="2"/>
  <c r="S958" i="2"/>
  <c r="R958" i="2"/>
  <c r="Q958" i="2"/>
  <c r="P958" i="2"/>
  <c r="U958" i="2" s="1"/>
  <c r="O958" i="2"/>
  <c r="N958" i="2"/>
  <c r="U957" i="2"/>
  <c r="T957" i="2"/>
  <c r="S957" i="2"/>
  <c r="R957" i="2"/>
  <c r="Q957" i="2"/>
  <c r="P957" i="2"/>
  <c r="O957" i="2"/>
  <c r="N957" i="2"/>
  <c r="T956" i="2"/>
  <c r="S956" i="2"/>
  <c r="R956" i="2"/>
  <c r="Q956" i="2"/>
  <c r="P956" i="2"/>
  <c r="U956" i="2" s="1"/>
  <c r="O956" i="2"/>
  <c r="N956" i="2"/>
  <c r="T955" i="2"/>
  <c r="S955" i="2"/>
  <c r="R955" i="2"/>
  <c r="Q955" i="2"/>
  <c r="P955" i="2"/>
  <c r="U955" i="2" s="1"/>
  <c r="O955" i="2"/>
  <c r="N955" i="2"/>
  <c r="T954" i="2"/>
  <c r="S954" i="2"/>
  <c r="R954" i="2"/>
  <c r="Q954" i="2"/>
  <c r="P954" i="2"/>
  <c r="U954" i="2" s="1"/>
  <c r="O954" i="2"/>
  <c r="N954" i="2"/>
  <c r="T953" i="2"/>
  <c r="S953" i="2"/>
  <c r="R953" i="2"/>
  <c r="Q953" i="2"/>
  <c r="P953" i="2"/>
  <c r="U953" i="2" s="1"/>
  <c r="O953" i="2"/>
  <c r="N953" i="2"/>
  <c r="T952" i="2"/>
  <c r="S952" i="2"/>
  <c r="R952" i="2"/>
  <c r="Q952" i="2"/>
  <c r="P952" i="2"/>
  <c r="U952" i="2" s="1"/>
  <c r="O952" i="2"/>
  <c r="N952" i="2"/>
  <c r="T951" i="2"/>
  <c r="S951" i="2"/>
  <c r="R951" i="2"/>
  <c r="Q951" i="2"/>
  <c r="P951" i="2"/>
  <c r="U951" i="2" s="1"/>
  <c r="O951" i="2"/>
  <c r="N951" i="2"/>
  <c r="T950" i="2"/>
  <c r="S950" i="2"/>
  <c r="R950" i="2"/>
  <c r="Q950" i="2"/>
  <c r="P950" i="2"/>
  <c r="U950" i="2" s="1"/>
  <c r="O950" i="2"/>
  <c r="N950" i="2"/>
  <c r="T949" i="2"/>
  <c r="S949" i="2"/>
  <c r="R949" i="2"/>
  <c r="Q949" i="2"/>
  <c r="P949" i="2"/>
  <c r="U949" i="2" s="1"/>
  <c r="O949" i="2"/>
  <c r="N949" i="2"/>
  <c r="T948" i="2"/>
  <c r="S948" i="2"/>
  <c r="R948" i="2"/>
  <c r="Q948" i="2"/>
  <c r="P948" i="2"/>
  <c r="U948" i="2" s="1"/>
  <c r="O948" i="2"/>
  <c r="N948" i="2"/>
  <c r="T947" i="2"/>
  <c r="S947" i="2"/>
  <c r="R947" i="2"/>
  <c r="Q947" i="2"/>
  <c r="P947" i="2"/>
  <c r="U947" i="2" s="1"/>
  <c r="O947" i="2"/>
  <c r="N947" i="2"/>
  <c r="T946" i="2"/>
  <c r="S946" i="2"/>
  <c r="R946" i="2"/>
  <c r="Q946" i="2"/>
  <c r="P946" i="2"/>
  <c r="U946" i="2" s="1"/>
  <c r="O946" i="2"/>
  <c r="N946" i="2"/>
  <c r="T945" i="2"/>
  <c r="S945" i="2"/>
  <c r="R945" i="2"/>
  <c r="Q945" i="2"/>
  <c r="P945" i="2"/>
  <c r="U945" i="2" s="1"/>
  <c r="O945" i="2"/>
  <c r="N945" i="2"/>
  <c r="U944" i="2"/>
  <c r="T944" i="2"/>
  <c r="S944" i="2"/>
  <c r="R944" i="2"/>
  <c r="Q944" i="2"/>
  <c r="P944" i="2"/>
  <c r="O944" i="2"/>
  <c r="N944" i="2"/>
  <c r="T943" i="2"/>
  <c r="S943" i="2"/>
  <c r="R943" i="2"/>
  <c r="Q943" i="2"/>
  <c r="P943" i="2"/>
  <c r="U943" i="2" s="1"/>
  <c r="O943" i="2"/>
  <c r="N943" i="2"/>
  <c r="T942" i="2"/>
  <c r="S942" i="2"/>
  <c r="R942" i="2"/>
  <c r="Q942" i="2"/>
  <c r="P942" i="2"/>
  <c r="U942" i="2" s="1"/>
  <c r="O942" i="2"/>
  <c r="N942" i="2"/>
  <c r="T941" i="2"/>
  <c r="S941" i="2"/>
  <c r="R941" i="2"/>
  <c r="Q941" i="2"/>
  <c r="P941" i="2"/>
  <c r="U941" i="2" s="1"/>
  <c r="O941" i="2"/>
  <c r="N941" i="2"/>
  <c r="T940" i="2"/>
  <c r="S940" i="2"/>
  <c r="R940" i="2"/>
  <c r="Q940" i="2"/>
  <c r="P940" i="2"/>
  <c r="U940" i="2" s="1"/>
  <c r="O940" i="2"/>
  <c r="N940" i="2"/>
  <c r="U939" i="2"/>
  <c r="T939" i="2"/>
  <c r="S939" i="2"/>
  <c r="R939" i="2"/>
  <c r="Q939" i="2"/>
  <c r="P939" i="2"/>
  <c r="O939" i="2"/>
  <c r="N939" i="2"/>
  <c r="T938" i="2"/>
  <c r="S938" i="2"/>
  <c r="R938" i="2"/>
  <c r="Q938" i="2"/>
  <c r="P938" i="2"/>
  <c r="U938" i="2" s="1"/>
  <c r="O938" i="2"/>
  <c r="N938" i="2"/>
  <c r="T937" i="2"/>
  <c r="S937" i="2"/>
  <c r="R937" i="2"/>
  <c r="Q937" i="2"/>
  <c r="P937" i="2"/>
  <c r="U937" i="2" s="1"/>
  <c r="O937" i="2"/>
  <c r="N937" i="2"/>
  <c r="U936" i="2"/>
  <c r="T936" i="2"/>
  <c r="S936" i="2"/>
  <c r="R936" i="2"/>
  <c r="Q936" i="2"/>
  <c r="P936" i="2"/>
  <c r="O936" i="2"/>
  <c r="N936" i="2"/>
  <c r="T935" i="2"/>
  <c r="S935" i="2"/>
  <c r="R935" i="2"/>
  <c r="Q935" i="2"/>
  <c r="P935" i="2"/>
  <c r="U935" i="2" s="1"/>
  <c r="O935" i="2"/>
  <c r="N935" i="2"/>
  <c r="T934" i="2"/>
  <c r="S934" i="2"/>
  <c r="R934" i="2"/>
  <c r="Q934" i="2"/>
  <c r="P934" i="2"/>
  <c r="U934" i="2" s="1"/>
  <c r="O934" i="2"/>
  <c r="N934" i="2"/>
  <c r="U933" i="2"/>
  <c r="T933" i="2"/>
  <c r="S933" i="2"/>
  <c r="R933" i="2"/>
  <c r="Q933" i="2"/>
  <c r="P933" i="2"/>
  <c r="O933" i="2"/>
  <c r="N933" i="2"/>
  <c r="T932" i="2"/>
  <c r="S932" i="2"/>
  <c r="R932" i="2"/>
  <c r="Q932" i="2"/>
  <c r="P932" i="2"/>
  <c r="U932" i="2" s="1"/>
  <c r="O932" i="2"/>
  <c r="N932" i="2"/>
  <c r="T931" i="2"/>
  <c r="S931" i="2"/>
  <c r="R931" i="2"/>
  <c r="Q931" i="2"/>
  <c r="P931" i="2"/>
  <c r="U931" i="2" s="1"/>
  <c r="O931" i="2"/>
  <c r="N931" i="2"/>
  <c r="T930" i="2"/>
  <c r="S930" i="2"/>
  <c r="R930" i="2"/>
  <c r="Q930" i="2"/>
  <c r="P930" i="2"/>
  <c r="U930" i="2" s="1"/>
  <c r="O930" i="2"/>
  <c r="N930" i="2"/>
  <c r="T929" i="2"/>
  <c r="S929" i="2"/>
  <c r="R929" i="2"/>
  <c r="Q929" i="2"/>
  <c r="P929" i="2"/>
  <c r="U929" i="2" s="1"/>
  <c r="O929" i="2"/>
  <c r="N929" i="2"/>
  <c r="T928" i="2"/>
  <c r="S928" i="2"/>
  <c r="R928" i="2"/>
  <c r="Q928" i="2"/>
  <c r="P928" i="2"/>
  <c r="U928" i="2" s="1"/>
  <c r="O928" i="2"/>
  <c r="N928" i="2"/>
  <c r="T927" i="2"/>
  <c r="S927" i="2"/>
  <c r="R927" i="2"/>
  <c r="Q927" i="2"/>
  <c r="P927" i="2"/>
  <c r="U927" i="2" s="1"/>
  <c r="O927" i="2"/>
  <c r="N927" i="2"/>
  <c r="T926" i="2"/>
  <c r="S926" i="2"/>
  <c r="R926" i="2"/>
  <c r="Q926" i="2"/>
  <c r="P926" i="2"/>
  <c r="U926" i="2" s="1"/>
  <c r="O926" i="2"/>
  <c r="N926" i="2"/>
  <c r="T925" i="2"/>
  <c r="S925" i="2"/>
  <c r="R925" i="2"/>
  <c r="Q925" i="2"/>
  <c r="P925" i="2"/>
  <c r="U925" i="2" s="1"/>
  <c r="O925" i="2"/>
  <c r="N925" i="2"/>
  <c r="U924" i="2"/>
  <c r="T924" i="2"/>
  <c r="S924" i="2"/>
  <c r="R924" i="2"/>
  <c r="Q924" i="2"/>
  <c r="P924" i="2"/>
  <c r="O924" i="2"/>
  <c r="N924" i="2"/>
  <c r="U923" i="2"/>
  <c r="T923" i="2"/>
  <c r="S923" i="2"/>
  <c r="R923" i="2"/>
  <c r="Q923" i="2"/>
  <c r="P923" i="2"/>
  <c r="O923" i="2"/>
  <c r="N923" i="2"/>
  <c r="T922" i="2"/>
  <c r="S922" i="2"/>
  <c r="R922" i="2"/>
  <c r="Q922" i="2"/>
  <c r="P922" i="2"/>
  <c r="U922" i="2" s="1"/>
  <c r="O922" i="2"/>
  <c r="N922" i="2"/>
  <c r="T921" i="2"/>
  <c r="S921" i="2"/>
  <c r="R921" i="2"/>
  <c r="Q921" i="2"/>
  <c r="P921" i="2"/>
  <c r="U921" i="2" s="1"/>
  <c r="O921" i="2"/>
  <c r="N921" i="2"/>
  <c r="T920" i="2"/>
  <c r="S920" i="2"/>
  <c r="R920" i="2"/>
  <c r="Q920" i="2"/>
  <c r="P920" i="2"/>
  <c r="U920" i="2" s="1"/>
  <c r="O920" i="2"/>
  <c r="N920" i="2"/>
  <c r="T919" i="2"/>
  <c r="S919" i="2"/>
  <c r="R919" i="2"/>
  <c r="Q919" i="2"/>
  <c r="P919" i="2"/>
  <c r="U919" i="2" s="1"/>
  <c r="O919" i="2"/>
  <c r="N919" i="2"/>
  <c r="T918" i="2"/>
  <c r="S918" i="2"/>
  <c r="R918" i="2"/>
  <c r="Q918" i="2"/>
  <c r="P918" i="2"/>
  <c r="U918" i="2" s="1"/>
  <c r="O918" i="2"/>
  <c r="N918" i="2"/>
  <c r="T917" i="2"/>
  <c r="S917" i="2"/>
  <c r="R917" i="2"/>
  <c r="Q917" i="2"/>
  <c r="P917" i="2"/>
  <c r="U917" i="2" s="1"/>
  <c r="O917" i="2"/>
  <c r="N917" i="2"/>
  <c r="T916" i="2"/>
  <c r="S916" i="2"/>
  <c r="R916" i="2"/>
  <c r="Q916" i="2"/>
  <c r="P916" i="2"/>
  <c r="U916" i="2" s="1"/>
  <c r="O916" i="2"/>
  <c r="N916" i="2"/>
  <c r="T915" i="2"/>
  <c r="S915" i="2"/>
  <c r="R915" i="2"/>
  <c r="Q915" i="2"/>
  <c r="P915" i="2"/>
  <c r="U915" i="2" s="1"/>
  <c r="O915" i="2"/>
  <c r="N915" i="2"/>
  <c r="U914" i="2"/>
  <c r="T914" i="2"/>
  <c r="S914" i="2"/>
  <c r="R914" i="2"/>
  <c r="Q914" i="2"/>
  <c r="P914" i="2"/>
  <c r="O914" i="2"/>
  <c r="N914" i="2"/>
  <c r="T913" i="2"/>
  <c r="S913" i="2"/>
  <c r="R913" i="2"/>
  <c r="Q913" i="2"/>
  <c r="P913" i="2"/>
  <c r="U913" i="2" s="1"/>
  <c r="O913" i="2"/>
  <c r="N913" i="2"/>
  <c r="U912" i="2"/>
  <c r="T912" i="2"/>
  <c r="S912" i="2"/>
  <c r="R912" i="2"/>
  <c r="Q912" i="2"/>
  <c r="P912" i="2"/>
  <c r="O912" i="2"/>
  <c r="N912" i="2"/>
  <c r="U911" i="2"/>
  <c r="T911" i="2"/>
  <c r="S911" i="2"/>
  <c r="R911" i="2"/>
  <c r="Q911" i="2"/>
  <c r="P911" i="2"/>
  <c r="O911" i="2"/>
  <c r="N911" i="2"/>
  <c r="T910" i="2"/>
  <c r="S910" i="2"/>
  <c r="R910" i="2"/>
  <c r="Q910" i="2"/>
  <c r="P910" i="2"/>
  <c r="U910" i="2" s="1"/>
  <c r="O910" i="2"/>
  <c r="N910" i="2"/>
  <c r="T909" i="2"/>
  <c r="S909" i="2"/>
  <c r="R909" i="2"/>
  <c r="Q909" i="2"/>
  <c r="P909" i="2"/>
  <c r="U909" i="2" s="1"/>
  <c r="O909" i="2"/>
  <c r="N909" i="2"/>
  <c r="U908" i="2"/>
  <c r="T908" i="2"/>
  <c r="S908" i="2"/>
  <c r="R908" i="2"/>
  <c r="Q908" i="2"/>
  <c r="P908" i="2"/>
  <c r="O908" i="2"/>
  <c r="N908" i="2"/>
  <c r="T907" i="2"/>
  <c r="S907" i="2"/>
  <c r="R907" i="2"/>
  <c r="Q907" i="2"/>
  <c r="P907" i="2"/>
  <c r="U907" i="2" s="1"/>
  <c r="O907" i="2"/>
  <c r="N907" i="2"/>
  <c r="T906" i="2"/>
  <c r="S906" i="2"/>
  <c r="R906" i="2"/>
  <c r="Q906" i="2"/>
  <c r="P906" i="2"/>
  <c r="U906" i="2" s="1"/>
  <c r="O906" i="2"/>
  <c r="N906" i="2"/>
  <c r="T905" i="2"/>
  <c r="S905" i="2"/>
  <c r="R905" i="2"/>
  <c r="Q905" i="2"/>
  <c r="P905" i="2"/>
  <c r="U905" i="2" s="1"/>
  <c r="O905" i="2"/>
  <c r="N905" i="2"/>
  <c r="T904" i="2"/>
  <c r="S904" i="2"/>
  <c r="R904" i="2"/>
  <c r="Q904" i="2"/>
  <c r="P904" i="2"/>
  <c r="U904" i="2" s="1"/>
  <c r="O904" i="2"/>
  <c r="N904" i="2"/>
  <c r="U903" i="2"/>
  <c r="T903" i="2"/>
  <c r="S903" i="2"/>
  <c r="R903" i="2"/>
  <c r="Q903" i="2"/>
  <c r="P903" i="2"/>
  <c r="O903" i="2"/>
  <c r="N903" i="2"/>
  <c r="T902" i="2"/>
  <c r="S902" i="2"/>
  <c r="R902" i="2"/>
  <c r="Q902" i="2"/>
  <c r="P902" i="2"/>
  <c r="U902" i="2" s="1"/>
  <c r="O902" i="2"/>
  <c r="N902" i="2"/>
  <c r="T901" i="2"/>
  <c r="S901" i="2"/>
  <c r="R901" i="2"/>
  <c r="Q901" i="2"/>
  <c r="P901" i="2"/>
  <c r="U901" i="2" s="1"/>
  <c r="O901" i="2"/>
  <c r="N901" i="2"/>
  <c r="U900" i="2"/>
  <c r="T900" i="2"/>
  <c r="S900" i="2"/>
  <c r="R900" i="2"/>
  <c r="Q900" i="2"/>
  <c r="P900" i="2"/>
  <c r="O900" i="2"/>
  <c r="N900" i="2"/>
  <c r="T899" i="2"/>
  <c r="S899" i="2"/>
  <c r="R899" i="2"/>
  <c r="Q899" i="2"/>
  <c r="P899" i="2"/>
  <c r="U899" i="2" s="1"/>
  <c r="O899" i="2"/>
  <c r="N899" i="2"/>
  <c r="T898" i="2"/>
  <c r="S898" i="2"/>
  <c r="R898" i="2"/>
  <c r="Q898" i="2"/>
  <c r="P898" i="2"/>
  <c r="U898" i="2" s="1"/>
  <c r="O898" i="2"/>
  <c r="N898" i="2"/>
  <c r="U897" i="2"/>
  <c r="T897" i="2"/>
  <c r="S897" i="2"/>
  <c r="R897" i="2"/>
  <c r="Q897" i="2"/>
  <c r="P897" i="2"/>
  <c r="O897" i="2"/>
  <c r="N897" i="2"/>
  <c r="T896" i="2"/>
  <c r="S896" i="2"/>
  <c r="R896" i="2"/>
  <c r="Q896" i="2"/>
  <c r="P896" i="2"/>
  <c r="U896" i="2" s="1"/>
  <c r="O896" i="2"/>
  <c r="N896" i="2"/>
  <c r="T895" i="2"/>
  <c r="S895" i="2"/>
  <c r="R895" i="2"/>
  <c r="Q895" i="2"/>
  <c r="P895" i="2"/>
  <c r="U895" i="2" s="1"/>
  <c r="O895" i="2"/>
  <c r="N895" i="2"/>
  <c r="T894" i="2"/>
  <c r="S894" i="2"/>
  <c r="R894" i="2"/>
  <c r="Q894" i="2"/>
  <c r="P894" i="2"/>
  <c r="U894" i="2" s="1"/>
  <c r="O894" i="2"/>
  <c r="N894" i="2"/>
  <c r="T893" i="2"/>
  <c r="S893" i="2"/>
  <c r="R893" i="2"/>
  <c r="Q893" i="2"/>
  <c r="P893" i="2"/>
  <c r="U893" i="2" s="1"/>
  <c r="O893" i="2"/>
  <c r="N893" i="2"/>
  <c r="T892" i="2"/>
  <c r="S892" i="2"/>
  <c r="R892" i="2"/>
  <c r="Q892" i="2"/>
  <c r="P892" i="2"/>
  <c r="U892" i="2" s="1"/>
  <c r="O892" i="2"/>
  <c r="N892" i="2"/>
  <c r="T891" i="2"/>
  <c r="S891" i="2"/>
  <c r="R891" i="2"/>
  <c r="Q891" i="2"/>
  <c r="P891" i="2"/>
  <c r="U891" i="2" s="1"/>
  <c r="O891" i="2"/>
  <c r="N891" i="2"/>
  <c r="T890" i="2"/>
  <c r="S890" i="2"/>
  <c r="R890" i="2"/>
  <c r="Q890" i="2"/>
  <c r="P890" i="2"/>
  <c r="U890" i="2" s="1"/>
  <c r="O890" i="2"/>
  <c r="N890" i="2"/>
  <c r="U889" i="2"/>
  <c r="T889" i="2"/>
  <c r="S889" i="2"/>
  <c r="R889" i="2"/>
  <c r="Q889" i="2"/>
  <c r="P889" i="2"/>
  <c r="O889" i="2"/>
  <c r="N889" i="2"/>
  <c r="S888" i="2"/>
  <c r="R888" i="2"/>
  <c r="Q888" i="2"/>
  <c r="O888" i="2"/>
  <c r="P888" i="2" s="1"/>
  <c r="U888" i="2" s="1"/>
  <c r="N888" i="2"/>
  <c r="T887" i="2"/>
  <c r="S887" i="2"/>
  <c r="R887" i="2"/>
  <c r="Q887" i="2"/>
  <c r="P887" i="2"/>
  <c r="U887" i="2" s="1"/>
  <c r="O887" i="2"/>
  <c r="N887" i="2"/>
  <c r="U886" i="2"/>
  <c r="T886" i="2"/>
  <c r="S886" i="2"/>
  <c r="R886" i="2"/>
  <c r="Q886" i="2"/>
  <c r="P886" i="2"/>
  <c r="O886" i="2"/>
  <c r="N886" i="2"/>
  <c r="S885" i="2"/>
  <c r="R885" i="2"/>
  <c r="Q885" i="2"/>
  <c r="O885" i="2"/>
  <c r="P885" i="2" s="1"/>
  <c r="U885" i="2" s="1"/>
  <c r="N885" i="2"/>
  <c r="T884" i="2"/>
  <c r="S884" i="2"/>
  <c r="R884" i="2"/>
  <c r="Q884" i="2"/>
  <c r="P884" i="2"/>
  <c r="U884" i="2" s="1"/>
  <c r="O884" i="2"/>
  <c r="N884" i="2"/>
  <c r="U883" i="2"/>
  <c r="T883" i="2"/>
  <c r="S883" i="2"/>
  <c r="R883" i="2"/>
  <c r="Q883" i="2"/>
  <c r="P883" i="2"/>
  <c r="O883" i="2"/>
  <c r="N883" i="2"/>
  <c r="S882" i="2"/>
  <c r="R882" i="2"/>
  <c r="Q882" i="2"/>
  <c r="O882" i="2"/>
  <c r="P882" i="2" s="1"/>
  <c r="U882" i="2" s="1"/>
  <c r="N882" i="2"/>
  <c r="T881" i="2"/>
  <c r="S881" i="2"/>
  <c r="R881" i="2"/>
  <c r="Q881" i="2"/>
  <c r="P881" i="2"/>
  <c r="U881" i="2" s="1"/>
  <c r="O881" i="2"/>
  <c r="N881" i="2"/>
  <c r="U880" i="2"/>
  <c r="T880" i="2"/>
  <c r="S880" i="2"/>
  <c r="R880" i="2"/>
  <c r="Q880" i="2"/>
  <c r="P880" i="2"/>
  <c r="O880" i="2"/>
  <c r="N880" i="2"/>
  <c r="S879" i="2"/>
  <c r="R879" i="2"/>
  <c r="Q879" i="2"/>
  <c r="O879" i="2"/>
  <c r="P879" i="2" s="1"/>
  <c r="U879" i="2" s="1"/>
  <c r="N879" i="2"/>
  <c r="T878" i="2"/>
  <c r="S878" i="2"/>
  <c r="R878" i="2"/>
  <c r="Q878" i="2"/>
  <c r="P878" i="2"/>
  <c r="U878" i="2" s="1"/>
  <c r="O878" i="2"/>
  <c r="N878" i="2"/>
  <c r="U877" i="2"/>
  <c r="T877" i="2"/>
  <c r="S877" i="2"/>
  <c r="R877" i="2"/>
  <c r="Q877" i="2"/>
  <c r="P877" i="2"/>
  <c r="O877" i="2"/>
  <c r="N877" i="2"/>
  <c r="S876" i="2"/>
  <c r="R876" i="2"/>
  <c r="Q876" i="2"/>
  <c r="O876" i="2"/>
  <c r="P876" i="2" s="1"/>
  <c r="U876" i="2" s="1"/>
  <c r="N876" i="2"/>
  <c r="T875" i="2"/>
  <c r="S875" i="2"/>
  <c r="R875" i="2"/>
  <c r="Q875" i="2"/>
  <c r="P875" i="2"/>
  <c r="U875" i="2" s="1"/>
  <c r="O875" i="2"/>
  <c r="N875" i="2"/>
  <c r="U874" i="2"/>
  <c r="T874" i="2"/>
  <c r="S874" i="2"/>
  <c r="R874" i="2"/>
  <c r="Q874" i="2"/>
  <c r="P874" i="2"/>
  <c r="O874" i="2"/>
  <c r="N874" i="2"/>
  <c r="S873" i="2"/>
  <c r="R873" i="2"/>
  <c r="Q873" i="2"/>
  <c r="O873" i="2"/>
  <c r="P873" i="2" s="1"/>
  <c r="U873" i="2" s="1"/>
  <c r="N873" i="2"/>
  <c r="T872" i="2"/>
  <c r="S872" i="2"/>
  <c r="R872" i="2"/>
  <c r="Q872" i="2"/>
  <c r="P872" i="2"/>
  <c r="U872" i="2" s="1"/>
  <c r="O872" i="2"/>
  <c r="N872" i="2"/>
  <c r="U871" i="2"/>
  <c r="T871" i="2"/>
  <c r="S871" i="2"/>
  <c r="R871" i="2"/>
  <c r="Q871" i="2"/>
  <c r="P871" i="2"/>
  <c r="O871" i="2"/>
  <c r="N871" i="2"/>
  <c r="S870" i="2"/>
  <c r="R870" i="2"/>
  <c r="Q870" i="2"/>
  <c r="O870" i="2"/>
  <c r="P870" i="2" s="1"/>
  <c r="U870" i="2" s="1"/>
  <c r="N870" i="2"/>
  <c r="T869" i="2"/>
  <c r="S869" i="2"/>
  <c r="R869" i="2"/>
  <c r="Q869" i="2"/>
  <c r="P869" i="2"/>
  <c r="U869" i="2" s="1"/>
  <c r="O869" i="2"/>
  <c r="N869" i="2"/>
  <c r="U868" i="2"/>
  <c r="T868" i="2"/>
  <c r="S868" i="2"/>
  <c r="R868" i="2"/>
  <c r="Q868" i="2"/>
  <c r="P868" i="2"/>
  <c r="O868" i="2"/>
  <c r="N868" i="2"/>
  <c r="T867" i="2"/>
  <c r="S867" i="2"/>
  <c r="R867" i="2"/>
  <c r="Q867" i="2"/>
  <c r="O867" i="2"/>
  <c r="P867" i="2" s="1"/>
  <c r="U867" i="2" s="1"/>
  <c r="N867" i="2"/>
  <c r="T866" i="2"/>
  <c r="S866" i="2"/>
  <c r="R866" i="2"/>
  <c r="Q866" i="2"/>
  <c r="P866" i="2"/>
  <c r="U866" i="2" s="1"/>
  <c r="O866" i="2"/>
  <c r="N866" i="2"/>
  <c r="U865" i="2"/>
  <c r="T865" i="2"/>
  <c r="S865" i="2"/>
  <c r="R865" i="2"/>
  <c r="Q865" i="2"/>
  <c r="P865" i="2"/>
  <c r="O865" i="2"/>
  <c r="N865" i="2"/>
  <c r="T864" i="2"/>
  <c r="S864" i="2"/>
  <c r="R864" i="2"/>
  <c r="Q864" i="2"/>
  <c r="O864" i="2"/>
  <c r="P864" i="2" s="1"/>
  <c r="U864" i="2" s="1"/>
  <c r="N864" i="2"/>
  <c r="T863" i="2"/>
  <c r="S863" i="2"/>
  <c r="R863" i="2"/>
  <c r="Q863" i="2"/>
  <c r="P863" i="2"/>
  <c r="U863" i="2" s="1"/>
  <c r="O863" i="2"/>
  <c r="N863" i="2"/>
  <c r="U862" i="2"/>
  <c r="T862" i="2"/>
  <c r="S862" i="2"/>
  <c r="R862" i="2"/>
  <c r="Q862" i="2"/>
  <c r="P862" i="2"/>
  <c r="O862" i="2"/>
  <c r="N862" i="2"/>
  <c r="T861" i="2"/>
  <c r="S861" i="2"/>
  <c r="R861" i="2"/>
  <c r="Q861" i="2"/>
  <c r="O861" i="2"/>
  <c r="P861" i="2" s="1"/>
  <c r="U861" i="2" s="1"/>
  <c r="N861" i="2"/>
  <c r="T860" i="2"/>
  <c r="S860" i="2"/>
  <c r="R860" i="2"/>
  <c r="Q860" i="2"/>
  <c r="P860" i="2"/>
  <c r="U860" i="2" s="1"/>
  <c r="O860" i="2"/>
  <c r="N860" i="2"/>
  <c r="U859" i="2"/>
  <c r="T859" i="2"/>
  <c r="S859" i="2"/>
  <c r="R859" i="2"/>
  <c r="Q859" i="2"/>
  <c r="P859" i="2"/>
  <c r="O859" i="2"/>
  <c r="N859" i="2"/>
  <c r="T858" i="2"/>
  <c r="S858" i="2"/>
  <c r="R858" i="2"/>
  <c r="Q858" i="2"/>
  <c r="O858" i="2"/>
  <c r="P858" i="2" s="1"/>
  <c r="U858" i="2" s="1"/>
  <c r="N858" i="2"/>
  <c r="T857" i="2"/>
  <c r="S857" i="2"/>
  <c r="R857" i="2"/>
  <c r="Q857" i="2"/>
  <c r="P857" i="2"/>
  <c r="U857" i="2" s="1"/>
  <c r="O857" i="2"/>
  <c r="N857" i="2"/>
  <c r="U856" i="2"/>
  <c r="T856" i="2"/>
  <c r="S856" i="2"/>
  <c r="R856" i="2"/>
  <c r="Q856" i="2"/>
  <c r="P856" i="2"/>
  <c r="O856" i="2"/>
  <c r="N856" i="2"/>
  <c r="T855" i="2"/>
  <c r="S855" i="2"/>
  <c r="R855" i="2"/>
  <c r="Q855" i="2"/>
  <c r="O855" i="2"/>
  <c r="P855" i="2" s="1"/>
  <c r="U855" i="2" s="1"/>
  <c r="N855" i="2"/>
  <c r="T854" i="2"/>
  <c r="S854" i="2"/>
  <c r="R854" i="2"/>
  <c r="Q854" i="2"/>
  <c r="P854" i="2"/>
  <c r="U854" i="2" s="1"/>
  <c r="O854" i="2"/>
  <c r="N854" i="2"/>
  <c r="U853" i="2"/>
  <c r="T853" i="2"/>
  <c r="S853" i="2"/>
  <c r="R853" i="2"/>
  <c r="Q853" i="2"/>
  <c r="P853" i="2"/>
  <c r="O853" i="2"/>
  <c r="N853" i="2"/>
  <c r="T852" i="2"/>
  <c r="S852" i="2"/>
  <c r="R852" i="2"/>
  <c r="Q852" i="2"/>
  <c r="O852" i="2"/>
  <c r="P852" i="2" s="1"/>
  <c r="U852" i="2" s="1"/>
  <c r="N852" i="2"/>
  <c r="T851" i="2"/>
  <c r="S851" i="2"/>
  <c r="R851" i="2"/>
  <c r="Q851" i="2"/>
  <c r="P851" i="2"/>
  <c r="U851" i="2" s="1"/>
  <c r="O851" i="2"/>
  <c r="N851" i="2"/>
  <c r="U850" i="2"/>
  <c r="T850" i="2"/>
  <c r="S850" i="2"/>
  <c r="R850" i="2"/>
  <c r="Q850" i="2"/>
  <c r="P850" i="2"/>
  <c r="O850" i="2"/>
  <c r="N850" i="2"/>
  <c r="T849" i="2"/>
  <c r="S849" i="2"/>
  <c r="R849" i="2"/>
  <c r="Q849" i="2"/>
  <c r="O849" i="2"/>
  <c r="P849" i="2" s="1"/>
  <c r="U849" i="2" s="1"/>
  <c r="N849" i="2"/>
  <c r="T848" i="2"/>
  <c r="S848" i="2"/>
  <c r="R848" i="2"/>
  <c r="Q848" i="2"/>
  <c r="P848" i="2"/>
  <c r="U848" i="2" s="1"/>
  <c r="O848" i="2"/>
  <c r="N848" i="2"/>
  <c r="U847" i="2"/>
  <c r="T847" i="2"/>
  <c r="S847" i="2"/>
  <c r="R847" i="2"/>
  <c r="Q847" i="2"/>
  <c r="P847" i="2"/>
  <c r="O847" i="2"/>
  <c r="N847" i="2"/>
  <c r="T846" i="2"/>
  <c r="S846" i="2"/>
  <c r="R846" i="2"/>
  <c r="Q846" i="2"/>
  <c r="O846" i="2"/>
  <c r="P846" i="2" s="1"/>
  <c r="U846" i="2" s="1"/>
  <c r="N846" i="2"/>
  <c r="T845" i="2"/>
  <c r="S845" i="2"/>
  <c r="R845" i="2"/>
  <c r="Q845" i="2"/>
  <c r="P845" i="2"/>
  <c r="U845" i="2" s="1"/>
  <c r="O845" i="2"/>
  <c r="N845" i="2"/>
  <c r="U844" i="2"/>
  <c r="T844" i="2"/>
  <c r="S844" i="2"/>
  <c r="R844" i="2"/>
  <c r="Q844" i="2"/>
  <c r="P844" i="2"/>
  <c r="O844" i="2"/>
  <c r="N844" i="2"/>
  <c r="T843" i="2"/>
  <c r="S843" i="2"/>
  <c r="R843" i="2"/>
  <c r="Q843" i="2"/>
  <c r="O843" i="2"/>
  <c r="P843" i="2" s="1"/>
  <c r="U843" i="2" s="1"/>
  <c r="N843" i="2"/>
  <c r="T842" i="2"/>
  <c r="S842" i="2"/>
  <c r="R842" i="2"/>
  <c r="Q842" i="2"/>
  <c r="P842" i="2"/>
  <c r="U842" i="2" s="1"/>
  <c r="O842" i="2"/>
  <c r="N842" i="2"/>
  <c r="U841" i="2"/>
  <c r="T841" i="2"/>
  <c r="S841" i="2"/>
  <c r="R841" i="2"/>
  <c r="Q841" i="2"/>
  <c r="P841" i="2"/>
  <c r="O841" i="2"/>
  <c r="N841" i="2"/>
  <c r="T840" i="2"/>
  <c r="S840" i="2"/>
  <c r="R840" i="2"/>
  <c r="Q840" i="2"/>
  <c r="O840" i="2"/>
  <c r="P840" i="2" s="1"/>
  <c r="U840" i="2" s="1"/>
  <c r="N840" i="2"/>
  <c r="T839" i="2"/>
  <c r="S839" i="2"/>
  <c r="R839" i="2"/>
  <c r="Q839" i="2"/>
  <c r="P839" i="2"/>
  <c r="U839" i="2" s="1"/>
  <c r="O839" i="2"/>
  <c r="N839" i="2"/>
  <c r="U838" i="2"/>
  <c r="T838" i="2"/>
  <c r="S838" i="2"/>
  <c r="R838" i="2"/>
  <c r="Q838" i="2"/>
  <c r="P838" i="2"/>
  <c r="O838" i="2"/>
  <c r="N838" i="2"/>
  <c r="T837" i="2"/>
  <c r="S837" i="2"/>
  <c r="R837" i="2"/>
  <c r="Q837" i="2"/>
  <c r="O837" i="2"/>
  <c r="P837" i="2" s="1"/>
  <c r="U837" i="2" s="1"/>
  <c r="N837" i="2"/>
  <c r="T836" i="2"/>
  <c r="S836" i="2"/>
  <c r="R836" i="2"/>
  <c r="Q836" i="2"/>
  <c r="P836" i="2"/>
  <c r="U836" i="2" s="1"/>
  <c r="O836" i="2"/>
  <c r="N836" i="2"/>
  <c r="U835" i="2"/>
  <c r="T835" i="2"/>
  <c r="S835" i="2"/>
  <c r="R835" i="2"/>
  <c r="Q835" i="2"/>
  <c r="P835" i="2"/>
  <c r="O835" i="2"/>
  <c r="N835" i="2"/>
  <c r="T834" i="2"/>
  <c r="S834" i="2"/>
  <c r="R834" i="2"/>
  <c r="Q834" i="2"/>
  <c r="O834" i="2"/>
  <c r="P834" i="2" s="1"/>
  <c r="U834" i="2" s="1"/>
  <c r="N834" i="2"/>
  <c r="T833" i="2"/>
  <c r="S833" i="2"/>
  <c r="R833" i="2"/>
  <c r="Q833" i="2"/>
  <c r="P833" i="2"/>
  <c r="U833" i="2" s="1"/>
  <c r="O833" i="2"/>
  <c r="N833" i="2"/>
  <c r="U832" i="2"/>
  <c r="T832" i="2"/>
  <c r="S832" i="2"/>
  <c r="R832" i="2"/>
  <c r="Q832" i="2"/>
  <c r="P832" i="2"/>
  <c r="O832" i="2"/>
  <c r="N832" i="2"/>
  <c r="T831" i="2"/>
  <c r="S831" i="2"/>
  <c r="R831" i="2"/>
  <c r="Q831" i="2"/>
  <c r="O831" i="2"/>
  <c r="P831" i="2" s="1"/>
  <c r="U831" i="2" s="1"/>
  <c r="N831" i="2"/>
  <c r="T830" i="2"/>
  <c r="S830" i="2"/>
  <c r="R830" i="2"/>
  <c r="Q830" i="2"/>
  <c r="P830" i="2"/>
  <c r="U830" i="2" s="1"/>
  <c r="O830" i="2"/>
  <c r="N830" i="2"/>
  <c r="U829" i="2"/>
  <c r="T829" i="2"/>
  <c r="S829" i="2"/>
  <c r="R829" i="2"/>
  <c r="Q829" i="2"/>
  <c r="P829" i="2"/>
  <c r="O829" i="2"/>
  <c r="N829" i="2"/>
  <c r="T828" i="2"/>
  <c r="S828" i="2"/>
  <c r="R828" i="2"/>
  <c r="Q828" i="2"/>
  <c r="O828" i="2"/>
  <c r="P828" i="2" s="1"/>
  <c r="U828" i="2" s="1"/>
  <c r="N828" i="2"/>
  <c r="T827" i="2"/>
  <c r="S827" i="2"/>
  <c r="R827" i="2"/>
  <c r="Q827" i="2"/>
  <c r="P827" i="2"/>
  <c r="U827" i="2" s="1"/>
  <c r="O827" i="2"/>
  <c r="N827" i="2"/>
  <c r="U826" i="2"/>
  <c r="T826" i="2"/>
  <c r="S826" i="2"/>
  <c r="R826" i="2"/>
  <c r="Q826" i="2"/>
  <c r="P826" i="2"/>
  <c r="O826" i="2"/>
  <c r="N826" i="2"/>
  <c r="T825" i="2"/>
  <c r="S825" i="2"/>
  <c r="R825" i="2"/>
  <c r="Q825" i="2"/>
  <c r="O825" i="2"/>
  <c r="P825" i="2" s="1"/>
  <c r="U825" i="2" s="1"/>
  <c r="N825" i="2"/>
  <c r="T824" i="2"/>
  <c r="S824" i="2"/>
  <c r="R824" i="2"/>
  <c r="Q824" i="2"/>
  <c r="P824" i="2"/>
  <c r="U824" i="2" s="1"/>
  <c r="O824" i="2"/>
  <c r="N824" i="2"/>
  <c r="U823" i="2"/>
  <c r="T823" i="2"/>
  <c r="S823" i="2"/>
  <c r="R823" i="2"/>
  <c r="Q823" i="2"/>
  <c r="P823" i="2"/>
  <c r="O823" i="2"/>
  <c r="N823" i="2"/>
  <c r="T822" i="2"/>
  <c r="S822" i="2"/>
  <c r="R822" i="2"/>
  <c r="Q822" i="2"/>
  <c r="O822" i="2"/>
  <c r="P822" i="2" s="1"/>
  <c r="U822" i="2" s="1"/>
  <c r="N822" i="2"/>
  <c r="T821" i="2"/>
  <c r="S821" i="2"/>
  <c r="R821" i="2"/>
  <c r="Q821" i="2"/>
  <c r="P821" i="2"/>
  <c r="U821" i="2" s="1"/>
  <c r="O821" i="2"/>
  <c r="N821" i="2"/>
  <c r="U820" i="2"/>
  <c r="T820" i="2"/>
  <c r="S820" i="2"/>
  <c r="R820" i="2"/>
  <c r="Q820" i="2"/>
  <c r="P820" i="2"/>
  <c r="O820" i="2"/>
  <c r="N820" i="2"/>
  <c r="T819" i="2"/>
  <c r="S819" i="2"/>
  <c r="R819" i="2"/>
  <c r="Q819" i="2"/>
  <c r="O819" i="2"/>
  <c r="P819" i="2" s="1"/>
  <c r="U819" i="2" s="1"/>
  <c r="N819" i="2"/>
  <c r="T818" i="2"/>
  <c r="S818" i="2"/>
  <c r="R818" i="2"/>
  <c r="Q818" i="2"/>
  <c r="P818" i="2"/>
  <c r="U818" i="2" s="1"/>
  <c r="O818" i="2"/>
  <c r="N818" i="2"/>
  <c r="U817" i="2"/>
  <c r="T817" i="2"/>
  <c r="S817" i="2"/>
  <c r="R817" i="2"/>
  <c r="Q817" i="2"/>
  <c r="P817" i="2"/>
  <c r="O817" i="2"/>
  <c r="N817" i="2"/>
  <c r="T816" i="2"/>
  <c r="S816" i="2"/>
  <c r="R816" i="2"/>
  <c r="Q816" i="2"/>
  <c r="O816" i="2"/>
  <c r="P816" i="2" s="1"/>
  <c r="U816" i="2" s="1"/>
  <c r="N816" i="2"/>
  <c r="T815" i="2"/>
  <c r="S815" i="2"/>
  <c r="R815" i="2"/>
  <c r="Q815" i="2"/>
  <c r="P815" i="2"/>
  <c r="U815" i="2" s="1"/>
  <c r="O815" i="2"/>
  <c r="N815" i="2"/>
  <c r="U814" i="2"/>
  <c r="T814" i="2"/>
  <c r="S814" i="2"/>
  <c r="R814" i="2"/>
  <c r="Q814" i="2"/>
  <c r="P814" i="2"/>
  <c r="O814" i="2"/>
  <c r="N814" i="2"/>
  <c r="T813" i="2"/>
  <c r="S813" i="2"/>
  <c r="R813" i="2"/>
  <c r="Q813" i="2"/>
  <c r="O813" i="2"/>
  <c r="P813" i="2" s="1"/>
  <c r="U813" i="2" s="1"/>
  <c r="N813" i="2"/>
  <c r="T812" i="2"/>
  <c r="S812" i="2"/>
  <c r="R812" i="2"/>
  <c r="Q812" i="2"/>
  <c r="P812" i="2"/>
  <c r="U812" i="2" s="1"/>
  <c r="O812" i="2"/>
  <c r="N812" i="2"/>
  <c r="U811" i="2"/>
  <c r="T811" i="2"/>
  <c r="S811" i="2"/>
  <c r="R811" i="2"/>
  <c r="Q811" i="2"/>
  <c r="P811" i="2"/>
  <c r="O811" i="2"/>
  <c r="N811" i="2"/>
  <c r="T810" i="2"/>
  <c r="S810" i="2"/>
  <c r="R810" i="2"/>
  <c r="Q810" i="2"/>
  <c r="O810" i="2"/>
  <c r="P810" i="2" s="1"/>
  <c r="U810" i="2" s="1"/>
  <c r="N810" i="2"/>
  <c r="T809" i="2"/>
  <c r="S809" i="2"/>
  <c r="R809" i="2"/>
  <c r="Q809" i="2"/>
  <c r="P809" i="2"/>
  <c r="U809" i="2" s="1"/>
  <c r="O809" i="2"/>
  <c r="N809" i="2"/>
  <c r="U808" i="2"/>
  <c r="T808" i="2"/>
  <c r="S808" i="2"/>
  <c r="R808" i="2"/>
  <c r="Q808" i="2"/>
  <c r="P808" i="2"/>
  <c r="O808" i="2"/>
  <c r="N808" i="2"/>
  <c r="T807" i="2"/>
  <c r="S807" i="2"/>
  <c r="R807" i="2"/>
  <c r="Q807" i="2"/>
  <c r="O807" i="2"/>
  <c r="P807" i="2" s="1"/>
  <c r="U807" i="2" s="1"/>
  <c r="N807" i="2"/>
  <c r="T806" i="2"/>
  <c r="S806" i="2"/>
  <c r="R806" i="2"/>
  <c r="Q806" i="2"/>
  <c r="P806" i="2"/>
  <c r="U806" i="2" s="1"/>
  <c r="O806" i="2"/>
  <c r="N806" i="2"/>
  <c r="U805" i="2"/>
  <c r="T805" i="2"/>
  <c r="S805" i="2"/>
  <c r="R805" i="2"/>
  <c r="Q805" i="2"/>
  <c r="P805" i="2"/>
  <c r="O805" i="2"/>
  <c r="N805" i="2"/>
  <c r="T804" i="2"/>
  <c r="S804" i="2"/>
  <c r="R804" i="2"/>
  <c r="Q804" i="2"/>
  <c r="O804" i="2"/>
  <c r="P804" i="2" s="1"/>
  <c r="U804" i="2" s="1"/>
  <c r="N804" i="2"/>
  <c r="T803" i="2"/>
  <c r="S803" i="2"/>
  <c r="R803" i="2"/>
  <c r="Q803" i="2"/>
  <c r="P803" i="2"/>
  <c r="U803" i="2" s="1"/>
  <c r="O803" i="2"/>
  <c r="N803" i="2"/>
  <c r="U802" i="2"/>
  <c r="T802" i="2"/>
  <c r="S802" i="2"/>
  <c r="R802" i="2"/>
  <c r="Q802" i="2"/>
  <c r="P802" i="2"/>
  <c r="O802" i="2"/>
  <c r="N802" i="2"/>
  <c r="T801" i="2"/>
  <c r="S801" i="2"/>
  <c r="R801" i="2"/>
  <c r="Q801" i="2"/>
  <c r="O801" i="2"/>
  <c r="P801" i="2" s="1"/>
  <c r="U801" i="2" s="1"/>
  <c r="N801" i="2"/>
  <c r="T800" i="2"/>
  <c r="S800" i="2"/>
  <c r="R800" i="2"/>
  <c r="Q800" i="2"/>
  <c r="P800" i="2"/>
  <c r="U800" i="2" s="1"/>
  <c r="O800" i="2"/>
  <c r="N800" i="2"/>
  <c r="U799" i="2"/>
  <c r="T799" i="2"/>
  <c r="S799" i="2"/>
  <c r="R799" i="2"/>
  <c r="Q799" i="2"/>
  <c r="P799" i="2"/>
  <c r="O799" i="2"/>
  <c r="N799" i="2"/>
  <c r="T798" i="2"/>
  <c r="S798" i="2"/>
  <c r="R798" i="2"/>
  <c r="Q798" i="2"/>
  <c r="O798" i="2"/>
  <c r="P798" i="2" s="1"/>
  <c r="U798" i="2" s="1"/>
  <c r="N798" i="2"/>
  <c r="T797" i="2"/>
  <c r="S797" i="2"/>
  <c r="R797" i="2"/>
  <c r="Q797" i="2"/>
  <c r="P797" i="2"/>
  <c r="U797" i="2" s="1"/>
  <c r="O797" i="2"/>
  <c r="N797" i="2"/>
  <c r="U796" i="2"/>
  <c r="T796" i="2"/>
  <c r="S796" i="2"/>
  <c r="R796" i="2"/>
  <c r="Q796" i="2"/>
  <c r="P796" i="2"/>
  <c r="O796" i="2"/>
  <c r="N796" i="2"/>
  <c r="T795" i="2"/>
  <c r="S795" i="2"/>
  <c r="R795" i="2"/>
  <c r="Q795" i="2"/>
  <c r="O795" i="2"/>
  <c r="P795" i="2" s="1"/>
  <c r="U795" i="2" s="1"/>
  <c r="N795" i="2"/>
  <c r="T794" i="2"/>
  <c r="S794" i="2"/>
  <c r="R794" i="2"/>
  <c r="Q794" i="2"/>
  <c r="P794" i="2"/>
  <c r="U794" i="2" s="1"/>
  <c r="O794" i="2"/>
  <c r="N794" i="2"/>
  <c r="U793" i="2"/>
  <c r="T793" i="2"/>
  <c r="S793" i="2"/>
  <c r="R793" i="2"/>
  <c r="Q793" i="2"/>
  <c r="P793" i="2"/>
  <c r="O793" i="2"/>
  <c r="N793" i="2"/>
  <c r="T792" i="2"/>
  <c r="S792" i="2"/>
  <c r="R792" i="2"/>
  <c r="Q792" i="2"/>
  <c r="P792" i="2"/>
  <c r="U792" i="2" s="1"/>
  <c r="O792" i="2"/>
  <c r="N792" i="2"/>
  <c r="T791" i="2"/>
  <c r="S791" i="2"/>
  <c r="R791" i="2"/>
  <c r="Q791" i="2"/>
  <c r="P791" i="2"/>
  <c r="U791" i="2" s="1"/>
  <c r="O791" i="2"/>
  <c r="N791" i="2"/>
  <c r="U790" i="2"/>
  <c r="T790" i="2"/>
  <c r="S790" i="2"/>
  <c r="R790" i="2"/>
  <c r="Q790" i="2"/>
  <c r="P790" i="2"/>
  <c r="O790" i="2"/>
  <c r="N790" i="2"/>
  <c r="T789" i="2"/>
  <c r="S789" i="2"/>
  <c r="R789" i="2"/>
  <c r="Q789" i="2"/>
  <c r="P789" i="2"/>
  <c r="U789" i="2" s="1"/>
  <c r="O789" i="2"/>
  <c r="N789" i="2"/>
  <c r="T788" i="2"/>
  <c r="S788" i="2"/>
  <c r="R788" i="2"/>
  <c r="Q788" i="2"/>
  <c r="P788" i="2"/>
  <c r="U788" i="2" s="1"/>
  <c r="O788" i="2"/>
  <c r="N788" i="2"/>
  <c r="U787" i="2"/>
  <c r="T787" i="2"/>
  <c r="S787" i="2"/>
  <c r="R787" i="2"/>
  <c r="Q787" i="2"/>
  <c r="P787" i="2"/>
  <c r="O787" i="2"/>
  <c r="N787" i="2"/>
  <c r="T786" i="2"/>
  <c r="S786" i="2"/>
  <c r="R786" i="2"/>
  <c r="Q786" i="2"/>
  <c r="P786" i="2"/>
  <c r="U786" i="2" s="1"/>
  <c r="O786" i="2"/>
  <c r="N786" i="2"/>
  <c r="T785" i="2"/>
  <c r="S785" i="2"/>
  <c r="R785" i="2"/>
  <c r="Q785" i="2"/>
  <c r="P785" i="2"/>
  <c r="U785" i="2" s="1"/>
  <c r="O785" i="2"/>
  <c r="N785" i="2"/>
  <c r="U784" i="2"/>
  <c r="T784" i="2"/>
  <c r="S784" i="2"/>
  <c r="R784" i="2"/>
  <c r="Q784" i="2"/>
  <c r="P784" i="2"/>
  <c r="O784" i="2"/>
  <c r="N784" i="2"/>
  <c r="T783" i="2"/>
  <c r="S783" i="2"/>
  <c r="R783" i="2"/>
  <c r="Q783" i="2"/>
  <c r="P783" i="2"/>
  <c r="U783" i="2" s="1"/>
  <c r="O783" i="2"/>
  <c r="N783" i="2"/>
  <c r="T782" i="2"/>
  <c r="S782" i="2"/>
  <c r="R782" i="2"/>
  <c r="Q782" i="2"/>
  <c r="P782" i="2"/>
  <c r="U782" i="2" s="1"/>
  <c r="O782" i="2"/>
  <c r="N782" i="2"/>
  <c r="U781" i="2"/>
  <c r="T781" i="2"/>
  <c r="S781" i="2"/>
  <c r="R781" i="2"/>
  <c r="Q781" i="2"/>
  <c r="P781" i="2"/>
  <c r="O781" i="2"/>
  <c r="N781" i="2"/>
  <c r="T780" i="2"/>
  <c r="S780" i="2"/>
  <c r="R780" i="2"/>
  <c r="Q780" i="2"/>
  <c r="P780" i="2"/>
  <c r="U780" i="2" s="1"/>
  <c r="O780" i="2"/>
  <c r="N780" i="2"/>
  <c r="T779" i="2"/>
  <c r="S779" i="2"/>
  <c r="R779" i="2"/>
  <c r="Q779" i="2"/>
  <c r="P779" i="2"/>
  <c r="U779" i="2" s="1"/>
  <c r="O779" i="2"/>
  <c r="N779" i="2"/>
  <c r="U778" i="2"/>
  <c r="T778" i="2"/>
  <c r="S778" i="2"/>
  <c r="R778" i="2"/>
  <c r="Q778" i="2"/>
  <c r="P778" i="2"/>
  <c r="O778" i="2"/>
  <c r="N778" i="2"/>
  <c r="T777" i="2"/>
  <c r="S777" i="2"/>
  <c r="R777" i="2"/>
  <c r="Q777" i="2"/>
  <c r="P777" i="2"/>
  <c r="U777" i="2" s="1"/>
  <c r="O777" i="2"/>
  <c r="N777" i="2"/>
  <c r="T776" i="2"/>
  <c r="S776" i="2"/>
  <c r="R776" i="2"/>
  <c r="Q776" i="2"/>
  <c r="P776" i="2"/>
  <c r="U776" i="2" s="1"/>
  <c r="O776" i="2"/>
  <c r="N776" i="2"/>
  <c r="U775" i="2"/>
  <c r="T775" i="2"/>
  <c r="S775" i="2"/>
  <c r="R775" i="2"/>
  <c r="Q775" i="2"/>
  <c r="P775" i="2"/>
  <c r="O775" i="2"/>
  <c r="N775" i="2"/>
  <c r="T774" i="2"/>
  <c r="S774" i="2"/>
  <c r="R774" i="2"/>
  <c r="Q774" i="2"/>
  <c r="P774" i="2"/>
  <c r="U774" i="2" s="1"/>
  <c r="O774" i="2"/>
  <c r="N774" i="2"/>
  <c r="T773" i="2"/>
  <c r="S773" i="2"/>
  <c r="R773" i="2"/>
  <c r="Q773" i="2"/>
  <c r="P773" i="2"/>
  <c r="U773" i="2" s="1"/>
  <c r="O773" i="2"/>
  <c r="N773" i="2"/>
  <c r="U772" i="2"/>
  <c r="T772" i="2"/>
  <c r="S772" i="2"/>
  <c r="R772" i="2"/>
  <c r="Q772" i="2"/>
  <c r="P772" i="2"/>
  <c r="O772" i="2"/>
  <c r="N772" i="2"/>
  <c r="T771" i="2"/>
  <c r="S771" i="2"/>
  <c r="R771" i="2"/>
  <c r="Q771" i="2"/>
  <c r="P771" i="2"/>
  <c r="U771" i="2" s="1"/>
  <c r="O771" i="2"/>
  <c r="N771" i="2"/>
  <c r="T770" i="2"/>
  <c r="S770" i="2"/>
  <c r="R770" i="2"/>
  <c r="Q770" i="2"/>
  <c r="P770" i="2"/>
  <c r="U770" i="2" s="1"/>
  <c r="O770" i="2"/>
  <c r="N770" i="2"/>
  <c r="U769" i="2"/>
  <c r="T769" i="2"/>
  <c r="S769" i="2"/>
  <c r="R769" i="2"/>
  <c r="Q769" i="2"/>
  <c r="P769" i="2"/>
  <c r="O769" i="2"/>
  <c r="N769" i="2"/>
  <c r="T768" i="2"/>
  <c r="S768" i="2"/>
  <c r="R768" i="2"/>
  <c r="Q768" i="2"/>
  <c r="P768" i="2"/>
  <c r="U768" i="2" s="1"/>
  <c r="O768" i="2"/>
  <c r="N768" i="2"/>
  <c r="T767" i="2"/>
  <c r="S767" i="2"/>
  <c r="R767" i="2"/>
  <c r="Q767" i="2"/>
  <c r="P767" i="2"/>
  <c r="U767" i="2" s="1"/>
  <c r="O767" i="2"/>
  <c r="N767" i="2"/>
  <c r="U766" i="2"/>
  <c r="T766" i="2"/>
  <c r="S766" i="2"/>
  <c r="R766" i="2"/>
  <c r="Q766" i="2"/>
  <c r="P766" i="2"/>
  <c r="O766" i="2"/>
  <c r="N766" i="2"/>
  <c r="T765" i="2"/>
  <c r="S765" i="2"/>
  <c r="R765" i="2"/>
  <c r="Q765" i="2"/>
  <c r="P765" i="2"/>
  <c r="U765" i="2" s="1"/>
  <c r="O765" i="2"/>
  <c r="N765" i="2"/>
  <c r="T764" i="2"/>
  <c r="S764" i="2"/>
  <c r="R764" i="2"/>
  <c r="Q764" i="2"/>
  <c r="P764" i="2"/>
  <c r="U764" i="2" s="1"/>
  <c r="O764" i="2"/>
  <c r="N764" i="2"/>
  <c r="U763" i="2"/>
  <c r="T763" i="2"/>
  <c r="S763" i="2"/>
  <c r="R763" i="2"/>
  <c r="Q763" i="2"/>
  <c r="P763" i="2"/>
  <c r="O763" i="2"/>
  <c r="N763" i="2"/>
  <c r="T762" i="2"/>
  <c r="S762" i="2"/>
  <c r="R762" i="2"/>
  <c r="Q762" i="2"/>
  <c r="P762" i="2"/>
  <c r="U762" i="2" s="1"/>
  <c r="O762" i="2"/>
  <c r="N762" i="2"/>
  <c r="T761" i="2"/>
  <c r="S761" i="2"/>
  <c r="R761" i="2"/>
  <c r="Q761" i="2"/>
  <c r="P761" i="2"/>
  <c r="U761" i="2" s="1"/>
  <c r="O761" i="2"/>
  <c r="N761" i="2"/>
  <c r="U760" i="2"/>
  <c r="T760" i="2"/>
  <c r="S760" i="2"/>
  <c r="R760" i="2"/>
  <c r="Q760" i="2"/>
  <c r="P760" i="2"/>
  <c r="O760" i="2"/>
  <c r="N760" i="2"/>
  <c r="T759" i="2"/>
  <c r="S759" i="2"/>
  <c r="R759" i="2"/>
  <c r="Q759" i="2"/>
  <c r="P759" i="2"/>
  <c r="U759" i="2" s="1"/>
  <c r="O759" i="2"/>
  <c r="N759" i="2"/>
  <c r="T758" i="2"/>
  <c r="S758" i="2"/>
  <c r="R758" i="2"/>
  <c r="Q758" i="2"/>
  <c r="P758" i="2"/>
  <c r="U758" i="2" s="1"/>
  <c r="O758" i="2"/>
  <c r="N758" i="2"/>
  <c r="U757" i="2"/>
  <c r="T757" i="2"/>
  <c r="S757" i="2"/>
  <c r="R757" i="2"/>
  <c r="Q757" i="2"/>
  <c r="P757" i="2"/>
  <c r="O757" i="2"/>
  <c r="N757" i="2"/>
  <c r="T756" i="2"/>
  <c r="S756" i="2"/>
  <c r="R756" i="2"/>
  <c r="Q756" i="2"/>
  <c r="P756" i="2"/>
  <c r="U756" i="2" s="1"/>
  <c r="O756" i="2"/>
  <c r="N756" i="2"/>
  <c r="T755" i="2"/>
  <c r="S755" i="2"/>
  <c r="R755" i="2"/>
  <c r="Q755" i="2"/>
  <c r="P755" i="2"/>
  <c r="U755" i="2" s="1"/>
  <c r="O755" i="2"/>
  <c r="N755" i="2"/>
  <c r="T754" i="2"/>
  <c r="S754" i="2"/>
  <c r="R754" i="2"/>
  <c r="Q754" i="2"/>
  <c r="P754" i="2"/>
  <c r="U754" i="2" s="1"/>
  <c r="O754" i="2"/>
  <c r="N754" i="2"/>
  <c r="T753" i="2"/>
  <c r="S753" i="2"/>
  <c r="R753" i="2"/>
  <c r="Q753" i="2"/>
  <c r="P753" i="2"/>
  <c r="U753" i="2" s="1"/>
  <c r="O753" i="2"/>
  <c r="N753" i="2"/>
  <c r="T752" i="2"/>
  <c r="S752" i="2"/>
  <c r="R752" i="2"/>
  <c r="Q752" i="2"/>
  <c r="P752" i="2"/>
  <c r="U752" i="2" s="1"/>
  <c r="O752" i="2"/>
  <c r="N752" i="2"/>
  <c r="T751" i="2"/>
  <c r="S751" i="2"/>
  <c r="R751" i="2"/>
  <c r="Q751" i="2"/>
  <c r="P751" i="2"/>
  <c r="U751" i="2" s="1"/>
  <c r="O751" i="2"/>
  <c r="N751" i="2"/>
  <c r="T750" i="2"/>
  <c r="S750" i="2"/>
  <c r="R750" i="2"/>
  <c r="Q750" i="2"/>
  <c r="P750" i="2"/>
  <c r="U750" i="2" s="1"/>
  <c r="O750" i="2"/>
  <c r="N750" i="2"/>
  <c r="T749" i="2"/>
  <c r="S749" i="2"/>
  <c r="R749" i="2"/>
  <c r="Q749" i="2"/>
  <c r="P749" i="2"/>
  <c r="U749" i="2" s="1"/>
  <c r="O749" i="2"/>
  <c r="N749" i="2"/>
  <c r="U748" i="2"/>
  <c r="T748" i="2"/>
  <c r="S748" i="2"/>
  <c r="R748" i="2"/>
  <c r="Q748" i="2"/>
  <c r="P748" i="2"/>
  <c r="O748" i="2"/>
  <c r="N748" i="2"/>
  <c r="T747" i="2"/>
  <c r="S747" i="2"/>
  <c r="R747" i="2"/>
  <c r="Q747" i="2"/>
  <c r="P747" i="2"/>
  <c r="U747" i="2" s="1"/>
  <c r="O747" i="2"/>
  <c r="N747" i="2"/>
  <c r="T746" i="2"/>
  <c r="S746" i="2"/>
  <c r="R746" i="2"/>
  <c r="Q746" i="2"/>
  <c r="P746" i="2"/>
  <c r="U746" i="2" s="1"/>
  <c r="O746" i="2"/>
  <c r="N746" i="2"/>
  <c r="U745" i="2"/>
  <c r="T745" i="2"/>
  <c r="S745" i="2"/>
  <c r="R745" i="2"/>
  <c r="Q745" i="2"/>
  <c r="P745" i="2"/>
  <c r="O745" i="2"/>
  <c r="N745" i="2"/>
  <c r="T744" i="2"/>
  <c r="S744" i="2"/>
  <c r="R744" i="2"/>
  <c r="Q744" i="2"/>
  <c r="P744" i="2"/>
  <c r="U744" i="2" s="1"/>
  <c r="O744" i="2"/>
  <c r="N744" i="2"/>
  <c r="T743" i="2"/>
  <c r="S743" i="2"/>
  <c r="R743" i="2"/>
  <c r="Q743" i="2"/>
  <c r="P743" i="2"/>
  <c r="U743" i="2" s="1"/>
  <c r="O743" i="2"/>
  <c r="N743" i="2"/>
  <c r="U742" i="2"/>
  <c r="T742" i="2"/>
  <c r="S742" i="2"/>
  <c r="R742" i="2"/>
  <c r="Q742" i="2"/>
  <c r="P742" i="2"/>
  <c r="O742" i="2"/>
  <c r="N742" i="2"/>
  <c r="T741" i="2"/>
  <c r="S741" i="2"/>
  <c r="R741" i="2"/>
  <c r="Q741" i="2"/>
  <c r="P741" i="2"/>
  <c r="U741" i="2" s="1"/>
  <c r="O741" i="2"/>
  <c r="N741" i="2"/>
  <c r="T740" i="2"/>
  <c r="S740" i="2"/>
  <c r="R740" i="2"/>
  <c r="Q740" i="2"/>
  <c r="P740" i="2"/>
  <c r="U740" i="2" s="1"/>
  <c r="O740" i="2"/>
  <c r="N740" i="2"/>
  <c r="U739" i="2"/>
  <c r="T739" i="2"/>
  <c r="S739" i="2"/>
  <c r="R739" i="2"/>
  <c r="Q739" i="2"/>
  <c r="P739" i="2"/>
  <c r="O739" i="2"/>
  <c r="N739" i="2"/>
  <c r="T738" i="2"/>
  <c r="S738" i="2"/>
  <c r="R738" i="2"/>
  <c r="Q738" i="2"/>
  <c r="P738" i="2"/>
  <c r="U738" i="2" s="1"/>
  <c r="O738" i="2"/>
  <c r="N738" i="2"/>
  <c r="T737" i="2"/>
  <c r="S737" i="2"/>
  <c r="R737" i="2"/>
  <c r="Q737" i="2"/>
  <c r="P737" i="2"/>
  <c r="U737" i="2" s="1"/>
  <c r="O737" i="2"/>
  <c r="N737" i="2"/>
  <c r="T736" i="2"/>
  <c r="S736" i="2"/>
  <c r="R736" i="2"/>
  <c r="Q736" i="2"/>
  <c r="P736" i="2"/>
  <c r="U736" i="2" s="1"/>
  <c r="O736" i="2"/>
  <c r="N736" i="2"/>
  <c r="T735" i="2"/>
  <c r="S735" i="2"/>
  <c r="R735" i="2"/>
  <c r="Q735" i="2"/>
  <c r="P735" i="2"/>
  <c r="U735" i="2" s="1"/>
  <c r="O735" i="2"/>
  <c r="N735" i="2"/>
  <c r="T734" i="2"/>
  <c r="S734" i="2"/>
  <c r="R734" i="2"/>
  <c r="Q734" i="2"/>
  <c r="P734" i="2"/>
  <c r="U734" i="2" s="1"/>
  <c r="O734" i="2"/>
  <c r="N734" i="2"/>
  <c r="T733" i="2"/>
  <c r="S733" i="2"/>
  <c r="R733" i="2"/>
  <c r="Q733" i="2"/>
  <c r="P733" i="2"/>
  <c r="U733" i="2" s="1"/>
  <c r="O733" i="2"/>
  <c r="N733" i="2"/>
  <c r="T732" i="2"/>
  <c r="S732" i="2"/>
  <c r="R732" i="2"/>
  <c r="Q732" i="2"/>
  <c r="P732" i="2"/>
  <c r="U732" i="2" s="1"/>
  <c r="O732" i="2"/>
  <c r="N732" i="2"/>
  <c r="T731" i="2"/>
  <c r="S731" i="2"/>
  <c r="R731" i="2"/>
  <c r="Q731" i="2"/>
  <c r="P731" i="2"/>
  <c r="U731" i="2" s="1"/>
  <c r="O731" i="2"/>
  <c r="N731" i="2"/>
  <c r="U730" i="2"/>
  <c r="T730" i="2"/>
  <c r="S730" i="2"/>
  <c r="R730" i="2"/>
  <c r="Q730" i="2"/>
  <c r="P730" i="2"/>
  <c r="O730" i="2"/>
  <c r="N730" i="2"/>
  <c r="T729" i="2"/>
  <c r="S729" i="2"/>
  <c r="R729" i="2"/>
  <c r="Q729" i="2"/>
  <c r="P729" i="2"/>
  <c r="U729" i="2" s="1"/>
  <c r="O729" i="2"/>
  <c r="N729" i="2"/>
  <c r="T728" i="2"/>
  <c r="S728" i="2"/>
  <c r="R728" i="2"/>
  <c r="Q728" i="2"/>
  <c r="P728" i="2"/>
  <c r="U728" i="2" s="1"/>
  <c r="O728" i="2"/>
  <c r="N728" i="2"/>
  <c r="U727" i="2"/>
  <c r="T727" i="2"/>
  <c r="S727" i="2"/>
  <c r="R727" i="2"/>
  <c r="Q727" i="2"/>
  <c r="P727" i="2"/>
  <c r="O727" i="2"/>
  <c r="N727" i="2"/>
  <c r="T726" i="2"/>
  <c r="S726" i="2"/>
  <c r="R726" i="2"/>
  <c r="Q726" i="2"/>
  <c r="P726" i="2"/>
  <c r="U726" i="2" s="1"/>
  <c r="O726" i="2"/>
  <c r="N726" i="2"/>
  <c r="T725" i="2"/>
  <c r="S725" i="2"/>
  <c r="R725" i="2"/>
  <c r="Q725" i="2"/>
  <c r="P725" i="2"/>
  <c r="U725" i="2" s="1"/>
  <c r="O725" i="2"/>
  <c r="N725" i="2"/>
  <c r="U724" i="2"/>
  <c r="T724" i="2"/>
  <c r="S724" i="2"/>
  <c r="R724" i="2"/>
  <c r="Q724" i="2"/>
  <c r="P724" i="2"/>
  <c r="O724" i="2"/>
  <c r="N724" i="2"/>
  <c r="T723" i="2"/>
  <c r="S723" i="2"/>
  <c r="R723" i="2"/>
  <c r="Q723" i="2"/>
  <c r="P723" i="2"/>
  <c r="U723" i="2" s="1"/>
  <c r="O723" i="2"/>
  <c r="N723" i="2"/>
  <c r="T722" i="2"/>
  <c r="S722" i="2"/>
  <c r="R722" i="2"/>
  <c r="Q722" i="2"/>
  <c r="P722" i="2"/>
  <c r="U722" i="2" s="1"/>
  <c r="O722" i="2"/>
  <c r="N722" i="2"/>
  <c r="U721" i="2"/>
  <c r="T721" i="2"/>
  <c r="S721" i="2"/>
  <c r="R721" i="2"/>
  <c r="Q721" i="2"/>
  <c r="P721" i="2"/>
  <c r="O721" i="2"/>
  <c r="N721" i="2"/>
  <c r="T720" i="2"/>
  <c r="S720" i="2"/>
  <c r="R720" i="2"/>
  <c r="Q720" i="2"/>
  <c r="P720" i="2"/>
  <c r="U720" i="2" s="1"/>
  <c r="O720" i="2"/>
  <c r="N720" i="2"/>
  <c r="T719" i="2"/>
  <c r="S719" i="2"/>
  <c r="R719" i="2"/>
  <c r="Q719" i="2"/>
  <c r="P719" i="2"/>
  <c r="U719" i="2" s="1"/>
  <c r="O719" i="2"/>
  <c r="N719" i="2"/>
  <c r="T718" i="2"/>
  <c r="S718" i="2"/>
  <c r="R718" i="2"/>
  <c r="Q718" i="2"/>
  <c r="P718" i="2"/>
  <c r="U718" i="2" s="1"/>
  <c r="O718" i="2"/>
  <c r="N718" i="2"/>
  <c r="T717" i="2"/>
  <c r="S717" i="2"/>
  <c r="R717" i="2"/>
  <c r="Q717" i="2"/>
  <c r="P717" i="2"/>
  <c r="U717" i="2" s="1"/>
  <c r="O717" i="2"/>
  <c r="N717" i="2"/>
  <c r="T716" i="2"/>
  <c r="S716" i="2"/>
  <c r="R716" i="2"/>
  <c r="Q716" i="2"/>
  <c r="P716" i="2"/>
  <c r="U716" i="2" s="1"/>
  <c r="O716" i="2"/>
  <c r="N716" i="2"/>
  <c r="T715" i="2"/>
  <c r="S715" i="2"/>
  <c r="R715" i="2"/>
  <c r="Q715" i="2"/>
  <c r="P715" i="2"/>
  <c r="U715" i="2" s="1"/>
  <c r="O715" i="2"/>
  <c r="N715" i="2"/>
  <c r="T714" i="2"/>
  <c r="S714" i="2"/>
  <c r="R714" i="2"/>
  <c r="Q714" i="2"/>
  <c r="P714" i="2"/>
  <c r="U714" i="2" s="1"/>
  <c r="O714" i="2"/>
  <c r="N714" i="2"/>
  <c r="T713" i="2"/>
  <c r="S713" i="2"/>
  <c r="R713" i="2"/>
  <c r="Q713" i="2"/>
  <c r="P713" i="2"/>
  <c r="U713" i="2" s="1"/>
  <c r="O713" i="2"/>
  <c r="N713" i="2"/>
  <c r="U712" i="2"/>
  <c r="T712" i="2"/>
  <c r="S712" i="2"/>
  <c r="R712" i="2"/>
  <c r="Q712" i="2"/>
  <c r="P712" i="2"/>
  <c r="O712" i="2"/>
  <c r="N712" i="2"/>
  <c r="T711" i="2"/>
  <c r="S711" i="2"/>
  <c r="R711" i="2"/>
  <c r="Q711" i="2"/>
  <c r="P711" i="2"/>
  <c r="U711" i="2" s="1"/>
  <c r="O711" i="2"/>
  <c r="N711" i="2"/>
  <c r="T710" i="2"/>
  <c r="S710" i="2"/>
  <c r="R710" i="2"/>
  <c r="Q710" i="2"/>
  <c r="P710" i="2"/>
  <c r="U710" i="2" s="1"/>
  <c r="O710" i="2"/>
  <c r="N710" i="2"/>
  <c r="T709" i="2"/>
  <c r="S709" i="2"/>
  <c r="R709" i="2"/>
  <c r="Q709" i="2"/>
  <c r="P709" i="2"/>
  <c r="U709" i="2" s="1"/>
  <c r="O709" i="2"/>
  <c r="N709" i="2"/>
  <c r="T708" i="2"/>
  <c r="S708" i="2"/>
  <c r="R708" i="2"/>
  <c r="Q708" i="2"/>
  <c r="P708" i="2"/>
  <c r="U708" i="2" s="1"/>
  <c r="O708" i="2"/>
  <c r="N708" i="2"/>
  <c r="T707" i="2"/>
  <c r="S707" i="2"/>
  <c r="R707" i="2"/>
  <c r="Q707" i="2"/>
  <c r="P707" i="2"/>
  <c r="U707" i="2" s="1"/>
  <c r="O707" i="2"/>
  <c r="N707" i="2"/>
  <c r="U706" i="2"/>
  <c r="T706" i="2"/>
  <c r="S706" i="2"/>
  <c r="R706" i="2"/>
  <c r="Q706" i="2"/>
  <c r="P706" i="2"/>
  <c r="O706" i="2"/>
  <c r="N706" i="2"/>
  <c r="T705" i="2"/>
  <c r="S705" i="2"/>
  <c r="R705" i="2"/>
  <c r="Q705" i="2"/>
  <c r="P705" i="2"/>
  <c r="U705" i="2" s="1"/>
  <c r="O705" i="2"/>
  <c r="N705" i="2"/>
  <c r="T704" i="2"/>
  <c r="S704" i="2"/>
  <c r="R704" i="2"/>
  <c r="Q704" i="2"/>
  <c r="P704" i="2"/>
  <c r="U704" i="2" s="1"/>
  <c r="O704" i="2"/>
  <c r="N704" i="2"/>
  <c r="U703" i="2"/>
  <c r="T703" i="2"/>
  <c r="S703" i="2"/>
  <c r="R703" i="2"/>
  <c r="Q703" i="2"/>
  <c r="P703" i="2"/>
  <c r="O703" i="2"/>
  <c r="N703" i="2"/>
  <c r="T702" i="2"/>
  <c r="S702" i="2"/>
  <c r="R702" i="2"/>
  <c r="Q702" i="2"/>
  <c r="P702" i="2"/>
  <c r="U702" i="2" s="1"/>
  <c r="O702" i="2"/>
  <c r="N702" i="2"/>
  <c r="T701" i="2"/>
  <c r="S701" i="2"/>
  <c r="R701" i="2"/>
  <c r="Q701" i="2"/>
  <c r="P701" i="2"/>
  <c r="U701" i="2" s="1"/>
  <c r="O701" i="2"/>
  <c r="N701" i="2"/>
  <c r="T700" i="2"/>
  <c r="S700" i="2"/>
  <c r="R700" i="2"/>
  <c r="Q700" i="2"/>
  <c r="P700" i="2"/>
  <c r="U700" i="2" s="1"/>
  <c r="O700" i="2"/>
  <c r="N700" i="2"/>
  <c r="T699" i="2"/>
  <c r="S699" i="2"/>
  <c r="R699" i="2"/>
  <c r="Q699" i="2"/>
  <c r="P699" i="2"/>
  <c r="U699" i="2" s="1"/>
  <c r="O699" i="2"/>
  <c r="N699" i="2"/>
  <c r="T698" i="2"/>
  <c r="S698" i="2"/>
  <c r="R698" i="2"/>
  <c r="Q698" i="2"/>
  <c r="P698" i="2"/>
  <c r="U698" i="2" s="1"/>
  <c r="O698" i="2"/>
  <c r="N698" i="2"/>
  <c r="T697" i="2"/>
  <c r="S697" i="2"/>
  <c r="R697" i="2"/>
  <c r="Q697" i="2"/>
  <c r="P697" i="2"/>
  <c r="U697" i="2" s="1"/>
  <c r="O697" i="2"/>
  <c r="N697" i="2"/>
  <c r="T696" i="2"/>
  <c r="S696" i="2"/>
  <c r="R696" i="2"/>
  <c r="Q696" i="2"/>
  <c r="P696" i="2"/>
  <c r="U696" i="2" s="1"/>
  <c r="O696" i="2"/>
  <c r="N696" i="2"/>
  <c r="T695" i="2"/>
  <c r="S695" i="2"/>
  <c r="R695" i="2"/>
  <c r="Q695" i="2"/>
  <c r="P695" i="2"/>
  <c r="U695" i="2" s="1"/>
  <c r="O695" i="2"/>
  <c r="N695" i="2"/>
  <c r="U694" i="2"/>
  <c r="T694" i="2"/>
  <c r="S694" i="2"/>
  <c r="R694" i="2"/>
  <c r="Q694" i="2"/>
  <c r="P694" i="2"/>
  <c r="O694" i="2"/>
  <c r="N694" i="2"/>
  <c r="S693" i="2"/>
  <c r="R693" i="2"/>
  <c r="Q693" i="2"/>
  <c r="P693" i="2"/>
  <c r="U693" i="2" s="1"/>
  <c r="O693" i="2"/>
  <c r="T693" i="2" s="1"/>
  <c r="N693" i="2"/>
  <c r="T692" i="2"/>
  <c r="S692" i="2"/>
  <c r="R692" i="2"/>
  <c r="Q692" i="2"/>
  <c r="P692" i="2"/>
  <c r="U692" i="2" s="1"/>
  <c r="O692" i="2"/>
  <c r="N692" i="2"/>
  <c r="T691" i="2"/>
  <c r="S691" i="2"/>
  <c r="R691" i="2"/>
  <c r="Q691" i="2"/>
  <c r="P691" i="2"/>
  <c r="U691" i="2" s="1"/>
  <c r="O691" i="2"/>
  <c r="N691" i="2"/>
  <c r="T690" i="2"/>
  <c r="S690" i="2"/>
  <c r="R690" i="2"/>
  <c r="Q690" i="2"/>
  <c r="P690" i="2"/>
  <c r="U690" i="2" s="1"/>
  <c r="O690" i="2"/>
  <c r="N690" i="2"/>
  <c r="T689" i="2"/>
  <c r="S689" i="2"/>
  <c r="R689" i="2"/>
  <c r="Q689" i="2"/>
  <c r="P689" i="2"/>
  <c r="U689" i="2" s="1"/>
  <c r="O689" i="2"/>
  <c r="N689" i="2"/>
  <c r="T688" i="2"/>
  <c r="S688" i="2"/>
  <c r="R688" i="2"/>
  <c r="Q688" i="2"/>
  <c r="P688" i="2"/>
  <c r="U688" i="2" s="1"/>
  <c r="O688" i="2"/>
  <c r="N688" i="2"/>
  <c r="S687" i="2"/>
  <c r="R687" i="2"/>
  <c r="Q687" i="2"/>
  <c r="O687" i="2"/>
  <c r="T687" i="2" s="1"/>
  <c r="N687" i="2"/>
  <c r="T686" i="2"/>
  <c r="S686" i="2"/>
  <c r="R686" i="2"/>
  <c r="Q686" i="2"/>
  <c r="P686" i="2"/>
  <c r="U686" i="2" s="1"/>
  <c r="O686" i="2"/>
  <c r="N686" i="2"/>
  <c r="U685" i="2"/>
  <c r="T685" i="2"/>
  <c r="S685" i="2"/>
  <c r="R685" i="2"/>
  <c r="Q685" i="2"/>
  <c r="P685" i="2"/>
  <c r="O685" i="2"/>
  <c r="N685" i="2"/>
  <c r="S684" i="2"/>
  <c r="R684" i="2"/>
  <c r="Q684" i="2"/>
  <c r="O684" i="2"/>
  <c r="T684" i="2" s="1"/>
  <c r="N684" i="2"/>
  <c r="T683" i="2"/>
  <c r="S683" i="2"/>
  <c r="R683" i="2"/>
  <c r="Q683" i="2"/>
  <c r="P683" i="2"/>
  <c r="U683" i="2" s="1"/>
  <c r="O683" i="2"/>
  <c r="N683" i="2"/>
  <c r="T682" i="2"/>
  <c r="S682" i="2"/>
  <c r="R682" i="2"/>
  <c r="Q682" i="2"/>
  <c r="P682" i="2"/>
  <c r="U682" i="2" s="1"/>
  <c r="O682" i="2"/>
  <c r="N682" i="2"/>
  <c r="T681" i="2"/>
  <c r="S681" i="2"/>
  <c r="R681" i="2"/>
  <c r="Q681" i="2"/>
  <c r="O681" i="2"/>
  <c r="P681" i="2" s="1"/>
  <c r="U681" i="2" s="1"/>
  <c r="N681" i="2"/>
  <c r="T680" i="2"/>
  <c r="S680" i="2"/>
  <c r="R680" i="2"/>
  <c r="Q680" i="2"/>
  <c r="P680" i="2"/>
  <c r="U680" i="2" s="1"/>
  <c r="O680" i="2"/>
  <c r="N680" i="2"/>
  <c r="T679" i="2"/>
  <c r="S679" i="2"/>
  <c r="R679" i="2"/>
  <c r="Q679" i="2"/>
  <c r="P679" i="2"/>
  <c r="U679" i="2" s="1"/>
  <c r="O679" i="2"/>
  <c r="N679" i="2"/>
  <c r="S678" i="2"/>
  <c r="R678" i="2"/>
  <c r="Q678" i="2"/>
  <c r="O678" i="2"/>
  <c r="P678" i="2" s="1"/>
  <c r="U678" i="2" s="1"/>
  <c r="N678" i="2"/>
  <c r="T677" i="2"/>
  <c r="S677" i="2"/>
  <c r="R677" i="2"/>
  <c r="Q677" i="2"/>
  <c r="P677" i="2"/>
  <c r="U677" i="2" s="1"/>
  <c r="O677" i="2"/>
  <c r="N677" i="2"/>
  <c r="U676" i="2"/>
  <c r="T676" i="2"/>
  <c r="S676" i="2"/>
  <c r="R676" i="2"/>
  <c r="Q676" i="2"/>
  <c r="P676" i="2"/>
  <c r="O676" i="2"/>
  <c r="N676" i="2"/>
  <c r="S675" i="2"/>
  <c r="R675" i="2"/>
  <c r="Q675" i="2"/>
  <c r="P675" i="2"/>
  <c r="U675" i="2" s="1"/>
  <c r="O675" i="2"/>
  <c r="T675" i="2" s="1"/>
  <c r="N675" i="2"/>
  <c r="T674" i="2"/>
  <c r="S674" i="2"/>
  <c r="R674" i="2"/>
  <c r="Q674" i="2"/>
  <c r="P674" i="2"/>
  <c r="U674" i="2" s="1"/>
  <c r="O674" i="2"/>
  <c r="N674" i="2"/>
  <c r="T673" i="2"/>
  <c r="S673" i="2"/>
  <c r="R673" i="2"/>
  <c r="Q673" i="2"/>
  <c r="P673" i="2"/>
  <c r="U673" i="2" s="1"/>
  <c r="O673" i="2"/>
  <c r="N673" i="2"/>
  <c r="T672" i="2"/>
  <c r="S672" i="2"/>
  <c r="R672" i="2"/>
  <c r="Q672" i="2"/>
  <c r="P672" i="2"/>
  <c r="U672" i="2" s="1"/>
  <c r="O672" i="2"/>
  <c r="N672" i="2"/>
  <c r="T671" i="2"/>
  <c r="S671" i="2"/>
  <c r="R671" i="2"/>
  <c r="Q671" i="2"/>
  <c r="P671" i="2"/>
  <c r="U671" i="2" s="1"/>
  <c r="O671" i="2"/>
  <c r="N671" i="2"/>
  <c r="T670" i="2"/>
  <c r="S670" i="2"/>
  <c r="R670" i="2"/>
  <c r="Q670" i="2"/>
  <c r="P670" i="2"/>
  <c r="U670" i="2" s="1"/>
  <c r="O670" i="2"/>
  <c r="N670" i="2"/>
  <c r="S669" i="2"/>
  <c r="R669" i="2"/>
  <c r="Q669" i="2"/>
  <c r="O669" i="2"/>
  <c r="T669" i="2" s="1"/>
  <c r="N669" i="2"/>
  <c r="T668" i="2"/>
  <c r="S668" i="2"/>
  <c r="R668" i="2"/>
  <c r="Q668" i="2"/>
  <c r="P668" i="2"/>
  <c r="U668" i="2" s="1"/>
  <c r="O668" i="2"/>
  <c r="N668" i="2"/>
  <c r="U667" i="2"/>
  <c r="T667" i="2"/>
  <c r="S667" i="2"/>
  <c r="R667" i="2"/>
  <c r="Q667" i="2"/>
  <c r="P667" i="2"/>
  <c r="O667" i="2"/>
  <c r="N667" i="2"/>
  <c r="S666" i="2"/>
  <c r="R666" i="2"/>
  <c r="Q666" i="2"/>
  <c r="O666" i="2"/>
  <c r="T666" i="2" s="1"/>
  <c r="N666" i="2"/>
  <c r="T665" i="2"/>
  <c r="S665" i="2"/>
  <c r="R665" i="2"/>
  <c r="Q665" i="2"/>
  <c r="P665" i="2"/>
  <c r="U665" i="2" s="1"/>
  <c r="O665" i="2"/>
  <c r="N665" i="2"/>
  <c r="T664" i="2"/>
  <c r="S664" i="2"/>
  <c r="R664" i="2"/>
  <c r="Q664" i="2"/>
  <c r="P664" i="2"/>
  <c r="U664" i="2" s="1"/>
  <c r="O664" i="2"/>
  <c r="N664" i="2"/>
  <c r="T663" i="2"/>
  <c r="S663" i="2"/>
  <c r="R663" i="2"/>
  <c r="Q663" i="2"/>
  <c r="O663" i="2"/>
  <c r="P663" i="2" s="1"/>
  <c r="U663" i="2" s="1"/>
  <c r="N663" i="2"/>
  <c r="T662" i="2"/>
  <c r="S662" i="2"/>
  <c r="R662" i="2"/>
  <c r="Q662" i="2"/>
  <c r="P662" i="2"/>
  <c r="U662" i="2" s="1"/>
  <c r="O662" i="2"/>
  <c r="N662" i="2"/>
  <c r="T661" i="2"/>
  <c r="S661" i="2"/>
  <c r="R661" i="2"/>
  <c r="Q661" i="2"/>
  <c r="P661" i="2"/>
  <c r="U661" i="2" s="1"/>
  <c r="O661" i="2"/>
  <c r="N661" i="2"/>
  <c r="S660" i="2"/>
  <c r="R660" i="2"/>
  <c r="Q660" i="2"/>
  <c r="O660" i="2"/>
  <c r="P660" i="2" s="1"/>
  <c r="U660" i="2" s="1"/>
  <c r="N660" i="2"/>
  <c r="T659" i="2"/>
  <c r="S659" i="2"/>
  <c r="R659" i="2"/>
  <c r="Q659" i="2"/>
  <c r="P659" i="2"/>
  <c r="U659" i="2" s="1"/>
  <c r="O659" i="2"/>
  <c r="N659" i="2"/>
  <c r="U658" i="2"/>
  <c r="T658" i="2"/>
  <c r="S658" i="2"/>
  <c r="R658" i="2"/>
  <c r="Q658" i="2"/>
  <c r="P658" i="2"/>
  <c r="O658" i="2"/>
  <c r="N658" i="2"/>
  <c r="S657" i="2"/>
  <c r="R657" i="2"/>
  <c r="Q657" i="2"/>
  <c r="P657" i="2"/>
  <c r="U657" i="2" s="1"/>
  <c r="O657" i="2"/>
  <c r="T657" i="2" s="1"/>
  <c r="N657" i="2"/>
  <c r="T656" i="2"/>
  <c r="S656" i="2"/>
  <c r="R656" i="2"/>
  <c r="Q656" i="2"/>
  <c r="P656" i="2"/>
  <c r="U656" i="2" s="1"/>
  <c r="O656" i="2"/>
  <c r="N656" i="2"/>
  <c r="T655" i="2"/>
  <c r="S655" i="2"/>
  <c r="R655" i="2"/>
  <c r="Q655" i="2"/>
  <c r="P655" i="2"/>
  <c r="U655" i="2" s="1"/>
  <c r="O655" i="2"/>
  <c r="N655" i="2"/>
  <c r="T654" i="2"/>
  <c r="S654" i="2"/>
  <c r="R654" i="2"/>
  <c r="Q654" i="2"/>
  <c r="O654" i="2"/>
  <c r="P654" i="2" s="1"/>
  <c r="U654" i="2" s="1"/>
  <c r="N654" i="2"/>
  <c r="T653" i="2"/>
  <c r="S653" i="2"/>
  <c r="R653" i="2"/>
  <c r="Q653" i="2"/>
  <c r="P653" i="2"/>
  <c r="U653" i="2" s="1"/>
  <c r="O653" i="2"/>
  <c r="N653" i="2"/>
  <c r="T652" i="2"/>
  <c r="S652" i="2"/>
  <c r="R652" i="2"/>
  <c r="Q652" i="2"/>
  <c r="P652" i="2"/>
  <c r="U652" i="2" s="1"/>
  <c r="O652" i="2"/>
  <c r="N652" i="2"/>
  <c r="S651" i="2"/>
  <c r="R651" i="2"/>
  <c r="Q651" i="2"/>
  <c r="O651" i="2"/>
  <c r="T651" i="2" s="1"/>
  <c r="N651" i="2"/>
  <c r="T650" i="2"/>
  <c r="S650" i="2"/>
  <c r="R650" i="2"/>
  <c r="Q650" i="2"/>
  <c r="O650" i="2"/>
  <c r="P650" i="2" s="1"/>
  <c r="U650" i="2" s="1"/>
  <c r="N650" i="2"/>
  <c r="T649" i="2"/>
  <c r="S649" i="2"/>
  <c r="R649" i="2"/>
  <c r="Q649" i="2"/>
  <c r="P649" i="2"/>
  <c r="U649" i="2" s="1"/>
  <c r="O649" i="2"/>
  <c r="N649" i="2"/>
  <c r="T648" i="2"/>
  <c r="S648" i="2"/>
  <c r="R648" i="2"/>
  <c r="Q648" i="2"/>
  <c r="P648" i="2"/>
  <c r="U648" i="2" s="1"/>
  <c r="O648" i="2"/>
  <c r="N648" i="2"/>
  <c r="T647" i="2"/>
  <c r="S647" i="2"/>
  <c r="R647" i="2"/>
  <c r="Q647" i="2"/>
  <c r="P647" i="2"/>
  <c r="U647" i="2" s="1"/>
  <c r="O647" i="2"/>
  <c r="N647" i="2"/>
  <c r="U646" i="2"/>
  <c r="T646" i="2"/>
  <c r="S646" i="2"/>
  <c r="R646" i="2"/>
  <c r="Q646" i="2"/>
  <c r="P646" i="2"/>
  <c r="O646" i="2"/>
  <c r="N646" i="2"/>
  <c r="T645" i="2"/>
  <c r="S645" i="2"/>
  <c r="R645" i="2"/>
  <c r="Q645" i="2"/>
  <c r="P645" i="2"/>
  <c r="U645" i="2" s="1"/>
  <c r="O645" i="2"/>
  <c r="N645" i="2"/>
  <c r="T644" i="2"/>
  <c r="S644" i="2"/>
  <c r="R644" i="2"/>
  <c r="Q644" i="2"/>
  <c r="P644" i="2"/>
  <c r="U644" i="2" s="1"/>
  <c r="O644" i="2"/>
  <c r="N644" i="2"/>
  <c r="U643" i="2"/>
  <c r="T643" i="2"/>
  <c r="S643" i="2"/>
  <c r="R643" i="2"/>
  <c r="Q643" i="2"/>
  <c r="P643" i="2"/>
  <c r="O643" i="2"/>
  <c r="N643" i="2"/>
  <c r="T642" i="2"/>
  <c r="S642" i="2"/>
  <c r="R642" i="2"/>
  <c r="Q642" i="2"/>
  <c r="P642" i="2"/>
  <c r="U642" i="2" s="1"/>
  <c r="O642" i="2"/>
  <c r="N642" i="2"/>
  <c r="T641" i="2"/>
  <c r="S641" i="2"/>
  <c r="R641" i="2"/>
  <c r="Q641" i="2"/>
  <c r="P641" i="2"/>
  <c r="U641" i="2" s="1"/>
  <c r="O641" i="2"/>
  <c r="N641" i="2"/>
  <c r="U640" i="2"/>
  <c r="T640" i="2"/>
  <c r="S640" i="2"/>
  <c r="R640" i="2"/>
  <c r="Q640" i="2"/>
  <c r="P640" i="2"/>
  <c r="O640" i="2"/>
  <c r="N640" i="2"/>
  <c r="T639" i="2"/>
  <c r="S639" i="2"/>
  <c r="R639" i="2"/>
  <c r="Q639" i="2"/>
  <c r="P639" i="2"/>
  <c r="U639" i="2" s="1"/>
  <c r="O639" i="2"/>
  <c r="N639" i="2"/>
  <c r="T638" i="2"/>
  <c r="S638" i="2"/>
  <c r="R638" i="2"/>
  <c r="Q638" i="2"/>
  <c r="P638" i="2"/>
  <c r="U638" i="2" s="1"/>
  <c r="O638" i="2"/>
  <c r="N638" i="2"/>
  <c r="U637" i="2"/>
  <c r="T637" i="2"/>
  <c r="S637" i="2"/>
  <c r="R637" i="2"/>
  <c r="Q637" i="2"/>
  <c r="P637" i="2"/>
  <c r="O637" i="2"/>
  <c r="N637" i="2"/>
  <c r="T636" i="2"/>
  <c r="S636" i="2"/>
  <c r="R636" i="2"/>
  <c r="Q636" i="2"/>
  <c r="P636" i="2"/>
  <c r="U636" i="2" s="1"/>
  <c r="O636" i="2"/>
  <c r="N636" i="2"/>
  <c r="T635" i="2"/>
  <c r="S635" i="2"/>
  <c r="R635" i="2"/>
  <c r="Q635" i="2"/>
  <c r="P635" i="2"/>
  <c r="U635" i="2" s="1"/>
  <c r="O635" i="2"/>
  <c r="N635" i="2"/>
  <c r="T634" i="2"/>
  <c r="S634" i="2"/>
  <c r="R634" i="2"/>
  <c r="Q634" i="2"/>
  <c r="P634" i="2"/>
  <c r="U634" i="2" s="1"/>
  <c r="O634" i="2"/>
  <c r="N634" i="2"/>
  <c r="T633" i="2"/>
  <c r="S633" i="2"/>
  <c r="R633" i="2"/>
  <c r="Q633" i="2"/>
  <c r="P633" i="2"/>
  <c r="U633" i="2" s="1"/>
  <c r="O633" i="2"/>
  <c r="N633" i="2"/>
  <c r="T632" i="2"/>
  <c r="S632" i="2"/>
  <c r="R632" i="2"/>
  <c r="Q632" i="2"/>
  <c r="P632" i="2"/>
  <c r="U632" i="2" s="1"/>
  <c r="O632" i="2"/>
  <c r="N632" i="2"/>
  <c r="T631" i="2"/>
  <c r="S631" i="2"/>
  <c r="R631" i="2"/>
  <c r="Q631" i="2"/>
  <c r="P631" i="2"/>
  <c r="U631" i="2" s="1"/>
  <c r="O631" i="2"/>
  <c r="N631" i="2"/>
  <c r="T630" i="2"/>
  <c r="S630" i="2"/>
  <c r="R630" i="2"/>
  <c r="Q630" i="2"/>
  <c r="P630" i="2"/>
  <c r="U630" i="2" s="1"/>
  <c r="O630" i="2"/>
  <c r="N630" i="2"/>
  <c r="T629" i="2"/>
  <c r="S629" i="2"/>
  <c r="R629" i="2"/>
  <c r="Q629" i="2"/>
  <c r="P629" i="2"/>
  <c r="U629" i="2" s="1"/>
  <c r="O629" i="2"/>
  <c r="N629" i="2"/>
  <c r="T628" i="2"/>
  <c r="S628" i="2"/>
  <c r="R628" i="2"/>
  <c r="Q628" i="2"/>
  <c r="P628" i="2"/>
  <c r="U628" i="2" s="1"/>
  <c r="O628" i="2"/>
  <c r="N628" i="2"/>
  <c r="T627" i="2"/>
  <c r="S627" i="2"/>
  <c r="R627" i="2"/>
  <c r="Q627" i="2"/>
  <c r="P627" i="2"/>
  <c r="U627" i="2" s="1"/>
  <c r="O627" i="2"/>
  <c r="N627" i="2"/>
  <c r="T626" i="2"/>
  <c r="S626" i="2"/>
  <c r="R626" i="2"/>
  <c r="Q626" i="2"/>
  <c r="P626" i="2"/>
  <c r="U626" i="2" s="1"/>
  <c r="O626" i="2"/>
  <c r="N626" i="2"/>
  <c r="T625" i="2"/>
  <c r="S625" i="2"/>
  <c r="R625" i="2"/>
  <c r="Q625" i="2"/>
  <c r="P625" i="2"/>
  <c r="U625" i="2" s="1"/>
  <c r="O625" i="2"/>
  <c r="N625" i="2"/>
  <c r="T624" i="2"/>
  <c r="S624" i="2"/>
  <c r="R624" i="2"/>
  <c r="Q624" i="2"/>
  <c r="P624" i="2"/>
  <c r="U624" i="2" s="1"/>
  <c r="O624" i="2"/>
  <c r="N624" i="2"/>
  <c r="T623" i="2"/>
  <c r="S623" i="2"/>
  <c r="R623" i="2"/>
  <c r="Q623" i="2"/>
  <c r="P623" i="2"/>
  <c r="U623" i="2" s="1"/>
  <c r="O623" i="2"/>
  <c r="N623" i="2"/>
  <c r="T622" i="2"/>
  <c r="S622" i="2"/>
  <c r="R622" i="2"/>
  <c r="Q622" i="2"/>
  <c r="P622" i="2"/>
  <c r="U622" i="2" s="1"/>
  <c r="O622" i="2"/>
  <c r="N622" i="2"/>
  <c r="T621" i="2"/>
  <c r="S621" i="2"/>
  <c r="R621" i="2"/>
  <c r="Q621" i="2"/>
  <c r="P621" i="2"/>
  <c r="U621" i="2" s="1"/>
  <c r="O621" i="2"/>
  <c r="N621" i="2"/>
  <c r="T620" i="2"/>
  <c r="S620" i="2"/>
  <c r="R620" i="2"/>
  <c r="Q620" i="2"/>
  <c r="P620" i="2"/>
  <c r="U620" i="2" s="1"/>
  <c r="O620" i="2"/>
  <c r="N620" i="2"/>
  <c r="T619" i="2"/>
  <c r="S619" i="2"/>
  <c r="R619" i="2"/>
  <c r="Q619" i="2"/>
  <c r="P619" i="2"/>
  <c r="U619" i="2" s="1"/>
  <c r="O619" i="2"/>
  <c r="N619" i="2"/>
  <c r="T618" i="2"/>
  <c r="S618" i="2"/>
  <c r="R618" i="2"/>
  <c r="Q618" i="2"/>
  <c r="P618" i="2"/>
  <c r="U618" i="2" s="1"/>
  <c r="O618" i="2"/>
  <c r="N618" i="2"/>
  <c r="T617" i="2"/>
  <c r="S617" i="2"/>
  <c r="R617" i="2"/>
  <c r="Q617" i="2"/>
  <c r="P617" i="2"/>
  <c r="U617" i="2" s="1"/>
  <c r="O617" i="2"/>
  <c r="N617" i="2"/>
  <c r="T616" i="2"/>
  <c r="S616" i="2"/>
  <c r="R616" i="2"/>
  <c r="Q616" i="2"/>
  <c r="P616" i="2"/>
  <c r="U616" i="2" s="1"/>
  <c r="O616" i="2"/>
  <c r="N616" i="2"/>
  <c r="T615" i="2"/>
  <c r="S615" i="2"/>
  <c r="R615" i="2"/>
  <c r="Q615" i="2"/>
  <c r="P615" i="2"/>
  <c r="U615" i="2" s="1"/>
  <c r="O615" i="2"/>
  <c r="N615" i="2"/>
  <c r="T614" i="2"/>
  <c r="S614" i="2"/>
  <c r="R614" i="2"/>
  <c r="Q614" i="2"/>
  <c r="P614" i="2"/>
  <c r="U614" i="2" s="1"/>
  <c r="O614" i="2"/>
  <c r="N614" i="2"/>
  <c r="T613" i="2"/>
  <c r="S613" i="2"/>
  <c r="R613" i="2"/>
  <c r="Q613" i="2"/>
  <c r="P613" i="2"/>
  <c r="U613" i="2" s="1"/>
  <c r="O613" i="2"/>
  <c r="N613" i="2"/>
  <c r="T612" i="2"/>
  <c r="S612" i="2"/>
  <c r="R612" i="2"/>
  <c r="Q612" i="2"/>
  <c r="P612" i="2"/>
  <c r="U612" i="2" s="1"/>
  <c r="O612" i="2"/>
  <c r="N612" i="2"/>
  <c r="T611" i="2"/>
  <c r="S611" i="2"/>
  <c r="R611" i="2"/>
  <c r="Q611" i="2"/>
  <c r="P611" i="2"/>
  <c r="U611" i="2" s="1"/>
  <c r="O611" i="2"/>
  <c r="N611" i="2"/>
  <c r="T610" i="2"/>
  <c r="S610" i="2"/>
  <c r="R610" i="2"/>
  <c r="Q610" i="2"/>
  <c r="P610" i="2"/>
  <c r="U610" i="2" s="1"/>
  <c r="O610" i="2"/>
  <c r="N610" i="2"/>
  <c r="T609" i="2"/>
  <c r="S609" i="2"/>
  <c r="R609" i="2"/>
  <c r="Q609" i="2"/>
  <c r="P609" i="2"/>
  <c r="U609" i="2" s="1"/>
  <c r="O609" i="2"/>
  <c r="N609" i="2"/>
  <c r="T608" i="2"/>
  <c r="S608" i="2"/>
  <c r="R608" i="2"/>
  <c r="Q608" i="2"/>
  <c r="P608" i="2"/>
  <c r="U608" i="2" s="1"/>
  <c r="O608" i="2"/>
  <c r="N608" i="2"/>
  <c r="T607" i="2"/>
  <c r="S607" i="2"/>
  <c r="R607" i="2"/>
  <c r="Q607" i="2"/>
  <c r="P607" i="2"/>
  <c r="U607" i="2" s="1"/>
  <c r="O607" i="2"/>
  <c r="N607" i="2"/>
  <c r="T606" i="2"/>
  <c r="S606" i="2"/>
  <c r="R606" i="2"/>
  <c r="Q606" i="2"/>
  <c r="P606" i="2"/>
  <c r="U606" i="2" s="1"/>
  <c r="O606" i="2"/>
  <c r="N606" i="2"/>
  <c r="T605" i="2"/>
  <c r="S605" i="2"/>
  <c r="R605" i="2"/>
  <c r="Q605" i="2"/>
  <c r="P605" i="2"/>
  <c r="U605" i="2" s="1"/>
  <c r="O605" i="2"/>
  <c r="N605" i="2"/>
  <c r="T604" i="2"/>
  <c r="S604" i="2"/>
  <c r="R604" i="2"/>
  <c r="Q604" i="2"/>
  <c r="P604" i="2"/>
  <c r="U604" i="2" s="1"/>
  <c r="O604" i="2"/>
  <c r="N604" i="2"/>
  <c r="T603" i="2"/>
  <c r="S603" i="2"/>
  <c r="R603" i="2"/>
  <c r="Q603" i="2"/>
  <c r="P603" i="2"/>
  <c r="U603" i="2" s="1"/>
  <c r="O603" i="2"/>
  <c r="N603" i="2"/>
  <c r="T602" i="2"/>
  <c r="S602" i="2"/>
  <c r="R602" i="2"/>
  <c r="Q602" i="2"/>
  <c r="P602" i="2"/>
  <c r="U602" i="2" s="1"/>
  <c r="O602" i="2"/>
  <c r="N602" i="2"/>
  <c r="T601" i="2"/>
  <c r="S601" i="2"/>
  <c r="R601" i="2"/>
  <c r="Q601" i="2"/>
  <c r="P601" i="2"/>
  <c r="U601" i="2" s="1"/>
  <c r="O601" i="2"/>
  <c r="N601" i="2"/>
  <c r="T600" i="2"/>
  <c r="S600" i="2"/>
  <c r="R600" i="2"/>
  <c r="Q600" i="2"/>
  <c r="P600" i="2"/>
  <c r="U600" i="2" s="1"/>
  <c r="O600" i="2"/>
  <c r="N600" i="2"/>
  <c r="T599" i="2"/>
  <c r="S599" i="2"/>
  <c r="R599" i="2"/>
  <c r="Q599" i="2"/>
  <c r="P599" i="2"/>
  <c r="U599" i="2" s="1"/>
  <c r="O599" i="2"/>
  <c r="N599" i="2"/>
  <c r="T598" i="2"/>
  <c r="S598" i="2"/>
  <c r="R598" i="2"/>
  <c r="Q598" i="2"/>
  <c r="P598" i="2"/>
  <c r="U598" i="2" s="1"/>
  <c r="O598" i="2"/>
  <c r="N598" i="2"/>
  <c r="T597" i="2"/>
  <c r="S597" i="2"/>
  <c r="R597" i="2"/>
  <c r="Q597" i="2"/>
  <c r="P597" i="2"/>
  <c r="U597" i="2" s="1"/>
  <c r="O597" i="2"/>
  <c r="N597" i="2"/>
  <c r="T596" i="2"/>
  <c r="S596" i="2"/>
  <c r="R596" i="2"/>
  <c r="Q596" i="2"/>
  <c r="P596" i="2"/>
  <c r="U596" i="2" s="1"/>
  <c r="O596" i="2"/>
  <c r="N596" i="2"/>
  <c r="T595" i="2"/>
  <c r="S595" i="2"/>
  <c r="R595" i="2"/>
  <c r="Q595" i="2"/>
  <c r="P595" i="2"/>
  <c r="U595" i="2" s="1"/>
  <c r="O595" i="2"/>
  <c r="N595" i="2"/>
  <c r="T594" i="2"/>
  <c r="S594" i="2"/>
  <c r="R594" i="2"/>
  <c r="Q594" i="2"/>
  <c r="P594" i="2"/>
  <c r="U594" i="2" s="1"/>
  <c r="O594" i="2"/>
  <c r="N594" i="2"/>
  <c r="T593" i="2"/>
  <c r="S593" i="2"/>
  <c r="R593" i="2"/>
  <c r="Q593" i="2"/>
  <c r="P593" i="2"/>
  <c r="U593" i="2" s="1"/>
  <c r="O593" i="2"/>
  <c r="N593" i="2"/>
  <c r="T592" i="2"/>
  <c r="S592" i="2"/>
  <c r="R592" i="2"/>
  <c r="Q592" i="2"/>
  <c r="P592" i="2"/>
  <c r="U592" i="2" s="1"/>
  <c r="O592" i="2"/>
  <c r="N592" i="2"/>
  <c r="T591" i="2"/>
  <c r="S591" i="2"/>
  <c r="R591" i="2"/>
  <c r="Q591" i="2"/>
  <c r="P591" i="2"/>
  <c r="U591" i="2" s="1"/>
  <c r="O591" i="2"/>
  <c r="N591" i="2"/>
  <c r="T590" i="2"/>
  <c r="S590" i="2"/>
  <c r="R590" i="2"/>
  <c r="Q590" i="2"/>
  <c r="P590" i="2"/>
  <c r="U590" i="2" s="1"/>
  <c r="O590" i="2"/>
  <c r="N590" i="2"/>
  <c r="T589" i="2"/>
  <c r="S589" i="2"/>
  <c r="R589" i="2"/>
  <c r="Q589" i="2"/>
  <c r="P589" i="2"/>
  <c r="U589" i="2" s="1"/>
  <c r="O589" i="2"/>
  <c r="N589" i="2"/>
  <c r="T588" i="2"/>
  <c r="S588" i="2"/>
  <c r="R588" i="2"/>
  <c r="Q588" i="2"/>
  <c r="P588" i="2"/>
  <c r="U588" i="2" s="1"/>
  <c r="O588" i="2"/>
  <c r="N588" i="2"/>
  <c r="T587" i="2"/>
  <c r="S587" i="2"/>
  <c r="R587" i="2"/>
  <c r="Q587" i="2"/>
  <c r="P587" i="2"/>
  <c r="U587" i="2" s="1"/>
  <c r="O587" i="2"/>
  <c r="N587" i="2"/>
  <c r="T586" i="2"/>
  <c r="S586" i="2"/>
  <c r="R586" i="2"/>
  <c r="Q586" i="2"/>
  <c r="P586" i="2"/>
  <c r="U586" i="2" s="1"/>
  <c r="O586" i="2"/>
  <c r="N586" i="2"/>
  <c r="T585" i="2"/>
  <c r="S585" i="2"/>
  <c r="R585" i="2"/>
  <c r="Q585" i="2"/>
  <c r="P585" i="2"/>
  <c r="U585" i="2" s="1"/>
  <c r="O585" i="2"/>
  <c r="N585" i="2"/>
  <c r="T584" i="2"/>
  <c r="S584" i="2"/>
  <c r="R584" i="2"/>
  <c r="Q584" i="2"/>
  <c r="P584" i="2"/>
  <c r="U584" i="2" s="1"/>
  <c r="O584" i="2"/>
  <c r="N584" i="2"/>
  <c r="S583" i="2"/>
  <c r="R583" i="2"/>
  <c r="Q583" i="2"/>
  <c r="O583" i="2"/>
  <c r="N583" i="2"/>
  <c r="T582" i="2"/>
  <c r="S582" i="2"/>
  <c r="R582" i="2"/>
  <c r="Q582" i="2"/>
  <c r="P582" i="2"/>
  <c r="U582" i="2" s="1"/>
  <c r="O582" i="2"/>
  <c r="N582" i="2"/>
  <c r="T581" i="2"/>
  <c r="S581" i="2"/>
  <c r="R581" i="2"/>
  <c r="Q581" i="2"/>
  <c r="P581" i="2"/>
  <c r="U581" i="2" s="1"/>
  <c r="O581" i="2"/>
  <c r="N581" i="2"/>
  <c r="S580" i="2"/>
  <c r="R580" i="2"/>
  <c r="Q580" i="2"/>
  <c r="O580" i="2"/>
  <c r="N580" i="2"/>
  <c r="T579" i="2"/>
  <c r="S579" i="2"/>
  <c r="R579" i="2"/>
  <c r="Q579" i="2"/>
  <c r="P579" i="2"/>
  <c r="U579" i="2" s="1"/>
  <c r="O579" i="2"/>
  <c r="N579" i="2"/>
  <c r="T578" i="2"/>
  <c r="S578" i="2"/>
  <c r="R578" i="2"/>
  <c r="Q578" i="2"/>
  <c r="P578" i="2"/>
  <c r="U578" i="2" s="1"/>
  <c r="O578" i="2"/>
  <c r="N578" i="2"/>
  <c r="S577" i="2"/>
  <c r="R577" i="2"/>
  <c r="Q577" i="2"/>
  <c r="O577" i="2"/>
  <c r="N577" i="2"/>
  <c r="T576" i="2"/>
  <c r="S576" i="2"/>
  <c r="R576" i="2"/>
  <c r="Q576" i="2"/>
  <c r="P576" i="2"/>
  <c r="U576" i="2" s="1"/>
  <c r="O576" i="2"/>
  <c r="N576" i="2"/>
  <c r="T575" i="2"/>
  <c r="S575" i="2"/>
  <c r="R575" i="2"/>
  <c r="Q575" i="2"/>
  <c r="P575" i="2"/>
  <c r="U575" i="2" s="1"/>
  <c r="O575" i="2"/>
  <c r="N575" i="2"/>
  <c r="S574" i="2"/>
  <c r="R574" i="2"/>
  <c r="Q574" i="2"/>
  <c r="O574" i="2"/>
  <c r="N574" i="2"/>
  <c r="T573" i="2"/>
  <c r="S573" i="2"/>
  <c r="R573" i="2"/>
  <c r="Q573" i="2"/>
  <c r="P573" i="2"/>
  <c r="U573" i="2" s="1"/>
  <c r="O573" i="2"/>
  <c r="N573" i="2"/>
  <c r="T572" i="2"/>
  <c r="S572" i="2"/>
  <c r="R572" i="2"/>
  <c r="Q572" i="2"/>
  <c r="P572" i="2"/>
  <c r="U572" i="2" s="1"/>
  <c r="O572" i="2"/>
  <c r="N572" i="2"/>
  <c r="S571" i="2"/>
  <c r="R571" i="2"/>
  <c r="Q571" i="2"/>
  <c r="O571" i="2"/>
  <c r="N571" i="2"/>
  <c r="T570" i="2"/>
  <c r="S570" i="2"/>
  <c r="R570" i="2"/>
  <c r="Q570" i="2"/>
  <c r="P570" i="2"/>
  <c r="U570" i="2" s="1"/>
  <c r="O570" i="2"/>
  <c r="N570" i="2"/>
  <c r="T569" i="2"/>
  <c r="S569" i="2"/>
  <c r="R569" i="2"/>
  <c r="Q569" i="2"/>
  <c r="P569" i="2"/>
  <c r="U569" i="2" s="1"/>
  <c r="O569" i="2"/>
  <c r="N569" i="2"/>
  <c r="S568" i="2"/>
  <c r="R568" i="2"/>
  <c r="Q568" i="2"/>
  <c r="O568" i="2"/>
  <c r="N568" i="2"/>
  <c r="T567" i="2"/>
  <c r="S567" i="2"/>
  <c r="R567" i="2"/>
  <c r="Q567" i="2"/>
  <c r="P567" i="2"/>
  <c r="U567" i="2" s="1"/>
  <c r="O567" i="2"/>
  <c r="N567" i="2"/>
  <c r="T566" i="2"/>
  <c r="S566" i="2"/>
  <c r="R566" i="2"/>
  <c r="Q566" i="2"/>
  <c r="P566" i="2"/>
  <c r="U566" i="2" s="1"/>
  <c r="O566" i="2"/>
  <c r="N566" i="2"/>
  <c r="S565" i="2"/>
  <c r="R565" i="2"/>
  <c r="Q565" i="2"/>
  <c r="O565" i="2"/>
  <c r="N565" i="2"/>
  <c r="T564" i="2"/>
  <c r="S564" i="2"/>
  <c r="R564" i="2"/>
  <c r="Q564" i="2"/>
  <c r="P564" i="2"/>
  <c r="U564" i="2" s="1"/>
  <c r="O564" i="2"/>
  <c r="N564" i="2"/>
  <c r="T563" i="2"/>
  <c r="S563" i="2"/>
  <c r="R563" i="2"/>
  <c r="Q563" i="2"/>
  <c r="P563" i="2"/>
  <c r="U563" i="2" s="1"/>
  <c r="O563" i="2"/>
  <c r="N563" i="2"/>
  <c r="S562" i="2"/>
  <c r="R562" i="2"/>
  <c r="Q562" i="2"/>
  <c r="O562" i="2"/>
  <c r="N562" i="2"/>
  <c r="T561" i="2"/>
  <c r="S561" i="2"/>
  <c r="R561" i="2"/>
  <c r="Q561" i="2"/>
  <c r="P561" i="2"/>
  <c r="U561" i="2" s="1"/>
  <c r="O561" i="2"/>
  <c r="N561" i="2"/>
  <c r="T560" i="2"/>
  <c r="S560" i="2"/>
  <c r="R560" i="2"/>
  <c r="Q560" i="2"/>
  <c r="P560" i="2"/>
  <c r="U560" i="2" s="1"/>
  <c r="O560" i="2"/>
  <c r="N560" i="2"/>
  <c r="S559" i="2"/>
  <c r="R559" i="2"/>
  <c r="Q559" i="2"/>
  <c r="O559" i="2"/>
  <c r="N559" i="2"/>
  <c r="T558" i="2"/>
  <c r="S558" i="2"/>
  <c r="R558" i="2"/>
  <c r="Q558" i="2"/>
  <c r="P558" i="2"/>
  <c r="U558" i="2" s="1"/>
  <c r="O558" i="2"/>
  <c r="N558" i="2"/>
  <c r="T557" i="2"/>
  <c r="S557" i="2"/>
  <c r="R557" i="2"/>
  <c r="Q557" i="2"/>
  <c r="P557" i="2"/>
  <c r="U557" i="2" s="1"/>
  <c r="O557" i="2"/>
  <c r="N557" i="2"/>
  <c r="S556" i="2"/>
  <c r="R556" i="2"/>
  <c r="Q556" i="2"/>
  <c r="O556" i="2"/>
  <c r="N556" i="2"/>
  <c r="T555" i="2"/>
  <c r="S555" i="2"/>
  <c r="R555" i="2"/>
  <c r="Q555" i="2"/>
  <c r="P555" i="2"/>
  <c r="U555" i="2" s="1"/>
  <c r="O555" i="2"/>
  <c r="N555" i="2"/>
  <c r="T554" i="2"/>
  <c r="S554" i="2"/>
  <c r="R554" i="2"/>
  <c r="Q554" i="2"/>
  <c r="P554" i="2"/>
  <c r="U554" i="2" s="1"/>
  <c r="O554" i="2"/>
  <c r="N554" i="2"/>
  <c r="S553" i="2"/>
  <c r="R553" i="2"/>
  <c r="Q553" i="2"/>
  <c r="O553" i="2"/>
  <c r="N553" i="2"/>
  <c r="T552" i="2"/>
  <c r="S552" i="2"/>
  <c r="R552" i="2"/>
  <c r="Q552" i="2"/>
  <c r="P552" i="2"/>
  <c r="U552" i="2" s="1"/>
  <c r="O552" i="2"/>
  <c r="N552" i="2"/>
  <c r="T551" i="2"/>
  <c r="S551" i="2"/>
  <c r="R551" i="2"/>
  <c r="Q551" i="2"/>
  <c r="P551" i="2"/>
  <c r="U551" i="2" s="1"/>
  <c r="O551" i="2"/>
  <c r="N551" i="2"/>
  <c r="T550" i="2"/>
  <c r="S550" i="2"/>
  <c r="R550" i="2"/>
  <c r="Q550" i="2"/>
  <c r="O550" i="2"/>
  <c r="P550" i="2" s="1"/>
  <c r="U550" i="2" s="1"/>
  <c r="N550" i="2"/>
  <c r="T549" i="2"/>
  <c r="S549" i="2"/>
  <c r="R549" i="2"/>
  <c r="Q549" i="2"/>
  <c r="P549" i="2"/>
  <c r="U549" i="2" s="1"/>
  <c r="O549" i="2"/>
  <c r="N549" i="2"/>
  <c r="T548" i="2"/>
  <c r="S548" i="2"/>
  <c r="R548" i="2"/>
  <c r="Q548" i="2"/>
  <c r="P548" i="2"/>
  <c r="U548" i="2" s="1"/>
  <c r="O548" i="2"/>
  <c r="N548" i="2"/>
  <c r="T547" i="2"/>
  <c r="S547" i="2"/>
  <c r="R547" i="2"/>
  <c r="Q547" i="2"/>
  <c r="O547" i="2"/>
  <c r="P547" i="2" s="1"/>
  <c r="U547" i="2" s="1"/>
  <c r="N547" i="2"/>
  <c r="T546" i="2"/>
  <c r="S546" i="2"/>
  <c r="R546" i="2"/>
  <c r="Q546" i="2"/>
  <c r="P546" i="2"/>
  <c r="U546" i="2" s="1"/>
  <c r="O546" i="2"/>
  <c r="N546" i="2"/>
  <c r="T545" i="2"/>
  <c r="S545" i="2"/>
  <c r="R545" i="2"/>
  <c r="Q545" i="2"/>
  <c r="P545" i="2"/>
  <c r="U545" i="2" s="1"/>
  <c r="O545" i="2"/>
  <c r="N545" i="2"/>
  <c r="S544" i="2"/>
  <c r="R544" i="2"/>
  <c r="Q544" i="2"/>
  <c r="O544" i="2"/>
  <c r="N544" i="2"/>
  <c r="T543" i="2"/>
  <c r="S543" i="2"/>
  <c r="R543" i="2"/>
  <c r="Q543" i="2"/>
  <c r="P543" i="2"/>
  <c r="U543" i="2" s="1"/>
  <c r="O543" i="2"/>
  <c r="N543" i="2"/>
  <c r="T542" i="2"/>
  <c r="S542" i="2"/>
  <c r="R542" i="2"/>
  <c r="Q542" i="2"/>
  <c r="P542" i="2"/>
  <c r="U542" i="2" s="1"/>
  <c r="O542" i="2"/>
  <c r="N542" i="2"/>
  <c r="T541" i="2"/>
  <c r="S541" i="2"/>
  <c r="R541" i="2"/>
  <c r="Q541" i="2"/>
  <c r="O541" i="2"/>
  <c r="P541" i="2" s="1"/>
  <c r="U541" i="2" s="1"/>
  <c r="N541" i="2"/>
  <c r="T540" i="2"/>
  <c r="S540" i="2"/>
  <c r="R540" i="2"/>
  <c r="Q540" i="2"/>
  <c r="P540" i="2"/>
  <c r="U540" i="2" s="1"/>
  <c r="O540" i="2"/>
  <c r="N540" i="2"/>
  <c r="T539" i="2"/>
  <c r="S539" i="2"/>
  <c r="R539" i="2"/>
  <c r="Q539" i="2"/>
  <c r="P539" i="2"/>
  <c r="U539" i="2" s="1"/>
  <c r="O539" i="2"/>
  <c r="N539" i="2"/>
  <c r="T538" i="2"/>
  <c r="S538" i="2"/>
  <c r="R538" i="2"/>
  <c r="Q538" i="2"/>
  <c r="O538" i="2"/>
  <c r="P538" i="2" s="1"/>
  <c r="U538" i="2" s="1"/>
  <c r="N538" i="2"/>
  <c r="T537" i="2"/>
  <c r="S537" i="2"/>
  <c r="R537" i="2"/>
  <c r="Q537" i="2"/>
  <c r="P537" i="2"/>
  <c r="U537" i="2" s="1"/>
  <c r="O537" i="2"/>
  <c r="N537" i="2"/>
  <c r="T536" i="2"/>
  <c r="S536" i="2"/>
  <c r="R536" i="2"/>
  <c r="Q536" i="2"/>
  <c r="P536" i="2"/>
  <c r="U536" i="2" s="1"/>
  <c r="O536" i="2"/>
  <c r="N536" i="2"/>
  <c r="S535" i="2"/>
  <c r="R535" i="2"/>
  <c r="Q535" i="2"/>
  <c r="O535" i="2"/>
  <c r="N535" i="2"/>
  <c r="T534" i="2"/>
  <c r="S534" i="2"/>
  <c r="R534" i="2"/>
  <c r="Q534" i="2"/>
  <c r="P534" i="2"/>
  <c r="U534" i="2" s="1"/>
  <c r="O534" i="2"/>
  <c r="N534" i="2"/>
  <c r="T533" i="2"/>
  <c r="S533" i="2"/>
  <c r="R533" i="2"/>
  <c r="Q533" i="2"/>
  <c r="P533" i="2"/>
  <c r="U533" i="2" s="1"/>
  <c r="O533" i="2"/>
  <c r="N533" i="2"/>
  <c r="T532" i="2"/>
  <c r="S532" i="2"/>
  <c r="R532" i="2"/>
  <c r="Q532" i="2"/>
  <c r="O532" i="2"/>
  <c r="P532" i="2" s="1"/>
  <c r="U532" i="2" s="1"/>
  <c r="N532" i="2"/>
  <c r="T531" i="2"/>
  <c r="S531" i="2"/>
  <c r="R531" i="2"/>
  <c r="Q531" i="2"/>
  <c r="P531" i="2"/>
  <c r="U531" i="2" s="1"/>
  <c r="O531" i="2"/>
  <c r="N531" i="2"/>
  <c r="T530" i="2"/>
  <c r="S530" i="2"/>
  <c r="R530" i="2"/>
  <c r="Q530" i="2"/>
  <c r="P530" i="2"/>
  <c r="U530" i="2" s="1"/>
  <c r="O530" i="2"/>
  <c r="N530" i="2"/>
  <c r="T529" i="2"/>
  <c r="S529" i="2"/>
  <c r="R529" i="2"/>
  <c r="Q529" i="2"/>
  <c r="O529" i="2"/>
  <c r="P529" i="2" s="1"/>
  <c r="U529" i="2" s="1"/>
  <c r="N529" i="2"/>
  <c r="T528" i="2"/>
  <c r="S528" i="2"/>
  <c r="R528" i="2"/>
  <c r="Q528" i="2"/>
  <c r="P528" i="2"/>
  <c r="U528" i="2" s="1"/>
  <c r="O528" i="2"/>
  <c r="N528" i="2"/>
  <c r="T527" i="2"/>
  <c r="S527" i="2"/>
  <c r="R527" i="2"/>
  <c r="Q527" i="2"/>
  <c r="P527" i="2"/>
  <c r="U527" i="2" s="1"/>
  <c r="O527" i="2"/>
  <c r="N527" i="2"/>
  <c r="S526" i="2"/>
  <c r="R526" i="2"/>
  <c r="Q526" i="2"/>
  <c r="O526" i="2"/>
  <c r="N526" i="2"/>
  <c r="T525" i="2"/>
  <c r="S525" i="2"/>
  <c r="R525" i="2"/>
  <c r="Q525" i="2"/>
  <c r="P525" i="2"/>
  <c r="U525" i="2" s="1"/>
  <c r="O525" i="2"/>
  <c r="N525" i="2"/>
  <c r="T524" i="2"/>
  <c r="S524" i="2"/>
  <c r="R524" i="2"/>
  <c r="Q524" i="2"/>
  <c r="P524" i="2"/>
  <c r="U524" i="2" s="1"/>
  <c r="O524" i="2"/>
  <c r="N524" i="2"/>
  <c r="T523" i="2"/>
  <c r="S523" i="2"/>
  <c r="R523" i="2"/>
  <c r="Q523" i="2"/>
  <c r="O523" i="2"/>
  <c r="P523" i="2" s="1"/>
  <c r="U523" i="2" s="1"/>
  <c r="N523" i="2"/>
  <c r="T522" i="2"/>
  <c r="S522" i="2"/>
  <c r="R522" i="2"/>
  <c r="Q522" i="2"/>
  <c r="P522" i="2"/>
  <c r="U522" i="2" s="1"/>
  <c r="O522" i="2"/>
  <c r="N522" i="2"/>
  <c r="T521" i="2"/>
  <c r="S521" i="2"/>
  <c r="R521" i="2"/>
  <c r="Q521" i="2"/>
  <c r="P521" i="2"/>
  <c r="U521" i="2" s="1"/>
  <c r="O521" i="2"/>
  <c r="N521" i="2"/>
  <c r="T520" i="2"/>
  <c r="S520" i="2"/>
  <c r="R520" i="2"/>
  <c r="Q520" i="2"/>
  <c r="O520" i="2"/>
  <c r="P520" i="2" s="1"/>
  <c r="U520" i="2" s="1"/>
  <c r="N520" i="2"/>
  <c r="T519" i="2"/>
  <c r="S519" i="2"/>
  <c r="R519" i="2"/>
  <c r="Q519" i="2"/>
  <c r="P519" i="2"/>
  <c r="U519" i="2" s="1"/>
  <c r="O519" i="2"/>
  <c r="N519" i="2"/>
  <c r="T518" i="2"/>
  <c r="S518" i="2"/>
  <c r="R518" i="2"/>
  <c r="Q518" i="2"/>
  <c r="P518" i="2"/>
  <c r="U518" i="2" s="1"/>
  <c r="O518" i="2"/>
  <c r="N518" i="2"/>
  <c r="S517" i="2"/>
  <c r="R517" i="2"/>
  <c r="Q517" i="2"/>
  <c r="O517" i="2"/>
  <c r="N517" i="2"/>
  <c r="T516" i="2"/>
  <c r="S516" i="2"/>
  <c r="R516" i="2"/>
  <c r="Q516" i="2"/>
  <c r="P516" i="2"/>
  <c r="U516" i="2" s="1"/>
  <c r="O516" i="2"/>
  <c r="N516" i="2"/>
  <c r="T515" i="2"/>
  <c r="S515" i="2"/>
  <c r="R515" i="2"/>
  <c r="Q515" i="2"/>
  <c r="P515" i="2"/>
  <c r="U515" i="2" s="1"/>
  <c r="O515" i="2"/>
  <c r="N515" i="2"/>
  <c r="T514" i="2"/>
  <c r="S514" i="2"/>
  <c r="R514" i="2"/>
  <c r="Q514" i="2"/>
  <c r="O514" i="2"/>
  <c r="P514" i="2" s="1"/>
  <c r="U514" i="2" s="1"/>
  <c r="N514" i="2"/>
  <c r="T513" i="2"/>
  <c r="S513" i="2"/>
  <c r="R513" i="2"/>
  <c r="Q513" i="2"/>
  <c r="P513" i="2"/>
  <c r="U513" i="2" s="1"/>
  <c r="O513" i="2"/>
  <c r="N513" i="2"/>
  <c r="T512" i="2"/>
  <c r="S512" i="2"/>
  <c r="R512" i="2"/>
  <c r="Q512" i="2"/>
  <c r="P512" i="2"/>
  <c r="U512" i="2" s="1"/>
  <c r="O512" i="2"/>
  <c r="N512" i="2"/>
  <c r="T511" i="2"/>
  <c r="S511" i="2"/>
  <c r="R511" i="2"/>
  <c r="Q511" i="2"/>
  <c r="O511" i="2"/>
  <c r="P511" i="2" s="1"/>
  <c r="U511" i="2" s="1"/>
  <c r="N511" i="2"/>
  <c r="T510" i="2"/>
  <c r="S510" i="2"/>
  <c r="R510" i="2"/>
  <c r="Q510" i="2"/>
  <c r="P510" i="2"/>
  <c r="U510" i="2" s="1"/>
  <c r="O510" i="2"/>
  <c r="N510" i="2"/>
  <c r="T509" i="2"/>
  <c r="S509" i="2"/>
  <c r="R509" i="2"/>
  <c r="Q509" i="2"/>
  <c r="P509" i="2"/>
  <c r="U509" i="2" s="1"/>
  <c r="O509" i="2"/>
  <c r="N509" i="2"/>
  <c r="S508" i="2"/>
  <c r="R508" i="2"/>
  <c r="Q508" i="2"/>
  <c r="O508" i="2"/>
  <c r="N508" i="2"/>
  <c r="T507" i="2"/>
  <c r="S507" i="2"/>
  <c r="R507" i="2"/>
  <c r="Q507" i="2"/>
  <c r="P507" i="2"/>
  <c r="U507" i="2" s="1"/>
  <c r="O507" i="2"/>
  <c r="N507" i="2"/>
  <c r="T506" i="2"/>
  <c r="S506" i="2"/>
  <c r="R506" i="2"/>
  <c r="Q506" i="2"/>
  <c r="P506" i="2"/>
  <c r="U506" i="2" s="1"/>
  <c r="O506" i="2"/>
  <c r="N506" i="2"/>
  <c r="T505" i="2"/>
  <c r="S505" i="2"/>
  <c r="R505" i="2"/>
  <c r="Q505" i="2"/>
  <c r="O505" i="2"/>
  <c r="P505" i="2" s="1"/>
  <c r="U505" i="2" s="1"/>
  <c r="N505" i="2"/>
  <c r="T504" i="2"/>
  <c r="S504" i="2"/>
  <c r="R504" i="2"/>
  <c r="Q504" i="2"/>
  <c r="P504" i="2"/>
  <c r="U504" i="2" s="1"/>
  <c r="O504" i="2"/>
  <c r="N504" i="2"/>
  <c r="T503" i="2"/>
  <c r="S503" i="2"/>
  <c r="R503" i="2"/>
  <c r="Q503" i="2"/>
  <c r="P503" i="2"/>
  <c r="U503" i="2" s="1"/>
  <c r="O503" i="2"/>
  <c r="N503" i="2"/>
  <c r="T502" i="2"/>
  <c r="S502" i="2"/>
  <c r="R502" i="2"/>
  <c r="Q502" i="2"/>
  <c r="O502" i="2"/>
  <c r="P502" i="2" s="1"/>
  <c r="U502" i="2" s="1"/>
  <c r="N502" i="2"/>
  <c r="T501" i="2"/>
  <c r="S501" i="2"/>
  <c r="R501" i="2"/>
  <c r="Q501" i="2"/>
  <c r="P501" i="2"/>
  <c r="U501" i="2" s="1"/>
  <c r="O501" i="2"/>
  <c r="N501" i="2"/>
  <c r="T500" i="2"/>
  <c r="S500" i="2"/>
  <c r="R500" i="2"/>
  <c r="Q500" i="2"/>
  <c r="P500" i="2"/>
  <c r="U500" i="2" s="1"/>
  <c r="O500" i="2"/>
  <c r="N500" i="2"/>
  <c r="S499" i="2"/>
  <c r="R499" i="2"/>
  <c r="Q499" i="2"/>
  <c r="O499" i="2"/>
  <c r="N499" i="2"/>
  <c r="T498" i="2"/>
  <c r="S498" i="2"/>
  <c r="R498" i="2"/>
  <c r="Q498" i="2"/>
  <c r="P498" i="2"/>
  <c r="U498" i="2" s="1"/>
  <c r="O498" i="2"/>
  <c r="N498" i="2"/>
  <c r="T497" i="2"/>
  <c r="S497" i="2"/>
  <c r="R497" i="2"/>
  <c r="Q497" i="2"/>
  <c r="P497" i="2"/>
  <c r="U497" i="2" s="1"/>
  <c r="O497" i="2"/>
  <c r="N497" i="2"/>
  <c r="T496" i="2"/>
  <c r="S496" i="2"/>
  <c r="R496" i="2"/>
  <c r="Q496" i="2"/>
  <c r="O496" i="2"/>
  <c r="P496" i="2" s="1"/>
  <c r="U496" i="2" s="1"/>
  <c r="N496" i="2"/>
  <c r="T495" i="2"/>
  <c r="S495" i="2"/>
  <c r="R495" i="2"/>
  <c r="Q495" i="2"/>
  <c r="P495" i="2"/>
  <c r="U495" i="2" s="1"/>
  <c r="O495" i="2"/>
  <c r="N495" i="2"/>
  <c r="T494" i="2"/>
  <c r="S494" i="2"/>
  <c r="R494" i="2"/>
  <c r="Q494" i="2"/>
  <c r="P494" i="2"/>
  <c r="U494" i="2" s="1"/>
  <c r="O494" i="2"/>
  <c r="N494" i="2"/>
  <c r="T493" i="2"/>
  <c r="S493" i="2"/>
  <c r="R493" i="2"/>
  <c r="Q493" i="2"/>
  <c r="O493" i="2"/>
  <c r="P493" i="2" s="1"/>
  <c r="U493" i="2" s="1"/>
  <c r="N493" i="2"/>
  <c r="T492" i="2"/>
  <c r="S492" i="2"/>
  <c r="R492" i="2"/>
  <c r="Q492" i="2"/>
  <c r="P492" i="2"/>
  <c r="U492" i="2" s="1"/>
  <c r="O492" i="2"/>
  <c r="N492" i="2"/>
  <c r="T491" i="2"/>
  <c r="S491" i="2"/>
  <c r="R491" i="2"/>
  <c r="Q491" i="2"/>
  <c r="P491" i="2"/>
  <c r="U491" i="2" s="1"/>
  <c r="O491" i="2"/>
  <c r="N491" i="2"/>
  <c r="S490" i="2"/>
  <c r="R490" i="2"/>
  <c r="Q490" i="2"/>
  <c r="O490" i="2"/>
  <c r="N490" i="2"/>
  <c r="T489" i="2"/>
  <c r="S489" i="2"/>
  <c r="R489" i="2"/>
  <c r="Q489" i="2"/>
  <c r="P489" i="2"/>
  <c r="U489" i="2" s="1"/>
  <c r="O489" i="2"/>
  <c r="N489" i="2"/>
  <c r="T488" i="2"/>
  <c r="S488" i="2"/>
  <c r="R488" i="2"/>
  <c r="Q488" i="2"/>
  <c r="P488" i="2"/>
  <c r="U488" i="2" s="1"/>
  <c r="O488" i="2"/>
  <c r="N488" i="2"/>
  <c r="T487" i="2"/>
  <c r="S487" i="2"/>
  <c r="R487" i="2"/>
  <c r="Q487" i="2"/>
  <c r="O487" i="2"/>
  <c r="P487" i="2" s="1"/>
  <c r="U487" i="2" s="1"/>
  <c r="N487" i="2"/>
  <c r="T486" i="2"/>
  <c r="S486" i="2"/>
  <c r="R486" i="2"/>
  <c r="Q486" i="2"/>
  <c r="P486" i="2"/>
  <c r="U486" i="2" s="1"/>
  <c r="O486" i="2"/>
  <c r="N486" i="2"/>
  <c r="T485" i="2"/>
  <c r="S485" i="2"/>
  <c r="R485" i="2"/>
  <c r="Q485" i="2"/>
  <c r="P485" i="2"/>
  <c r="U485" i="2" s="1"/>
  <c r="O485" i="2"/>
  <c r="N485" i="2"/>
  <c r="T484" i="2"/>
  <c r="S484" i="2"/>
  <c r="R484" i="2"/>
  <c r="Q484" i="2"/>
  <c r="O484" i="2"/>
  <c r="P484" i="2" s="1"/>
  <c r="U484" i="2" s="1"/>
  <c r="N484" i="2"/>
  <c r="T483" i="2"/>
  <c r="S483" i="2"/>
  <c r="R483" i="2"/>
  <c r="Q483" i="2"/>
  <c r="P483" i="2"/>
  <c r="U483" i="2" s="1"/>
  <c r="O483" i="2"/>
  <c r="N483" i="2"/>
  <c r="T482" i="2"/>
  <c r="S482" i="2"/>
  <c r="R482" i="2"/>
  <c r="Q482" i="2"/>
  <c r="P482" i="2"/>
  <c r="U482" i="2" s="1"/>
  <c r="O482" i="2"/>
  <c r="N482" i="2"/>
  <c r="T481" i="2"/>
  <c r="S481" i="2"/>
  <c r="R481" i="2"/>
  <c r="Q481" i="2"/>
  <c r="P481" i="2"/>
  <c r="U481" i="2" s="1"/>
  <c r="O481" i="2"/>
  <c r="N481" i="2"/>
  <c r="T480" i="2"/>
  <c r="S480" i="2"/>
  <c r="R480" i="2"/>
  <c r="Q480" i="2"/>
  <c r="P480" i="2"/>
  <c r="U480" i="2" s="1"/>
  <c r="O480" i="2"/>
  <c r="N480" i="2"/>
  <c r="T479" i="2"/>
  <c r="S479" i="2"/>
  <c r="R479" i="2"/>
  <c r="Q479" i="2"/>
  <c r="P479" i="2"/>
  <c r="U479" i="2" s="1"/>
  <c r="O479" i="2"/>
  <c r="N479" i="2"/>
  <c r="S478" i="2"/>
  <c r="R478" i="2"/>
  <c r="Q478" i="2"/>
  <c r="O478" i="2"/>
  <c r="T478" i="2" s="1"/>
  <c r="N478" i="2"/>
  <c r="T477" i="2"/>
  <c r="S477" i="2"/>
  <c r="R477" i="2"/>
  <c r="Q477" i="2"/>
  <c r="P477" i="2"/>
  <c r="U477" i="2" s="1"/>
  <c r="O477" i="2"/>
  <c r="N477" i="2"/>
  <c r="T476" i="2"/>
  <c r="S476" i="2"/>
  <c r="R476" i="2"/>
  <c r="Q476" i="2"/>
  <c r="P476" i="2"/>
  <c r="U476" i="2" s="1"/>
  <c r="O476" i="2"/>
  <c r="N476" i="2"/>
  <c r="S475" i="2"/>
  <c r="R475" i="2"/>
  <c r="Q475" i="2"/>
  <c r="O475" i="2"/>
  <c r="N475" i="2"/>
  <c r="T474" i="2"/>
  <c r="S474" i="2"/>
  <c r="R474" i="2"/>
  <c r="Q474" i="2"/>
  <c r="P474" i="2"/>
  <c r="U474" i="2" s="1"/>
  <c r="O474" i="2"/>
  <c r="N474" i="2"/>
  <c r="T473" i="2"/>
  <c r="S473" i="2"/>
  <c r="R473" i="2"/>
  <c r="Q473" i="2"/>
  <c r="P473" i="2"/>
  <c r="U473" i="2" s="1"/>
  <c r="O473" i="2"/>
  <c r="N473" i="2"/>
  <c r="S472" i="2"/>
  <c r="R472" i="2"/>
  <c r="Q472" i="2"/>
  <c r="O472" i="2"/>
  <c r="P472" i="2" s="1"/>
  <c r="U472" i="2" s="1"/>
  <c r="N472" i="2"/>
  <c r="T471" i="2"/>
  <c r="S471" i="2"/>
  <c r="R471" i="2"/>
  <c r="Q471" i="2"/>
  <c r="P471" i="2"/>
  <c r="U471" i="2" s="1"/>
  <c r="O471" i="2"/>
  <c r="N471" i="2"/>
  <c r="T470" i="2"/>
  <c r="S470" i="2"/>
  <c r="R470" i="2"/>
  <c r="Q470" i="2"/>
  <c r="P470" i="2"/>
  <c r="U470" i="2" s="1"/>
  <c r="O470" i="2"/>
  <c r="N470" i="2"/>
  <c r="T469" i="2"/>
  <c r="S469" i="2"/>
  <c r="R469" i="2"/>
  <c r="Q469" i="2"/>
  <c r="P469" i="2"/>
  <c r="U469" i="2" s="1"/>
  <c r="O469" i="2"/>
  <c r="N469" i="2"/>
  <c r="T468" i="2"/>
  <c r="S468" i="2"/>
  <c r="R468" i="2"/>
  <c r="Q468" i="2"/>
  <c r="P468" i="2"/>
  <c r="U468" i="2" s="1"/>
  <c r="O468" i="2"/>
  <c r="N468" i="2"/>
  <c r="T467" i="2"/>
  <c r="S467" i="2"/>
  <c r="R467" i="2"/>
  <c r="Q467" i="2"/>
  <c r="P467" i="2"/>
  <c r="U467" i="2" s="1"/>
  <c r="O467" i="2"/>
  <c r="N467" i="2"/>
  <c r="S466" i="2"/>
  <c r="R466" i="2"/>
  <c r="Q466" i="2"/>
  <c r="O466" i="2"/>
  <c r="T466" i="2" s="1"/>
  <c r="N466" i="2"/>
  <c r="T465" i="2"/>
  <c r="S465" i="2"/>
  <c r="R465" i="2"/>
  <c r="Q465" i="2"/>
  <c r="P465" i="2"/>
  <c r="U465" i="2" s="1"/>
  <c r="O465" i="2"/>
  <c r="N465" i="2"/>
  <c r="T464" i="2"/>
  <c r="S464" i="2"/>
  <c r="R464" i="2"/>
  <c r="Q464" i="2"/>
  <c r="P464" i="2"/>
  <c r="U464" i="2" s="1"/>
  <c r="O464" i="2"/>
  <c r="N464" i="2"/>
  <c r="S463" i="2"/>
  <c r="R463" i="2"/>
  <c r="Q463" i="2"/>
  <c r="O463" i="2"/>
  <c r="N463" i="2"/>
  <c r="T462" i="2"/>
  <c r="S462" i="2"/>
  <c r="R462" i="2"/>
  <c r="Q462" i="2"/>
  <c r="P462" i="2"/>
  <c r="U462" i="2" s="1"/>
  <c r="O462" i="2"/>
  <c r="N462" i="2"/>
  <c r="T461" i="2"/>
  <c r="S461" i="2"/>
  <c r="R461" i="2"/>
  <c r="Q461" i="2"/>
  <c r="P461" i="2"/>
  <c r="U461" i="2" s="1"/>
  <c r="O461" i="2"/>
  <c r="N461" i="2"/>
  <c r="S460" i="2"/>
  <c r="R460" i="2"/>
  <c r="Q460" i="2"/>
  <c r="O460" i="2"/>
  <c r="P460" i="2" s="1"/>
  <c r="U460" i="2" s="1"/>
  <c r="N460" i="2"/>
  <c r="T459" i="2"/>
  <c r="S459" i="2"/>
  <c r="R459" i="2"/>
  <c r="Q459" i="2"/>
  <c r="P459" i="2"/>
  <c r="U459" i="2" s="1"/>
  <c r="O459" i="2"/>
  <c r="N459" i="2"/>
  <c r="T458" i="2"/>
  <c r="S458" i="2"/>
  <c r="R458" i="2"/>
  <c r="Q458" i="2"/>
  <c r="P458" i="2"/>
  <c r="U458" i="2" s="1"/>
  <c r="O458" i="2"/>
  <c r="N458" i="2"/>
  <c r="T457" i="2"/>
  <c r="S457" i="2"/>
  <c r="R457" i="2"/>
  <c r="Q457" i="2"/>
  <c r="P457" i="2"/>
  <c r="U457" i="2" s="1"/>
  <c r="O457" i="2"/>
  <c r="N457" i="2"/>
  <c r="T456" i="2"/>
  <c r="S456" i="2"/>
  <c r="R456" i="2"/>
  <c r="Q456" i="2"/>
  <c r="P456" i="2"/>
  <c r="U456" i="2" s="1"/>
  <c r="O456" i="2"/>
  <c r="N456" i="2"/>
  <c r="T455" i="2"/>
  <c r="S455" i="2"/>
  <c r="R455" i="2"/>
  <c r="Q455" i="2"/>
  <c r="P455" i="2"/>
  <c r="U455" i="2" s="1"/>
  <c r="O455" i="2"/>
  <c r="N455" i="2"/>
  <c r="S454" i="2"/>
  <c r="R454" i="2"/>
  <c r="Q454" i="2"/>
  <c r="O454" i="2"/>
  <c r="T454" i="2" s="1"/>
  <c r="N454" i="2"/>
  <c r="T453" i="2"/>
  <c r="S453" i="2"/>
  <c r="R453" i="2"/>
  <c r="Q453" i="2"/>
  <c r="P453" i="2"/>
  <c r="U453" i="2" s="1"/>
  <c r="O453" i="2"/>
  <c r="N453" i="2"/>
  <c r="T452" i="2"/>
  <c r="S452" i="2"/>
  <c r="R452" i="2"/>
  <c r="Q452" i="2"/>
  <c r="P452" i="2"/>
  <c r="U452" i="2" s="1"/>
  <c r="O452" i="2"/>
  <c r="N452" i="2"/>
  <c r="S451" i="2"/>
  <c r="R451" i="2"/>
  <c r="Q451" i="2"/>
  <c r="O451" i="2"/>
  <c r="N451" i="2"/>
  <c r="T450" i="2"/>
  <c r="S450" i="2"/>
  <c r="R450" i="2"/>
  <c r="Q450" i="2"/>
  <c r="P450" i="2"/>
  <c r="U450" i="2" s="1"/>
  <c r="O450" i="2"/>
  <c r="N450" i="2"/>
  <c r="T449" i="2"/>
  <c r="S449" i="2"/>
  <c r="R449" i="2"/>
  <c r="Q449" i="2"/>
  <c r="P449" i="2"/>
  <c r="U449" i="2" s="1"/>
  <c r="O449" i="2"/>
  <c r="N449" i="2"/>
  <c r="S448" i="2"/>
  <c r="R448" i="2"/>
  <c r="Q448" i="2"/>
  <c r="O448" i="2"/>
  <c r="P448" i="2" s="1"/>
  <c r="U448" i="2" s="1"/>
  <c r="N448" i="2"/>
  <c r="T447" i="2"/>
  <c r="S447" i="2"/>
  <c r="R447" i="2"/>
  <c r="Q447" i="2"/>
  <c r="P447" i="2"/>
  <c r="U447" i="2" s="1"/>
  <c r="O447" i="2"/>
  <c r="N447" i="2"/>
  <c r="T446" i="2"/>
  <c r="S446" i="2"/>
  <c r="R446" i="2"/>
  <c r="Q446" i="2"/>
  <c r="P446" i="2"/>
  <c r="U446" i="2" s="1"/>
  <c r="O446" i="2"/>
  <c r="N446" i="2"/>
  <c r="T445" i="2"/>
  <c r="S445" i="2"/>
  <c r="R445" i="2"/>
  <c r="Q445" i="2"/>
  <c r="P445" i="2"/>
  <c r="U445" i="2" s="1"/>
  <c r="O445" i="2"/>
  <c r="N445" i="2"/>
  <c r="T444" i="2"/>
  <c r="S444" i="2"/>
  <c r="R444" i="2"/>
  <c r="Q444" i="2"/>
  <c r="P444" i="2"/>
  <c r="U444" i="2" s="1"/>
  <c r="O444" i="2"/>
  <c r="N444" i="2"/>
  <c r="T443" i="2"/>
  <c r="S443" i="2"/>
  <c r="R443" i="2"/>
  <c r="Q443" i="2"/>
  <c r="P443" i="2"/>
  <c r="U443" i="2" s="1"/>
  <c r="O443" i="2"/>
  <c r="N443" i="2"/>
  <c r="S442" i="2"/>
  <c r="R442" i="2"/>
  <c r="Q442" i="2"/>
  <c r="O442" i="2"/>
  <c r="T442" i="2" s="1"/>
  <c r="N442" i="2"/>
  <c r="T441" i="2"/>
  <c r="S441" i="2"/>
  <c r="R441" i="2"/>
  <c r="Q441" i="2"/>
  <c r="P441" i="2"/>
  <c r="U441" i="2" s="1"/>
  <c r="O441" i="2"/>
  <c r="N441" i="2"/>
  <c r="T440" i="2"/>
  <c r="S440" i="2"/>
  <c r="R440" i="2"/>
  <c r="Q440" i="2"/>
  <c r="P440" i="2"/>
  <c r="U440" i="2" s="1"/>
  <c r="O440" i="2"/>
  <c r="N440" i="2"/>
  <c r="S439" i="2"/>
  <c r="R439" i="2"/>
  <c r="Q439" i="2"/>
  <c r="O439" i="2"/>
  <c r="N439" i="2"/>
  <c r="T438" i="2"/>
  <c r="S438" i="2"/>
  <c r="R438" i="2"/>
  <c r="Q438" i="2"/>
  <c r="P438" i="2"/>
  <c r="U438" i="2" s="1"/>
  <c r="O438" i="2"/>
  <c r="N438" i="2"/>
  <c r="T437" i="2"/>
  <c r="S437" i="2"/>
  <c r="R437" i="2"/>
  <c r="Q437" i="2"/>
  <c r="P437" i="2"/>
  <c r="U437" i="2" s="1"/>
  <c r="O437" i="2"/>
  <c r="N437" i="2"/>
  <c r="S436" i="2"/>
  <c r="R436" i="2"/>
  <c r="Q436" i="2"/>
  <c r="O436" i="2"/>
  <c r="P436" i="2" s="1"/>
  <c r="U436" i="2" s="1"/>
  <c r="N436" i="2"/>
  <c r="T435" i="2"/>
  <c r="S435" i="2"/>
  <c r="R435" i="2"/>
  <c r="Q435" i="2"/>
  <c r="P435" i="2"/>
  <c r="U435" i="2" s="1"/>
  <c r="O435" i="2"/>
  <c r="N435" i="2"/>
  <c r="T434" i="2"/>
  <c r="S434" i="2"/>
  <c r="R434" i="2"/>
  <c r="Q434" i="2"/>
  <c r="P434" i="2"/>
  <c r="U434" i="2" s="1"/>
  <c r="O434" i="2"/>
  <c r="N434" i="2"/>
  <c r="T433" i="2"/>
  <c r="S433" i="2"/>
  <c r="R433" i="2"/>
  <c r="Q433" i="2"/>
  <c r="P433" i="2"/>
  <c r="U433" i="2" s="1"/>
  <c r="O433" i="2"/>
  <c r="N433" i="2"/>
  <c r="T432" i="2"/>
  <c r="S432" i="2"/>
  <c r="R432" i="2"/>
  <c r="Q432" i="2"/>
  <c r="P432" i="2"/>
  <c r="U432" i="2" s="1"/>
  <c r="O432" i="2"/>
  <c r="N432" i="2"/>
  <c r="T431" i="2"/>
  <c r="S431" i="2"/>
  <c r="R431" i="2"/>
  <c r="Q431" i="2"/>
  <c r="P431" i="2"/>
  <c r="U431" i="2" s="1"/>
  <c r="O431" i="2"/>
  <c r="N431" i="2"/>
  <c r="S430" i="2"/>
  <c r="R430" i="2"/>
  <c r="Q430" i="2"/>
  <c r="O430" i="2"/>
  <c r="T430" i="2" s="1"/>
  <c r="N430" i="2"/>
  <c r="T429" i="2"/>
  <c r="S429" i="2"/>
  <c r="R429" i="2"/>
  <c r="Q429" i="2"/>
  <c r="P429" i="2"/>
  <c r="U429" i="2" s="1"/>
  <c r="O429" i="2"/>
  <c r="N429" i="2"/>
  <c r="T428" i="2"/>
  <c r="S428" i="2"/>
  <c r="R428" i="2"/>
  <c r="Q428" i="2"/>
  <c r="P428" i="2"/>
  <c r="U428" i="2" s="1"/>
  <c r="O428" i="2"/>
  <c r="N428" i="2"/>
  <c r="S427" i="2"/>
  <c r="R427" i="2"/>
  <c r="Q427" i="2"/>
  <c r="O427" i="2"/>
  <c r="N427" i="2"/>
  <c r="S426" i="2"/>
  <c r="R426" i="2"/>
  <c r="Q426" i="2"/>
  <c r="O426" i="2"/>
  <c r="P426" i="2" s="1"/>
  <c r="U426" i="2" s="1"/>
  <c r="N426" i="2"/>
  <c r="T425" i="2"/>
  <c r="S425" i="2"/>
  <c r="R425" i="2"/>
  <c r="Q425" i="2"/>
  <c r="P425" i="2"/>
  <c r="U425" i="2" s="1"/>
  <c r="O425" i="2"/>
  <c r="N425" i="2"/>
  <c r="S424" i="2"/>
  <c r="R424" i="2"/>
  <c r="Q424" i="2"/>
  <c r="O424" i="2"/>
  <c r="P424" i="2" s="1"/>
  <c r="U424" i="2" s="1"/>
  <c r="N424" i="2"/>
  <c r="T423" i="2"/>
  <c r="S423" i="2"/>
  <c r="R423" i="2"/>
  <c r="Q423" i="2"/>
  <c r="P423" i="2"/>
  <c r="U423" i="2" s="1"/>
  <c r="O423" i="2"/>
  <c r="N423" i="2"/>
  <c r="T422" i="2"/>
  <c r="S422" i="2"/>
  <c r="R422" i="2"/>
  <c r="Q422" i="2"/>
  <c r="P422" i="2"/>
  <c r="U422" i="2" s="1"/>
  <c r="O422" i="2"/>
  <c r="N422" i="2"/>
  <c r="T421" i="2"/>
  <c r="S421" i="2"/>
  <c r="R421" i="2"/>
  <c r="Q421" i="2"/>
  <c r="P421" i="2"/>
  <c r="U421" i="2" s="1"/>
  <c r="O421" i="2"/>
  <c r="N421" i="2"/>
  <c r="S420" i="2"/>
  <c r="R420" i="2"/>
  <c r="Q420" i="2"/>
  <c r="P420" i="2"/>
  <c r="U420" i="2" s="1"/>
  <c r="O420" i="2"/>
  <c r="T420" i="2" s="1"/>
  <c r="N420" i="2"/>
  <c r="T419" i="2"/>
  <c r="S419" i="2"/>
  <c r="R419" i="2"/>
  <c r="Q419" i="2"/>
  <c r="P419" i="2"/>
  <c r="U419" i="2" s="1"/>
  <c r="O419" i="2"/>
  <c r="N419" i="2"/>
  <c r="S418" i="2"/>
  <c r="R418" i="2"/>
  <c r="Q418" i="2"/>
  <c r="O418" i="2"/>
  <c r="T418" i="2" s="1"/>
  <c r="N418" i="2"/>
  <c r="T417" i="2"/>
  <c r="S417" i="2"/>
  <c r="R417" i="2"/>
  <c r="Q417" i="2"/>
  <c r="P417" i="2"/>
  <c r="U417" i="2" s="1"/>
  <c r="O417" i="2"/>
  <c r="N417" i="2"/>
  <c r="T416" i="2"/>
  <c r="S416" i="2"/>
  <c r="R416" i="2"/>
  <c r="Q416" i="2"/>
  <c r="P416" i="2"/>
  <c r="U416" i="2" s="1"/>
  <c r="O416" i="2"/>
  <c r="N416" i="2"/>
  <c r="S415" i="2"/>
  <c r="R415" i="2"/>
  <c r="Q415" i="2"/>
  <c r="O415" i="2"/>
  <c r="N415" i="2"/>
  <c r="S414" i="2"/>
  <c r="R414" i="2"/>
  <c r="Q414" i="2"/>
  <c r="O414" i="2"/>
  <c r="P414" i="2" s="1"/>
  <c r="U414" i="2" s="1"/>
  <c r="N414" i="2"/>
  <c r="S413" i="2"/>
  <c r="R413" i="2"/>
  <c r="Q413" i="2"/>
  <c r="O413" i="2"/>
  <c r="T413" i="2" s="1"/>
  <c r="N413" i="2"/>
  <c r="S412" i="2"/>
  <c r="R412" i="2"/>
  <c r="Q412" i="2"/>
  <c r="O412" i="2"/>
  <c r="T412" i="2" s="1"/>
  <c r="N412" i="2"/>
  <c r="S411" i="2"/>
  <c r="R411" i="2"/>
  <c r="Q411" i="2"/>
  <c r="O411" i="2"/>
  <c r="P411" i="2" s="1"/>
  <c r="U411" i="2" s="1"/>
  <c r="N411" i="2"/>
  <c r="S410" i="2"/>
  <c r="R410" i="2"/>
  <c r="Q410" i="2"/>
  <c r="O410" i="2"/>
  <c r="T410" i="2" s="1"/>
  <c r="N410" i="2"/>
  <c r="S409" i="2"/>
  <c r="R409" i="2"/>
  <c r="Q409" i="2"/>
  <c r="O409" i="2"/>
  <c r="T409" i="2" s="1"/>
  <c r="N409" i="2"/>
  <c r="S408" i="2"/>
  <c r="R408" i="2"/>
  <c r="Q408" i="2"/>
  <c r="O408" i="2"/>
  <c r="P408" i="2" s="1"/>
  <c r="U408" i="2" s="1"/>
  <c r="N408" i="2"/>
  <c r="S407" i="2"/>
  <c r="R407" i="2"/>
  <c r="Q407" i="2"/>
  <c r="O407" i="2"/>
  <c r="T407" i="2" s="1"/>
  <c r="N407" i="2"/>
  <c r="S406" i="2"/>
  <c r="R406" i="2"/>
  <c r="Q406" i="2"/>
  <c r="O406" i="2"/>
  <c r="T406" i="2" s="1"/>
  <c r="N406" i="2"/>
  <c r="S405" i="2"/>
  <c r="R405" i="2"/>
  <c r="Q405" i="2"/>
  <c r="O405" i="2"/>
  <c r="P405" i="2" s="1"/>
  <c r="U405" i="2" s="1"/>
  <c r="N405" i="2"/>
  <c r="S404" i="2"/>
  <c r="R404" i="2"/>
  <c r="Q404" i="2"/>
  <c r="O404" i="2"/>
  <c r="T404" i="2" s="1"/>
  <c r="N404" i="2"/>
  <c r="S403" i="2"/>
  <c r="R403" i="2"/>
  <c r="Q403" i="2"/>
  <c r="O403" i="2"/>
  <c r="T403" i="2" s="1"/>
  <c r="N403" i="2"/>
  <c r="S402" i="2"/>
  <c r="R402" i="2"/>
  <c r="Q402" i="2"/>
  <c r="O402" i="2"/>
  <c r="P402" i="2" s="1"/>
  <c r="U402" i="2" s="1"/>
  <c r="N402" i="2"/>
  <c r="S401" i="2"/>
  <c r="R401" i="2"/>
  <c r="Q401" i="2"/>
  <c r="O401" i="2"/>
  <c r="T401" i="2" s="1"/>
  <c r="N401" i="2"/>
  <c r="S400" i="2"/>
  <c r="R400" i="2"/>
  <c r="Q400" i="2"/>
  <c r="O400" i="2"/>
  <c r="T400" i="2" s="1"/>
  <c r="N400" i="2"/>
  <c r="S399" i="2"/>
  <c r="R399" i="2"/>
  <c r="Q399" i="2"/>
  <c r="O399" i="2"/>
  <c r="P399" i="2" s="1"/>
  <c r="U399" i="2" s="1"/>
  <c r="N399" i="2"/>
  <c r="S398" i="2"/>
  <c r="R398" i="2"/>
  <c r="Q398" i="2"/>
  <c r="O398" i="2"/>
  <c r="T398" i="2" s="1"/>
  <c r="N398" i="2"/>
  <c r="S397" i="2"/>
  <c r="R397" i="2"/>
  <c r="Q397" i="2"/>
  <c r="O397" i="2"/>
  <c r="T397" i="2" s="1"/>
  <c r="N397" i="2"/>
  <c r="S396" i="2"/>
  <c r="R396" i="2"/>
  <c r="Q396" i="2"/>
  <c r="O396" i="2"/>
  <c r="P396" i="2" s="1"/>
  <c r="U396" i="2" s="1"/>
  <c r="N396" i="2"/>
  <c r="S395" i="2"/>
  <c r="R395" i="2"/>
  <c r="Q395" i="2"/>
  <c r="O395" i="2"/>
  <c r="N395" i="2"/>
  <c r="S394" i="2"/>
  <c r="R394" i="2"/>
  <c r="Q394" i="2"/>
  <c r="O394" i="2"/>
  <c r="T394" i="2" s="1"/>
  <c r="N394" i="2"/>
  <c r="S393" i="2"/>
  <c r="R393" i="2"/>
  <c r="Q393" i="2"/>
  <c r="O393" i="2"/>
  <c r="P393" i="2" s="1"/>
  <c r="U393" i="2" s="1"/>
  <c r="N393" i="2"/>
  <c r="S392" i="2"/>
  <c r="R392" i="2"/>
  <c r="Q392" i="2"/>
  <c r="O392" i="2"/>
  <c r="N392" i="2"/>
  <c r="S391" i="2"/>
  <c r="R391" i="2"/>
  <c r="Q391" i="2"/>
  <c r="O391" i="2"/>
  <c r="T391" i="2" s="1"/>
  <c r="N391" i="2"/>
  <c r="S390" i="2"/>
  <c r="R390" i="2"/>
  <c r="Q390" i="2"/>
  <c r="O390" i="2"/>
  <c r="P390" i="2" s="1"/>
  <c r="U390" i="2" s="1"/>
  <c r="N390" i="2"/>
  <c r="S389" i="2"/>
  <c r="R389" i="2"/>
  <c r="Q389" i="2"/>
  <c r="O389" i="2"/>
  <c r="N389" i="2"/>
  <c r="S388" i="2"/>
  <c r="R388" i="2"/>
  <c r="Q388" i="2"/>
  <c r="O388" i="2"/>
  <c r="T388" i="2" s="1"/>
  <c r="N388" i="2"/>
  <c r="S387" i="2"/>
  <c r="R387" i="2"/>
  <c r="Q387" i="2"/>
  <c r="O387" i="2"/>
  <c r="P387" i="2" s="1"/>
  <c r="U387" i="2" s="1"/>
  <c r="N387" i="2"/>
  <c r="S386" i="2"/>
  <c r="R386" i="2"/>
  <c r="Q386" i="2"/>
  <c r="O386" i="2"/>
  <c r="N386" i="2"/>
  <c r="S385" i="2"/>
  <c r="R385" i="2"/>
  <c r="Q385" i="2"/>
  <c r="O385" i="2"/>
  <c r="T385" i="2" s="1"/>
  <c r="N385" i="2"/>
  <c r="S384" i="2"/>
  <c r="R384" i="2"/>
  <c r="Q384" i="2"/>
  <c r="O384" i="2"/>
  <c r="P384" i="2" s="1"/>
  <c r="U384" i="2" s="1"/>
  <c r="N384" i="2"/>
  <c r="S383" i="2"/>
  <c r="R383" i="2"/>
  <c r="Q383" i="2"/>
  <c r="O383" i="2"/>
  <c r="N383" i="2"/>
  <c r="S382" i="2"/>
  <c r="R382" i="2"/>
  <c r="Q382" i="2"/>
  <c r="O382" i="2"/>
  <c r="T382" i="2" s="1"/>
  <c r="N382" i="2"/>
  <c r="S381" i="2"/>
  <c r="R381" i="2"/>
  <c r="Q381" i="2"/>
  <c r="O381" i="2"/>
  <c r="P381" i="2" s="1"/>
  <c r="U381" i="2" s="1"/>
  <c r="N381" i="2"/>
  <c r="S380" i="2"/>
  <c r="R380" i="2"/>
  <c r="Q380" i="2"/>
  <c r="O380" i="2"/>
  <c r="N380" i="2"/>
  <c r="S379" i="2"/>
  <c r="R379" i="2"/>
  <c r="Q379" i="2"/>
  <c r="O379" i="2"/>
  <c r="T379" i="2" s="1"/>
  <c r="N379" i="2"/>
  <c r="S378" i="2"/>
  <c r="R378" i="2"/>
  <c r="Q378" i="2"/>
  <c r="O378" i="2"/>
  <c r="P378" i="2" s="1"/>
  <c r="U378" i="2" s="1"/>
  <c r="N378" i="2"/>
  <c r="S377" i="2"/>
  <c r="R377" i="2"/>
  <c r="Q377" i="2"/>
  <c r="O377" i="2"/>
  <c r="N377" i="2"/>
  <c r="S376" i="2"/>
  <c r="R376" i="2"/>
  <c r="Q376" i="2"/>
  <c r="O376" i="2"/>
  <c r="T376" i="2" s="1"/>
  <c r="N376" i="2"/>
  <c r="S375" i="2"/>
  <c r="R375" i="2"/>
  <c r="Q375" i="2"/>
  <c r="O375" i="2"/>
  <c r="P375" i="2" s="1"/>
  <c r="U375" i="2" s="1"/>
  <c r="N375" i="2"/>
  <c r="S374" i="2"/>
  <c r="R374" i="2"/>
  <c r="Q374" i="2"/>
  <c r="O374" i="2"/>
  <c r="N374" i="2"/>
  <c r="S373" i="2"/>
  <c r="R373" i="2"/>
  <c r="Q373" i="2"/>
  <c r="O373" i="2"/>
  <c r="T373" i="2" s="1"/>
  <c r="N373" i="2"/>
  <c r="S372" i="2"/>
  <c r="R372" i="2"/>
  <c r="Q372" i="2"/>
  <c r="O372" i="2"/>
  <c r="P372" i="2" s="1"/>
  <c r="U372" i="2" s="1"/>
  <c r="N372" i="2"/>
  <c r="S371" i="2"/>
  <c r="R371" i="2"/>
  <c r="Q371" i="2"/>
  <c r="O371" i="2"/>
  <c r="N371" i="2"/>
  <c r="S370" i="2"/>
  <c r="R370" i="2"/>
  <c r="Q370" i="2"/>
  <c r="O370" i="2"/>
  <c r="T370" i="2" s="1"/>
  <c r="N370" i="2"/>
  <c r="S369" i="2"/>
  <c r="R369" i="2"/>
  <c r="Q369" i="2"/>
  <c r="O369" i="2"/>
  <c r="P369" i="2" s="1"/>
  <c r="U369" i="2" s="1"/>
  <c r="N369" i="2"/>
  <c r="S368" i="2"/>
  <c r="R368" i="2"/>
  <c r="Q368" i="2"/>
  <c r="O368" i="2"/>
  <c r="N368" i="2"/>
  <c r="S367" i="2"/>
  <c r="R367" i="2"/>
  <c r="Q367" i="2"/>
  <c r="O367" i="2"/>
  <c r="T367" i="2" s="1"/>
  <c r="N367" i="2"/>
  <c r="S366" i="2"/>
  <c r="R366" i="2"/>
  <c r="Q366" i="2"/>
  <c r="O366" i="2"/>
  <c r="P366" i="2" s="1"/>
  <c r="U366" i="2" s="1"/>
  <c r="N366" i="2"/>
  <c r="S365" i="2"/>
  <c r="R365" i="2"/>
  <c r="Q365" i="2"/>
  <c r="O365" i="2"/>
  <c r="N365" i="2"/>
  <c r="S364" i="2"/>
  <c r="R364" i="2"/>
  <c r="Q364" i="2"/>
  <c r="O364" i="2"/>
  <c r="T364" i="2" s="1"/>
  <c r="N364" i="2"/>
  <c r="S363" i="2"/>
  <c r="R363" i="2"/>
  <c r="Q363" i="2"/>
  <c r="O363" i="2"/>
  <c r="P363" i="2" s="1"/>
  <c r="U363" i="2" s="1"/>
  <c r="N363" i="2"/>
  <c r="S362" i="2"/>
  <c r="R362" i="2"/>
  <c r="Q362" i="2"/>
  <c r="O362" i="2"/>
  <c r="N362" i="2"/>
  <c r="S361" i="2"/>
  <c r="R361" i="2"/>
  <c r="Q361" i="2"/>
  <c r="O361" i="2"/>
  <c r="T361" i="2" s="1"/>
  <c r="N361" i="2"/>
  <c r="S360" i="2"/>
  <c r="R360" i="2"/>
  <c r="Q360" i="2"/>
  <c r="O360" i="2"/>
  <c r="P360" i="2" s="1"/>
  <c r="U360" i="2" s="1"/>
  <c r="N360" i="2"/>
  <c r="S359" i="2"/>
  <c r="R359" i="2"/>
  <c r="Q359" i="2"/>
  <c r="O359" i="2"/>
  <c r="N359" i="2"/>
  <c r="S358" i="2"/>
  <c r="R358" i="2"/>
  <c r="Q358" i="2"/>
  <c r="O358" i="2"/>
  <c r="T358" i="2" s="1"/>
  <c r="N358" i="2"/>
  <c r="S357" i="2"/>
  <c r="R357" i="2"/>
  <c r="Q357" i="2"/>
  <c r="O357" i="2"/>
  <c r="P357" i="2" s="1"/>
  <c r="U357" i="2" s="1"/>
  <c r="N357" i="2"/>
  <c r="S356" i="2"/>
  <c r="R356" i="2"/>
  <c r="Q356" i="2"/>
  <c r="O356" i="2"/>
  <c r="N356" i="2"/>
  <c r="S355" i="2"/>
  <c r="R355" i="2"/>
  <c r="Q355" i="2"/>
  <c r="O355" i="2"/>
  <c r="T355" i="2" s="1"/>
  <c r="N355" i="2"/>
  <c r="S354" i="2"/>
  <c r="R354" i="2"/>
  <c r="Q354" i="2"/>
  <c r="O354" i="2"/>
  <c r="P354" i="2" s="1"/>
  <c r="U354" i="2" s="1"/>
  <c r="N354" i="2"/>
  <c r="S353" i="2"/>
  <c r="R353" i="2"/>
  <c r="Q353" i="2"/>
  <c r="O353" i="2"/>
  <c r="N353" i="2"/>
  <c r="S352" i="2"/>
  <c r="R352" i="2"/>
  <c r="Q352" i="2"/>
  <c r="O352" i="2"/>
  <c r="T352" i="2" s="1"/>
  <c r="N352" i="2"/>
  <c r="S351" i="2"/>
  <c r="R351" i="2"/>
  <c r="Q351" i="2"/>
  <c r="O351" i="2"/>
  <c r="P351" i="2" s="1"/>
  <c r="U351" i="2" s="1"/>
  <c r="N351" i="2"/>
  <c r="S350" i="2"/>
  <c r="R350" i="2"/>
  <c r="Q350" i="2"/>
  <c r="O350" i="2"/>
  <c r="N350" i="2"/>
  <c r="S349" i="2"/>
  <c r="R349" i="2"/>
  <c r="Q349" i="2"/>
  <c r="O349" i="2"/>
  <c r="T349" i="2" s="1"/>
  <c r="N349" i="2"/>
  <c r="S348" i="2"/>
  <c r="R348" i="2"/>
  <c r="Q348" i="2"/>
  <c r="O348" i="2"/>
  <c r="P348" i="2" s="1"/>
  <c r="U348" i="2" s="1"/>
  <c r="N348" i="2"/>
  <c r="S347" i="2"/>
  <c r="R347" i="2"/>
  <c r="Q347" i="2"/>
  <c r="O347" i="2"/>
  <c r="N347" i="2"/>
  <c r="S346" i="2"/>
  <c r="R346" i="2"/>
  <c r="Q346" i="2"/>
  <c r="O346" i="2"/>
  <c r="T346" i="2" s="1"/>
  <c r="N346" i="2"/>
  <c r="S345" i="2"/>
  <c r="R345" i="2"/>
  <c r="Q345" i="2"/>
  <c r="O345" i="2"/>
  <c r="P345" i="2" s="1"/>
  <c r="U345" i="2" s="1"/>
  <c r="N345" i="2"/>
  <c r="S344" i="2"/>
  <c r="R344" i="2"/>
  <c r="Q344" i="2"/>
  <c r="O344" i="2"/>
  <c r="N344" i="2"/>
  <c r="S343" i="2"/>
  <c r="R343" i="2"/>
  <c r="Q343" i="2"/>
  <c r="O343" i="2"/>
  <c r="T343" i="2" s="1"/>
  <c r="N343" i="2"/>
  <c r="S342" i="2"/>
  <c r="R342" i="2"/>
  <c r="Q342" i="2"/>
  <c r="O342" i="2"/>
  <c r="P342" i="2" s="1"/>
  <c r="U342" i="2" s="1"/>
  <c r="N342" i="2"/>
  <c r="S341" i="2"/>
  <c r="R341" i="2"/>
  <c r="Q341" i="2"/>
  <c r="O341" i="2"/>
  <c r="N341" i="2"/>
  <c r="S340" i="2"/>
  <c r="R340" i="2"/>
  <c r="Q340" i="2"/>
  <c r="O340" i="2"/>
  <c r="T340" i="2" s="1"/>
  <c r="N340" i="2"/>
  <c r="S339" i="2"/>
  <c r="R339" i="2"/>
  <c r="Q339" i="2"/>
  <c r="O339" i="2"/>
  <c r="P339" i="2" s="1"/>
  <c r="U339" i="2" s="1"/>
  <c r="N339" i="2"/>
  <c r="S338" i="2"/>
  <c r="R338" i="2"/>
  <c r="Q338" i="2"/>
  <c r="O338" i="2"/>
  <c r="N338" i="2"/>
  <c r="S337" i="2"/>
  <c r="R337" i="2"/>
  <c r="Q337" i="2"/>
  <c r="O337" i="2"/>
  <c r="T337" i="2" s="1"/>
  <c r="N337" i="2"/>
  <c r="S336" i="2"/>
  <c r="R336" i="2"/>
  <c r="Q336" i="2"/>
  <c r="O336" i="2"/>
  <c r="N336" i="2"/>
  <c r="S335" i="2"/>
  <c r="R335" i="2"/>
  <c r="Q335" i="2"/>
  <c r="O335" i="2"/>
  <c r="N335" i="2"/>
  <c r="S334" i="2"/>
  <c r="R334" i="2"/>
  <c r="Q334" i="2"/>
  <c r="O334" i="2"/>
  <c r="T334" i="2" s="1"/>
  <c r="N334" i="2"/>
  <c r="S333" i="2"/>
  <c r="R333" i="2"/>
  <c r="Q333" i="2"/>
  <c r="O333" i="2"/>
  <c r="N333" i="2"/>
  <c r="S332" i="2"/>
  <c r="R332" i="2"/>
  <c r="Q332" i="2"/>
  <c r="O332" i="2"/>
  <c r="N332" i="2"/>
  <c r="S331" i="2"/>
  <c r="R331" i="2"/>
  <c r="Q331" i="2"/>
  <c r="O331" i="2"/>
  <c r="T331" i="2" s="1"/>
  <c r="N331" i="2"/>
  <c r="S330" i="2"/>
  <c r="R330" i="2"/>
  <c r="Q330" i="2"/>
  <c r="O330" i="2"/>
  <c r="N330" i="2"/>
  <c r="S329" i="2"/>
  <c r="R329" i="2"/>
  <c r="Q329" i="2"/>
  <c r="O329" i="2"/>
  <c r="N329" i="2"/>
  <c r="S328" i="2"/>
  <c r="R328" i="2"/>
  <c r="Q328" i="2"/>
  <c r="O328" i="2"/>
  <c r="T328" i="2" s="1"/>
  <c r="N328" i="2"/>
  <c r="S327" i="2"/>
  <c r="R327" i="2"/>
  <c r="Q327" i="2"/>
  <c r="O327" i="2"/>
  <c r="P327" i="2" s="1"/>
  <c r="U327" i="2" s="1"/>
  <c r="N327" i="2"/>
  <c r="S326" i="2"/>
  <c r="R326" i="2"/>
  <c r="Q326" i="2"/>
  <c r="O326" i="2"/>
  <c r="T326" i="2" s="1"/>
  <c r="N326" i="2"/>
  <c r="S325" i="2"/>
  <c r="R325" i="2"/>
  <c r="Q325" i="2"/>
  <c r="O325" i="2"/>
  <c r="T325" i="2" s="1"/>
  <c r="N325" i="2"/>
  <c r="S324" i="2"/>
  <c r="R324" i="2"/>
  <c r="Q324" i="2"/>
  <c r="O324" i="2"/>
  <c r="P324" i="2" s="1"/>
  <c r="U324" i="2" s="1"/>
  <c r="N324" i="2"/>
  <c r="S323" i="2"/>
  <c r="R323" i="2"/>
  <c r="Q323" i="2"/>
  <c r="O323" i="2"/>
  <c r="T323" i="2" s="1"/>
  <c r="N323" i="2"/>
  <c r="S322" i="2"/>
  <c r="R322" i="2"/>
  <c r="Q322" i="2"/>
  <c r="O322" i="2"/>
  <c r="T322" i="2" s="1"/>
  <c r="N322" i="2"/>
  <c r="T321" i="2"/>
  <c r="S321" i="2"/>
  <c r="R321" i="2"/>
  <c r="Q321" i="2"/>
  <c r="O321" i="2"/>
  <c r="P321" i="2" s="1"/>
  <c r="U321" i="2" s="1"/>
  <c r="N321" i="2"/>
  <c r="S320" i="2"/>
  <c r="R320" i="2"/>
  <c r="Q320" i="2"/>
  <c r="O320" i="2"/>
  <c r="N320" i="2"/>
  <c r="S319" i="2"/>
  <c r="R319" i="2"/>
  <c r="Q319" i="2"/>
  <c r="O319" i="2"/>
  <c r="T319" i="2" s="1"/>
  <c r="N319" i="2"/>
  <c r="S318" i="2"/>
  <c r="R318" i="2"/>
  <c r="Q318" i="2"/>
  <c r="O318" i="2"/>
  <c r="N318" i="2"/>
  <c r="S317" i="2"/>
  <c r="R317" i="2"/>
  <c r="Q317" i="2"/>
  <c r="P317" i="2"/>
  <c r="U317" i="2" s="1"/>
  <c r="O317" i="2"/>
  <c r="T317" i="2" s="1"/>
  <c r="N317" i="2"/>
  <c r="S316" i="2"/>
  <c r="R316" i="2"/>
  <c r="Q316" i="2"/>
  <c r="O316" i="2"/>
  <c r="T316" i="2" s="1"/>
  <c r="N316" i="2"/>
  <c r="T315" i="2"/>
  <c r="S315" i="2"/>
  <c r="R315" i="2"/>
  <c r="Q315" i="2"/>
  <c r="O315" i="2"/>
  <c r="P315" i="2" s="1"/>
  <c r="U315" i="2" s="1"/>
  <c r="N315" i="2"/>
  <c r="S314" i="2"/>
  <c r="R314" i="2"/>
  <c r="Q314" i="2"/>
  <c r="P314" i="2"/>
  <c r="U314" i="2" s="1"/>
  <c r="O314" i="2"/>
  <c r="T314" i="2" s="1"/>
  <c r="N314" i="2"/>
  <c r="S313" i="2"/>
  <c r="R313" i="2"/>
  <c r="Q313" i="2"/>
  <c r="O313" i="2"/>
  <c r="N313" i="2"/>
  <c r="T312" i="2"/>
  <c r="S312" i="2"/>
  <c r="R312" i="2"/>
  <c r="Q312" i="2"/>
  <c r="O312" i="2"/>
  <c r="P312" i="2" s="1"/>
  <c r="U312" i="2" s="1"/>
  <c r="N312" i="2"/>
  <c r="S311" i="2"/>
  <c r="R311" i="2"/>
  <c r="Q311" i="2"/>
  <c r="P311" i="2"/>
  <c r="U311" i="2" s="1"/>
  <c r="O311" i="2"/>
  <c r="T311" i="2" s="1"/>
  <c r="N311" i="2"/>
  <c r="S310" i="2"/>
  <c r="R310" i="2"/>
  <c r="Q310" i="2"/>
  <c r="O310" i="2"/>
  <c r="N310" i="2"/>
  <c r="T309" i="2"/>
  <c r="S309" i="2"/>
  <c r="R309" i="2"/>
  <c r="Q309" i="2"/>
  <c r="O309" i="2"/>
  <c r="P309" i="2" s="1"/>
  <c r="U309" i="2" s="1"/>
  <c r="N309" i="2"/>
  <c r="S308" i="2"/>
  <c r="R308" i="2"/>
  <c r="Q308" i="2"/>
  <c r="P308" i="2"/>
  <c r="U308" i="2" s="1"/>
  <c r="O308" i="2"/>
  <c r="T308" i="2" s="1"/>
  <c r="N308" i="2"/>
  <c r="S307" i="2"/>
  <c r="R307" i="2"/>
  <c r="Q307" i="2"/>
  <c r="O307" i="2"/>
  <c r="N307" i="2"/>
  <c r="T306" i="2"/>
  <c r="S306" i="2"/>
  <c r="R306" i="2"/>
  <c r="Q306" i="2"/>
  <c r="O306" i="2"/>
  <c r="P306" i="2" s="1"/>
  <c r="U306" i="2" s="1"/>
  <c r="N306" i="2"/>
  <c r="S305" i="2"/>
  <c r="R305" i="2"/>
  <c r="Q305" i="2"/>
  <c r="P305" i="2"/>
  <c r="U305" i="2" s="1"/>
  <c r="O305" i="2"/>
  <c r="T305" i="2" s="1"/>
  <c r="N305" i="2"/>
  <c r="S304" i="2"/>
  <c r="R304" i="2"/>
  <c r="Q304" i="2"/>
  <c r="O304" i="2"/>
  <c r="N304" i="2"/>
  <c r="S303" i="2"/>
  <c r="R303" i="2"/>
  <c r="Q303" i="2"/>
  <c r="O303" i="2"/>
  <c r="P303" i="2" s="1"/>
  <c r="U303" i="2" s="1"/>
  <c r="N303" i="2"/>
  <c r="U302" i="2"/>
  <c r="S302" i="2"/>
  <c r="R302" i="2"/>
  <c r="Q302" i="2"/>
  <c r="P302" i="2"/>
  <c r="O302" i="2"/>
  <c r="T302" i="2" s="1"/>
  <c r="N302" i="2"/>
  <c r="S301" i="2"/>
  <c r="R301" i="2"/>
  <c r="Q301" i="2"/>
  <c r="O301" i="2"/>
  <c r="N301" i="2"/>
  <c r="S300" i="2"/>
  <c r="R300" i="2"/>
  <c r="Q300" i="2"/>
  <c r="O300" i="2"/>
  <c r="P300" i="2" s="1"/>
  <c r="U300" i="2" s="1"/>
  <c r="N300" i="2"/>
  <c r="S299" i="2"/>
  <c r="R299" i="2"/>
  <c r="Q299" i="2"/>
  <c r="P299" i="2"/>
  <c r="U299" i="2" s="1"/>
  <c r="O299" i="2"/>
  <c r="T299" i="2" s="1"/>
  <c r="N299" i="2"/>
  <c r="S298" i="2"/>
  <c r="R298" i="2"/>
  <c r="Q298" i="2"/>
  <c r="O298" i="2"/>
  <c r="N298" i="2"/>
  <c r="S297" i="2"/>
  <c r="R297" i="2"/>
  <c r="Q297" i="2"/>
  <c r="O297" i="2"/>
  <c r="P297" i="2" s="1"/>
  <c r="U297" i="2" s="1"/>
  <c r="N297" i="2"/>
  <c r="S296" i="2"/>
  <c r="R296" i="2"/>
  <c r="Q296" i="2"/>
  <c r="O296" i="2"/>
  <c r="T296" i="2" s="1"/>
  <c r="N296" i="2"/>
  <c r="S295" i="2"/>
  <c r="R295" i="2"/>
  <c r="Q295" i="2"/>
  <c r="O295" i="2"/>
  <c r="T295" i="2" s="1"/>
  <c r="N295" i="2"/>
  <c r="T294" i="2"/>
  <c r="S294" i="2"/>
  <c r="R294" i="2"/>
  <c r="Q294" i="2"/>
  <c r="O294" i="2"/>
  <c r="P294" i="2" s="1"/>
  <c r="U294" i="2" s="1"/>
  <c r="N294" i="2"/>
  <c r="U293" i="2"/>
  <c r="T293" i="2"/>
  <c r="S293" i="2"/>
  <c r="R293" i="2"/>
  <c r="Q293" i="2"/>
  <c r="P293" i="2"/>
  <c r="O293" i="2"/>
  <c r="N293" i="2"/>
  <c r="S292" i="2"/>
  <c r="R292" i="2"/>
  <c r="Q292" i="2"/>
  <c r="P292" i="2"/>
  <c r="U292" i="2" s="1"/>
  <c r="O292" i="2"/>
  <c r="T292" i="2" s="1"/>
  <c r="N292" i="2"/>
  <c r="T291" i="2"/>
  <c r="S291" i="2"/>
  <c r="R291" i="2"/>
  <c r="Q291" i="2"/>
  <c r="O291" i="2"/>
  <c r="P291" i="2" s="1"/>
  <c r="U291" i="2" s="1"/>
  <c r="N291" i="2"/>
  <c r="U290" i="2"/>
  <c r="T290" i="2"/>
  <c r="S290" i="2"/>
  <c r="R290" i="2"/>
  <c r="Q290" i="2"/>
  <c r="P290" i="2"/>
  <c r="O290" i="2"/>
  <c r="N290" i="2"/>
  <c r="S289" i="2"/>
  <c r="R289" i="2"/>
  <c r="Q289" i="2"/>
  <c r="P289" i="2"/>
  <c r="U289" i="2" s="1"/>
  <c r="O289" i="2"/>
  <c r="T289" i="2" s="1"/>
  <c r="N289" i="2"/>
  <c r="T288" i="2"/>
  <c r="S288" i="2"/>
  <c r="R288" i="2"/>
  <c r="Q288" i="2"/>
  <c r="O288" i="2"/>
  <c r="P288" i="2" s="1"/>
  <c r="U288" i="2" s="1"/>
  <c r="N288" i="2"/>
  <c r="U287" i="2"/>
  <c r="T287" i="2"/>
  <c r="S287" i="2"/>
  <c r="R287" i="2"/>
  <c r="Q287" i="2"/>
  <c r="P287" i="2"/>
  <c r="O287" i="2"/>
  <c r="N287" i="2"/>
  <c r="S286" i="2"/>
  <c r="R286" i="2"/>
  <c r="Q286" i="2"/>
  <c r="P286" i="2"/>
  <c r="U286" i="2" s="1"/>
  <c r="O286" i="2"/>
  <c r="T286" i="2" s="1"/>
  <c r="N286" i="2"/>
  <c r="T285" i="2"/>
  <c r="S285" i="2"/>
  <c r="R285" i="2"/>
  <c r="Q285" i="2"/>
  <c r="O285" i="2"/>
  <c r="P285" i="2" s="1"/>
  <c r="U285" i="2" s="1"/>
  <c r="N285" i="2"/>
  <c r="U284" i="2"/>
  <c r="T284" i="2"/>
  <c r="S284" i="2"/>
  <c r="R284" i="2"/>
  <c r="Q284" i="2"/>
  <c r="P284" i="2"/>
  <c r="O284" i="2"/>
  <c r="N284" i="2"/>
  <c r="S283" i="2"/>
  <c r="R283" i="2"/>
  <c r="Q283" i="2"/>
  <c r="P283" i="2"/>
  <c r="U283" i="2" s="1"/>
  <c r="O283" i="2"/>
  <c r="T283" i="2" s="1"/>
  <c r="N283" i="2"/>
  <c r="T282" i="2"/>
  <c r="S282" i="2"/>
  <c r="R282" i="2"/>
  <c r="Q282" i="2"/>
  <c r="O282" i="2"/>
  <c r="P282" i="2" s="1"/>
  <c r="U282" i="2" s="1"/>
  <c r="N282" i="2"/>
  <c r="U281" i="2"/>
  <c r="T281" i="2"/>
  <c r="S281" i="2"/>
  <c r="R281" i="2"/>
  <c r="Q281" i="2"/>
  <c r="P281" i="2"/>
  <c r="O281" i="2"/>
  <c r="N281" i="2"/>
  <c r="S280" i="2"/>
  <c r="R280" i="2"/>
  <c r="Q280" i="2"/>
  <c r="P280" i="2"/>
  <c r="U280" i="2" s="1"/>
  <c r="O280" i="2"/>
  <c r="T280" i="2" s="1"/>
  <c r="N280" i="2"/>
  <c r="T279" i="2"/>
  <c r="S279" i="2"/>
  <c r="R279" i="2"/>
  <c r="Q279" i="2"/>
  <c r="O279" i="2"/>
  <c r="P279" i="2" s="1"/>
  <c r="U279" i="2" s="1"/>
  <c r="N279" i="2"/>
  <c r="U278" i="2"/>
  <c r="T278" i="2"/>
  <c r="S278" i="2"/>
  <c r="R278" i="2"/>
  <c r="Q278" i="2"/>
  <c r="P278" i="2"/>
  <c r="O278" i="2"/>
  <c r="N278" i="2"/>
  <c r="S277" i="2"/>
  <c r="R277" i="2"/>
  <c r="Q277" i="2"/>
  <c r="P277" i="2"/>
  <c r="U277" i="2" s="1"/>
  <c r="O277" i="2"/>
  <c r="T277" i="2" s="1"/>
  <c r="N277" i="2"/>
  <c r="T276" i="2"/>
  <c r="S276" i="2"/>
  <c r="R276" i="2"/>
  <c r="Q276" i="2"/>
  <c r="O276" i="2"/>
  <c r="P276" i="2" s="1"/>
  <c r="U276" i="2" s="1"/>
  <c r="N276" i="2"/>
  <c r="U275" i="2"/>
  <c r="T275" i="2"/>
  <c r="S275" i="2"/>
  <c r="R275" i="2"/>
  <c r="Q275" i="2"/>
  <c r="P275" i="2"/>
  <c r="O275" i="2"/>
  <c r="N275" i="2"/>
  <c r="S274" i="2"/>
  <c r="R274" i="2"/>
  <c r="Q274" i="2"/>
  <c r="P274" i="2"/>
  <c r="U274" i="2" s="1"/>
  <c r="O274" i="2"/>
  <c r="T274" i="2" s="1"/>
  <c r="N274" i="2"/>
  <c r="T273" i="2"/>
  <c r="S273" i="2"/>
  <c r="R273" i="2"/>
  <c r="Q273" i="2"/>
  <c r="O273" i="2"/>
  <c r="P273" i="2" s="1"/>
  <c r="U273" i="2" s="1"/>
  <c r="N273" i="2"/>
  <c r="U272" i="2"/>
  <c r="T272" i="2"/>
  <c r="S272" i="2"/>
  <c r="R272" i="2"/>
  <c r="Q272" i="2"/>
  <c r="P272" i="2"/>
  <c r="O272" i="2"/>
  <c r="N272" i="2"/>
  <c r="S271" i="2"/>
  <c r="R271" i="2"/>
  <c r="Q271" i="2"/>
  <c r="P271" i="2"/>
  <c r="U271" i="2" s="1"/>
  <c r="O271" i="2"/>
  <c r="T271" i="2" s="1"/>
  <c r="N271" i="2"/>
  <c r="T270" i="2"/>
  <c r="S270" i="2"/>
  <c r="R270" i="2"/>
  <c r="Q270" i="2"/>
  <c r="O270" i="2"/>
  <c r="P270" i="2" s="1"/>
  <c r="U270" i="2" s="1"/>
  <c r="N270" i="2"/>
  <c r="U269" i="2"/>
  <c r="T269" i="2"/>
  <c r="S269" i="2"/>
  <c r="R269" i="2"/>
  <c r="Q269" i="2"/>
  <c r="P269" i="2"/>
  <c r="O269" i="2"/>
  <c r="N269" i="2"/>
  <c r="S268" i="2"/>
  <c r="R268" i="2"/>
  <c r="Q268" i="2"/>
  <c r="P268" i="2"/>
  <c r="U268" i="2" s="1"/>
  <c r="O268" i="2"/>
  <c r="T268" i="2" s="1"/>
  <c r="N268" i="2"/>
  <c r="T267" i="2"/>
  <c r="S267" i="2"/>
  <c r="R267" i="2"/>
  <c r="Q267" i="2"/>
  <c r="O267" i="2"/>
  <c r="P267" i="2" s="1"/>
  <c r="U267" i="2" s="1"/>
  <c r="N267" i="2"/>
  <c r="U266" i="2"/>
  <c r="T266" i="2"/>
  <c r="S266" i="2"/>
  <c r="R266" i="2"/>
  <c r="Q266" i="2"/>
  <c r="P266" i="2"/>
  <c r="O266" i="2"/>
  <c r="N266" i="2"/>
  <c r="S265" i="2"/>
  <c r="R265" i="2"/>
  <c r="Q265" i="2"/>
  <c r="P265" i="2"/>
  <c r="U265" i="2" s="1"/>
  <c r="O265" i="2"/>
  <c r="T265" i="2" s="1"/>
  <c r="N265" i="2"/>
  <c r="T264" i="2"/>
  <c r="S264" i="2"/>
  <c r="R264" i="2"/>
  <c r="Q264" i="2"/>
  <c r="O264" i="2"/>
  <c r="P264" i="2" s="1"/>
  <c r="U264" i="2" s="1"/>
  <c r="N264" i="2"/>
  <c r="U263" i="2"/>
  <c r="T263" i="2"/>
  <c r="S263" i="2"/>
  <c r="R263" i="2"/>
  <c r="Q263" i="2"/>
  <c r="P263" i="2"/>
  <c r="O263" i="2"/>
  <c r="N263" i="2"/>
  <c r="S262" i="2"/>
  <c r="R262" i="2"/>
  <c r="Q262" i="2"/>
  <c r="P262" i="2"/>
  <c r="U262" i="2" s="1"/>
  <c r="O262" i="2"/>
  <c r="T262" i="2" s="1"/>
  <c r="N262" i="2"/>
  <c r="T261" i="2"/>
  <c r="S261" i="2"/>
  <c r="R261" i="2"/>
  <c r="Q261" i="2"/>
  <c r="O261" i="2"/>
  <c r="P261" i="2" s="1"/>
  <c r="U261" i="2" s="1"/>
  <c r="N261" i="2"/>
  <c r="U260" i="2"/>
  <c r="T260" i="2"/>
  <c r="S260" i="2"/>
  <c r="R260" i="2"/>
  <c r="Q260" i="2"/>
  <c r="P260" i="2"/>
  <c r="O260" i="2"/>
  <c r="N260" i="2"/>
  <c r="S259" i="2"/>
  <c r="R259" i="2"/>
  <c r="Q259" i="2"/>
  <c r="P259" i="2"/>
  <c r="U259" i="2" s="1"/>
  <c r="O259" i="2"/>
  <c r="T259" i="2" s="1"/>
  <c r="N259" i="2"/>
  <c r="T258" i="2"/>
  <c r="S258" i="2"/>
  <c r="R258" i="2"/>
  <c r="Q258" i="2"/>
  <c r="O258" i="2"/>
  <c r="P258" i="2" s="1"/>
  <c r="U258" i="2" s="1"/>
  <c r="N258" i="2"/>
  <c r="U257" i="2"/>
  <c r="T257" i="2"/>
  <c r="S257" i="2"/>
  <c r="R257" i="2"/>
  <c r="Q257" i="2"/>
  <c r="P257" i="2"/>
  <c r="O257" i="2"/>
  <c r="N257" i="2"/>
  <c r="S256" i="2"/>
  <c r="R256" i="2"/>
  <c r="Q256" i="2"/>
  <c r="P256" i="2"/>
  <c r="U256" i="2" s="1"/>
  <c r="O256" i="2"/>
  <c r="T256" i="2" s="1"/>
  <c r="N256" i="2"/>
  <c r="T255" i="2"/>
  <c r="S255" i="2"/>
  <c r="R255" i="2"/>
  <c r="Q255" i="2"/>
  <c r="O255" i="2"/>
  <c r="P255" i="2" s="1"/>
  <c r="U255" i="2" s="1"/>
  <c r="N255" i="2"/>
  <c r="U254" i="2"/>
  <c r="T254" i="2"/>
  <c r="S254" i="2"/>
  <c r="R254" i="2"/>
  <c r="Q254" i="2"/>
  <c r="P254" i="2"/>
  <c r="O254" i="2"/>
  <c r="N254" i="2"/>
  <c r="S253" i="2"/>
  <c r="R253" i="2"/>
  <c r="Q253" i="2"/>
  <c r="P253" i="2"/>
  <c r="U253" i="2" s="1"/>
  <c r="O253" i="2"/>
  <c r="T253" i="2" s="1"/>
  <c r="N253" i="2"/>
  <c r="T252" i="2"/>
  <c r="S252" i="2"/>
  <c r="R252" i="2"/>
  <c r="Q252" i="2"/>
  <c r="O252" i="2"/>
  <c r="P252" i="2" s="1"/>
  <c r="U252" i="2" s="1"/>
  <c r="N252" i="2"/>
  <c r="U251" i="2"/>
  <c r="T251" i="2"/>
  <c r="S251" i="2"/>
  <c r="R251" i="2"/>
  <c r="Q251" i="2"/>
  <c r="P251" i="2"/>
  <c r="O251" i="2"/>
  <c r="N251" i="2"/>
  <c r="S250" i="2"/>
  <c r="R250" i="2"/>
  <c r="Q250" i="2"/>
  <c r="P250" i="2"/>
  <c r="U250" i="2" s="1"/>
  <c r="O250" i="2"/>
  <c r="T250" i="2" s="1"/>
  <c r="N250" i="2"/>
  <c r="T249" i="2"/>
  <c r="S249" i="2"/>
  <c r="R249" i="2"/>
  <c r="Q249" i="2"/>
  <c r="O249" i="2"/>
  <c r="P249" i="2" s="1"/>
  <c r="U249" i="2" s="1"/>
  <c r="N249" i="2"/>
  <c r="U248" i="2"/>
  <c r="T248" i="2"/>
  <c r="S248" i="2"/>
  <c r="R248" i="2"/>
  <c r="Q248" i="2"/>
  <c r="P248" i="2"/>
  <c r="O248" i="2"/>
  <c r="N248" i="2"/>
  <c r="S247" i="2"/>
  <c r="R247" i="2"/>
  <c r="Q247" i="2"/>
  <c r="P247" i="2"/>
  <c r="U247" i="2" s="1"/>
  <c r="O247" i="2"/>
  <c r="T247" i="2" s="1"/>
  <c r="N247" i="2"/>
  <c r="T246" i="2"/>
  <c r="S246" i="2"/>
  <c r="R246" i="2"/>
  <c r="Q246" i="2"/>
  <c r="O246" i="2"/>
  <c r="P246" i="2" s="1"/>
  <c r="U246" i="2" s="1"/>
  <c r="N246" i="2"/>
  <c r="U245" i="2"/>
  <c r="T245" i="2"/>
  <c r="S245" i="2"/>
  <c r="R245" i="2"/>
  <c r="Q245" i="2"/>
  <c r="P245" i="2"/>
  <c r="O245" i="2"/>
  <c r="N245" i="2"/>
  <c r="S244" i="2"/>
  <c r="R244" i="2"/>
  <c r="Q244" i="2"/>
  <c r="P244" i="2"/>
  <c r="U244" i="2" s="1"/>
  <c r="O244" i="2"/>
  <c r="T244" i="2" s="1"/>
  <c r="N244" i="2"/>
  <c r="T243" i="2"/>
  <c r="S243" i="2"/>
  <c r="R243" i="2"/>
  <c r="Q243" i="2"/>
  <c r="O243" i="2"/>
  <c r="P243" i="2" s="1"/>
  <c r="U243" i="2" s="1"/>
  <c r="N243" i="2"/>
  <c r="U242" i="2"/>
  <c r="T242" i="2"/>
  <c r="S242" i="2"/>
  <c r="R242" i="2"/>
  <c r="Q242" i="2"/>
  <c r="P242" i="2"/>
  <c r="O242" i="2"/>
  <c r="N242" i="2"/>
  <c r="S241" i="2"/>
  <c r="R241" i="2"/>
  <c r="Q241" i="2"/>
  <c r="P241" i="2"/>
  <c r="U241" i="2" s="1"/>
  <c r="O241" i="2"/>
  <c r="T241" i="2" s="1"/>
  <c r="N241" i="2"/>
  <c r="T240" i="2"/>
  <c r="S240" i="2"/>
  <c r="R240" i="2"/>
  <c r="Q240" i="2"/>
  <c r="O240" i="2"/>
  <c r="P240" i="2" s="1"/>
  <c r="U240" i="2" s="1"/>
  <c r="N240" i="2"/>
  <c r="U239" i="2"/>
  <c r="T239" i="2"/>
  <c r="S239" i="2"/>
  <c r="R239" i="2"/>
  <c r="Q239" i="2"/>
  <c r="P239" i="2"/>
  <c r="O239" i="2"/>
  <c r="N239" i="2"/>
  <c r="S238" i="2"/>
  <c r="R238" i="2"/>
  <c r="Q238" i="2"/>
  <c r="P238" i="2"/>
  <c r="U238" i="2" s="1"/>
  <c r="O238" i="2"/>
  <c r="T238" i="2" s="1"/>
  <c r="N238" i="2"/>
  <c r="T237" i="2"/>
  <c r="S237" i="2"/>
  <c r="R237" i="2"/>
  <c r="Q237" i="2"/>
  <c r="O237" i="2"/>
  <c r="P237" i="2" s="1"/>
  <c r="U237" i="2" s="1"/>
  <c r="N237" i="2"/>
  <c r="U236" i="2"/>
  <c r="T236" i="2"/>
  <c r="S236" i="2"/>
  <c r="R236" i="2"/>
  <c r="Q236" i="2"/>
  <c r="P236" i="2"/>
  <c r="O236" i="2"/>
  <c r="N236" i="2"/>
  <c r="S235" i="2"/>
  <c r="R235" i="2"/>
  <c r="Q235" i="2"/>
  <c r="P235" i="2"/>
  <c r="U235" i="2" s="1"/>
  <c r="O235" i="2"/>
  <c r="T235" i="2" s="1"/>
  <c r="N235" i="2"/>
  <c r="T234" i="2"/>
  <c r="S234" i="2"/>
  <c r="R234" i="2"/>
  <c r="Q234" i="2"/>
  <c r="O234" i="2"/>
  <c r="P234" i="2" s="1"/>
  <c r="U234" i="2" s="1"/>
  <c r="N234" i="2"/>
  <c r="U233" i="2"/>
  <c r="T233" i="2"/>
  <c r="S233" i="2"/>
  <c r="R233" i="2"/>
  <c r="Q233" i="2"/>
  <c r="P233" i="2"/>
  <c r="O233" i="2"/>
  <c r="N233" i="2"/>
  <c r="S232" i="2"/>
  <c r="R232" i="2"/>
  <c r="Q232" i="2"/>
  <c r="P232" i="2"/>
  <c r="U232" i="2" s="1"/>
  <c r="O232" i="2"/>
  <c r="T232" i="2" s="1"/>
  <c r="N232" i="2"/>
  <c r="T231" i="2"/>
  <c r="S231" i="2"/>
  <c r="R231" i="2"/>
  <c r="Q231" i="2"/>
  <c r="O231" i="2"/>
  <c r="P231" i="2" s="1"/>
  <c r="U231" i="2" s="1"/>
  <c r="N231" i="2"/>
  <c r="U230" i="2"/>
  <c r="T230" i="2"/>
  <c r="S230" i="2"/>
  <c r="R230" i="2"/>
  <c r="Q230" i="2"/>
  <c r="P230" i="2"/>
  <c r="O230" i="2"/>
  <c r="N230" i="2"/>
  <c r="S229" i="2"/>
  <c r="R229" i="2"/>
  <c r="Q229" i="2"/>
  <c r="P229" i="2"/>
  <c r="U229" i="2" s="1"/>
  <c r="O229" i="2"/>
  <c r="T229" i="2" s="1"/>
  <c r="N229" i="2"/>
  <c r="T228" i="2"/>
  <c r="S228" i="2"/>
  <c r="R228" i="2"/>
  <c r="Q228" i="2"/>
  <c r="O228" i="2"/>
  <c r="P228" i="2" s="1"/>
  <c r="U228" i="2" s="1"/>
  <c r="N228" i="2"/>
  <c r="U227" i="2"/>
  <c r="T227" i="2"/>
  <c r="S227" i="2"/>
  <c r="R227" i="2"/>
  <c r="Q227" i="2"/>
  <c r="P227" i="2"/>
  <c r="O227" i="2"/>
  <c r="N227" i="2"/>
  <c r="S226" i="2"/>
  <c r="R226" i="2"/>
  <c r="Q226" i="2"/>
  <c r="P226" i="2"/>
  <c r="U226" i="2" s="1"/>
  <c r="O226" i="2"/>
  <c r="T226" i="2" s="1"/>
  <c r="N226" i="2"/>
  <c r="T225" i="2"/>
  <c r="S225" i="2"/>
  <c r="R225" i="2"/>
  <c r="Q225" i="2"/>
  <c r="O225" i="2"/>
  <c r="P225" i="2" s="1"/>
  <c r="U225" i="2" s="1"/>
  <c r="N225" i="2"/>
  <c r="U224" i="2"/>
  <c r="T224" i="2"/>
  <c r="S224" i="2"/>
  <c r="R224" i="2"/>
  <c r="Q224" i="2"/>
  <c r="P224" i="2"/>
  <c r="O224" i="2"/>
  <c r="N224" i="2"/>
  <c r="S223" i="2"/>
  <c r="R223" i="2"/>
  <c r="Q223" i="2"/>
  <c r="P223" i="2"/>
  <c r="U223" i="2" s="1"/>
  <c r="O223" i="2"/>
  <c r="T223" i="2" s="1"/>
  <c r="N223" i="2"/>
  <c r="T222" i="2"/>
  <c r="S222" i="2"/>
  <c r="R222" i="2"/>
  <c r="Q222" i="2"/>
  <c r="O222" i="2"/>
  <c r="P222" i="2" s="1"/>
  <c r="U222" i="2" s="1"/>
  <c r="N222" i="2"/>
  <c r="U221" i="2"/>
  <c r="T221" i="2"/>
  <c r="S221" i="2"/>
  <c r="R221" i="2"/>
  <c r="Q221" i="2"/>
  <c r="P221" i="2"/>
  <c r="O221" i="2"/>
  <c r="N221" i="2"/>
  <c r="S220" i="2"/>
  <c r="R220" i="2"/>
  <c r="Q220" i="2"/>
  <c r="P220" i="2"/>
  <c r="U220" i="2" s="1"/>
  <c r="O220" i="2"/>
  <c r="T220" i="2" s="1"/>
  <c r="N220" i="2"/>
  <c r="T219" i="2"/>
  <c r="S219" i="2"/>
  <c r="R219" i="2"/>
  <c r="Q219" i="2"/>
  <c r="O219" i="2"/>
  <c r="P219" i="2" s="1"/>
  <c r="U219" i="2" s="1"/>
  <c r="N219" i="2"/>
  <c r="U218" i="2"/>
  <c r="T218" i="2"/>
  <c r="S218" i="2"/>
  <c r="R218" i="2"/>
  <c r="Q218" i="2"/>
  <c r="P218" i="2"/>
  <c r="O218" i="2"/>
  <c r="N218" i="2"/>
  <c r="S217" i="2"/>
  <c r="R217" i="2"/>
  <c r="Q217" i="2"/>
  <c r="P217" i="2"/>
  <c r="U217" i="2" s="1"/>
  <c r="O217" i="2"/>
  <c r="T217" i="2" s="1"/>
  <c r="N217" i="2"/>
  <c r="T216" i="2"/>
  <c r="S216" i="2"/>
  <c r="R216" i="2"/>
  <c r="Q216" i="2"/>
  <c r="O216" i="2"/>
  <c r="P216" i="2" s="1"/>
  <c r="U216" i="2" s="1"/>
  <c r="N216" i="2"/>
  <c r="U215" i="2"/>
  <c r="T215" i="2"/>
  <c r="S215" i="2"/>
  <c r="R215" i="2"/>
  <c r="Q215" i="2"/>
  <c r="P215" i="2"/>
  <c r="O215" i="2"/>
  <c r="N215" i="2"/>
  <c r="S214" i="2"/>
  <c r="R214" i="2"/>
  <c r="Q214" i="2"/>
  <c r="P214" i="2"/>
  <c r="U214" i="2" s="1"/>
  <c r="O214" i="2"/>
  <c r="T214" i="2" s="1"/>
  <c r="N214" i="2"/>
  <c r="T213" i="2"/>
  <c r="S213" i="2"/>
  <c r="R213" i="2"/>
  <c r="Q213" i="2"/>
  <c r="O213" i="2"/>
  <c r="P213" i="2" s="1"/>
  <c r="U213" i="2" s="1"/>
  <c r="N213" i="2"/>
  <c r="U212" i="2"/>
  <c r="T212" i="2"/>
  <c r="S212" i="2"/>
  <c r="R212" i="2"/>
  <c r="Q212" i="2"/>
  <c r="P212" i="2"/>
  <c r="O212" i="2"/>
  <c r="N212" i="2"/>
  <c r="S211" i="2"/>
  <c r="R211" i="2"/>
  <c r="Q211" i="2"/>
  <c r="P211" i="2"/>
  <c r="U211" i="2" s="1"/>
  <c r="O211" i="2"/>
  <c r="T211" i="2" s="1"/>
  <c r="N211" i="2"/>
  <c r="T210" i="2"/>
  <c r="S210" i="2"/>
  <c r="R210" i="2"/>
  <c r="Q210" i="2"/>
  <c r="O210" i="2"/>
  <c r="P210" i="2" s="1"/>
  <c r="U210" i="2" s="1"/>
  <c r="N210" i="2"/>
  <c r="U209" i="2"/>
  <c r="T209" i="2"/>
  <c r="S209" i="2"/>
  <c r="R209" i="2"/>
  <c r="Q209" i="2"/>
  <c r="P209" i="2"/>
  <c r="O209" i="2"/>
  <c r="N209" i="2"/>
  <c r="S208" i="2"/>
  <c r="R208" i="2"/>
  <c r="Q208" i="2"/>
  <c r="P208" i="2"/>
  <c r="U208" i="2" s="1"/>
  <c r="O208" i="2"/>
  <c r="T208" i="2" s="1"/>
  <c r="N208" i="2"/>
  <c r="T207" i="2"/>
  <c r="S207" i="2"/>
  <c r="R207" i="2"/>
  <c r="Q207" i="2"/>
  <c r="O207" i="2"/>
  <c r="P207" i="2" s="1"/>
  <c r="U207" i="2" s="1"/>
  <c r="N207" i="2"/>
  <c r="U206" i="2"/>
  <c r="T206" i="2"/>
  <c r="S206" i="2"/>
  <c r="R206" i="2"/>
  <c r="Q206" i="2"/>
  <c r="P206" i="2"/>
  <c r="O206" i="2"/>
  <c r="N206" i="2"/>
  <c r="S205" i="2"/>
  <c r="R205" i="2"/>
  <c r="Q205" i="2"/>
  <c r="P205" i="2"/>
  <c r="U205" i="2" s="1"/>
  <c r="O205" i="2"/>
  <c r="T205" i="2" s="1"/>
  <c r="N205" i="2"/>
  <c r="T204" i="2"/>
  <c r="S204" i="2"/>
  <c r="R204" i="2"/>
  <c r="Q204" i="2"/>
  <c r="O204" i="2"/>
  <c r="P204" i="2" s="1"/>
  <c r="U204" i="2" s="1"/>
  <c r="N204" i="2"/>
  <c r="U203" i="2"/>
  <c r="T203" i="2"/>
  <c r="S203" i="2"/>
  <c r="R203" i="2"/>
  <c r="Q203" i="2"/>
  <c r="P203" i="2"/>
  <c r="O203" i="2"/>
  <c r="N203" i="2"/>
  <c r="S202" i="2"/>
  <c r="R202" i="2"/>
  <c r="Q202" i="2"/>
  <c r="P202" i="2"/>
  <c r="U202" i="2" s="1"/>
  <c r="O202" i="2"/>
  <c r="T202" i="2" s="1"/>
  <c r="N202" i="2"/>
  <c r="T201" i="2"/>
  <c r="S201" i="2"/>
  <c r="R201" i="2"/>
  <c r="Q201" i="2"/>
  <c r="O201" i="2"/>
  <c r="P201" i="2" s="1"/>
  <c r="U201" i="2" s="1"/>
  <c r="N201" i="2"/>
  <c r="U200" i="2"/>
  <c r="T200" i="2"/>
  <c r="S200" i="2"/>
  <c r="R200" i="2"/>
  <c r="Q200" i="2"/>
  <c r="P200" i="2"/>
  <c r="O200" i="2"/>
  <c r="N200" i="2"/>
  <c r="S199" i="2"/>
  <c r="R199" i="2"/>
  <c r="Q199" i="2"/>
  <c r="P199" i="2"/>
  <c r="U199" i="2" s="1"/>
  <c r="O199" i="2"/>
  <c r="T199" i="2" s="1"/>
  <c r="N199" i="2"/>
  <c r="T198" i="2"/>
  <c r="S198" i="2"/>
  <c r="R198" i="2"/>
  <c r="Q198" i="2"/>
  <c r="O198" i="2"/>
  <c r="P198" i="2" s="1"/>
  <c r="U198" i="2" s="1"/>
  <c r="N198" i="2"/>
  <c r="U197" i="2"/>
  <c r="T197" i="2"/>
  <c r="S197" i="2"/>
  <c r="R197" i="2"/>
  <c r="Q197" i="2"/>
  <c r="P197" i="2"/>
  <c r="O197" i="2"/>
  <c r="N197" i="2"/>
  <c r="S196" i="2"/>
  <c r="R196" i="2"/>
  <c r="Q196" i="2"/>
  <c r="P196" i="2"/>
  <c r="U196" i="2" s="1"/>
  <c r="O196" i="2"/>
  <c r="T196" i="2" s="1"/>
  <c r="N196" i="2"/>
  <c r="T195" i="2"/>
  <c r="S195" i="2"/>
  <c r="R195" i="2"/>
  <c r="Q195" i="2"/>
  <c r="O195" i="2"/>
  <c r="P195" i="2" s="1"/>
  <c r="U195" i="2" s="1"/>
  <c r="N195" i="2"/>
  <c r="U194" i="2"/>
  <c r="T194" i="2"/>
  <c r="S194" i="2"/>
  <c r="R194" i="2"/>
  <c r="Q194" i="2"/>
  <c r="P194" i="2"/>
  <c r="O194" i="2"/>
  <c r="N194" i="2"/>
  <c r="S193" i="2"/>
  <c r="R193" i="2"/>
  <c r="Q193" i="2"/>
  <c r="P193" i="2"/>
  <c r="U193" i="2" s="1"/>
  <c r="O193" i="2"/>
  <c r="T193" i="2" s="1"/>
  <c r="N193" i="2"/>
  <c r="T192" i="2"/>
  <c r="S192" i="2"/>
  <c r="R192" i="2"/>
  <c r="Q192" i="2"/>
  <c r="O192" i="2"/>
  <c r="P192" i="2" s="1"/>
  <c r="U192" i="2" s="1"/>
  <c r="N192" i="2"/>
  <c r="U191" i="2"/>
  <c r="T191" i="2"/>
  <c r="S191" i="2"/>
  <c r="R191" i="2"/>
  <c r="Q191" i="2"/>
  <c r="P191" i="2"/>
  <c r="O191" i="2"/>
  <c r="N191" i="2"/>
  <c r="S190" i="2"/>
  <c r="R190" i="2"/>
  <c r="Q190" i="2"/>
  <c r="P190" i="2"/>
  <c r="U190" i="2" s="1"/>
  <c r="O190" i="2"/>
  <c r="T190" i="2" s="1"/>
  <c r="N190" i="2"/>
  <c r="T189" i="2"/>
  <c r="S189" i="2"/>
  <c r="R189" i="2"/>
  <c r="Q189" i="2"/>
  <c r="O189" i="2"/>
  <c r="P189" i="2" s="1"/>
  <c r="U189" i="2" s="1"/>
  <c r="N189" i="2"/>
  <c r="U188" i="2"/>
  <c r="T188" i="2"/>
  <c r="S188" i="2"/>
  <c r="R188" i="2"/>
  <c r="Q188" i="2"/>
  <c r="P188" i="2"/>
  <c r="O188" i="2"/>
  <c r="N188" i="2"/>
  <c r="S187" i="2"/>
  <c r="R187" i="2"/>
  <c r="Q187" i="2"/>
  <c r="P187" i="2"/>
  <c r="U187" i="2" s="1"/>
  <c r="O187" i="2"/>
  <c r="T187" i="2" s="1"/>
  <c r="N187" i="2"/>
  <c r="T186" i="2"/>
  <c r="S186" i="2"/>
  <c r="R186" i="2"/>
  <c r="Q186" i="2"/>
  <c r="O186" i="2"/>
  <c r="P186" i="2" s="1"/>
  <c r="U186" i="2" s="1"/>
  <c r="N186" i="2"/>
  <c r="U185" i="2"/>
  <c r="T185" i="2"/>
  <c r="S185" i="2"/>
  <c r="R185" i="2"/>
  <c r="Q185" i="2"/>
  <c r="P185" i="2"/>
  <c r="O185" i="2"/>
  <c r="N185" i="2"/>
  <c r="S184" i="2"/>
  <c r="R184" i="2"/>
  <c r="Q184" i="2"/>
  <c r="P184" i="2"/>
  <c r="U184" i="2" s="1"/>
  <c r="O184" i="2"/>
  <c r="T184" i="2" s="1"/>
  <c r="N184" i="2"/>
  <c r="T183" i="2"/>
  <c r="S183" i="2"/>
  <c r="R183" i="2"/>
  <c r="Q183" i="2"/>
  <c r="O183" i="2"/>
  <c r="P183" i="2" s="1"/>
  <c r="U183" i="2" s="1"/>
  <c r="N183" i="2"/>
  <c r="U182" i="2"/>
  <c r="T182" i="2"/>
  <c r="S182" i="2"/>
  <c r="R182" i="2"/>
  <c r="Q182" i="2"/>
  <c r="P182" i="2"/>
  <c r="O182" i="2"/>
  <c r="N182" i="2"/>
  <c r="S181" i="2"/>
  <c r="R181" i="2"/>
  <c r="Q181" i="2"/>
  <c r="P181" i="2"/>
  <c r="U181" i="2" s="1"/>
  <c r="O181" i="2"/>
  <c r="T181" i="2" s="1"/>
  <c r="N181" i="2"/>
  <c r="T180" i="2"/>
  <c r="S180" i="2"/>
  <c r="R180" i="2"/>
  <c r="Q180" i="2"/>
  <c r="O180" i="2"/>
  <c r="P180" i="2" s="1"/>
  <c r="U180" i="2" s="1"/>
  <c r="N180" i="2"/>
  <c r="U179" i="2"/>
  <c r="T179" i="2"/>
  <c r="S179" i="2"/>
  <c r="R179" i="2"/>
  <c r="Q179" i="2"/>
  <c r="P179" i="2"/>
  <c r="O179" i="2"/>
  <c r="N179" i="2"/>
  <c r="S178" i="2"/>
  <c r="R178" i="2"/>
  <c r="Q178" i="2"/>
  <c r="P178" i="2"/>
  <c r="U178" i="2" s="1"/>
  <c r="O178" i="2"/>
  <c r="T178" i="2" s="1"/>
  <c r="N178" i="2"/>
  <c r="T177" i="2"/>
  <c r="S177" i="2"/>
  <c r="R177" i="2"/>
  <c r="Q177" i="2"/>
  <c r="O177" i="2"/>
  <c r="P177" i="2" s="1"/>
  <c r="U177" i="2" s="1"/>
  <c r="N177" i="2"/>
  <c r="U176" i="2"/>
  <c r="T176" i="2"/>
  <c r="S176" i="2"/>
  <c r="R176" i="2"/>
  <c r="Q176" i="2"/>
  <c r="P176" i="2"/>
  <c r="O176" i="2"/>
  <c r="N176" i="2"/>
  <c r="S175" i="2"/>
  <c r="R175" i="2"/>
  <c r="Q175" i="2"/>
  <c r="P175" i="2"/>
  <c r="U175" i="2" s="1"/>
  <c r="O175" i="2"/>
  <c r="T175" i="2" s="1"/>
  <c r="N175" i="2"/>
  <c r="T174" i="2"/>
  <c r="S174" i="2"/>
  <c r="R174" i="2"/>
  <c r="Q174" i="2"/>
  <c r="O174" i="2"/>
  <c r="P174" i="2" s="1"/>
  <c r="U174" i="2" s="1"/>
  <c r="N174" i="2"/>
  <c r="U173" i="2"/>
  <c r="T173" i="2"/>
  <c r="S173" i="2"/>
  <c r="R173" i="2"/>
  <c r="Q173" i="2"/>
  <c r="P173" i="2"/>
  <c r="O173" i="2"/>
  <c r="N173" i="2"/>
  <c r="S172" i="2"/>
  <c r="R172" i="2"/>
  <c r="Q172" i="2"/>
  <c r="P172" i="2"/>
  <c r="U172" i="2" s="1"/>
  <c r="O172" i="2"/>
  <c r="T172" i="2" s="1"/>
  <c r="N172" i="2"/>
  <c r="T171" i="2"/>
  <c r="S171" i="2"/>
  <c r="R171" i="2"/>
  <c r="Q171" i="2"/>
  <c r="O171" i="2"/>
  <c r="P171" i="2" s="1"/>
  <c r="U171" i="2" s="1"/>
  <c r="N171" i="2"/>
  <c r="U170" i="2"/>
  <c r="T170" i="2"/>
  <c r="S170" i="2"/>
  <c r="R170" i="2"/>
  <c r="Q170" i="2"/>
  <c r="P170" i="2"/>
  <c r="O170" i="2"/>
  <c r="N170" i="2"/>
  <c r="S169" i="2"/>
  <c r="R169" i="2"/>
  <c r="Q169" i="2"/>
  <c r="P169" i="2"/>
  <c r="U169" i="2" s="1"/>
  <c r="O169" i="2"/>
  <c r="T169" i="2" s="1"/>
  <c r="N169" i="2"/>
  <c r="T168" i="2"/>
  <c r="S168" i="2"/>
  <c r="R168" i="2"/>
  <c r="Q168" i="2"/>
  <c r="O168" i="2"/>
  <c r="P168" i="2" s="1"/>
  <c r="U168" i="2" s="1"/>
  <c r="N168" i="2"/>
  <c r="U167" i="2"/>
  <c r="T167" i="2"/>
  <c r="S167" i="2"/>
  <c r="R167" i="2"/>
  <c r="Q167" i="2"/>
  <c r="P167" i="2"/>
  <c r="O167" i="2"/>
  <c r="N167" i="2"/>
  <c r="S166" i="2"/>
  <c r="R166" i="2"/>
  <c r="Q166" i="2"/>
  <c r="P166" i="2"/>
  <c r="U166" i="2" s="1"/>
  <c r="O166" i="2"/>
  <c r="T166" i="2" s="1"/>
  <c r="N166" i="2"/>
  <c r="T165" i="2"/>
  <c r="S165" i="2"/>
  <c r="R165" i="2"/>
  <c r="Q165" i="2"/>
  <c r="O165" i="2"/>
  <c r="P165" i="2" s="1"/>
  <c r="U165" i="2" s="1"/>
  <c r="N165" i="2"/>
  <c r="U164" i="2"/>
  <c r="T164" i="2"/>
  <c r="S164" i="2"/>
  <c r="R164" i="2"/>
  <c r="Q164" i="2"/>
  <c r="P164" i="2"/>
  <c r="O164" i="2"/>
  <c r="N164" i="2"/>
  <c r="S163" i="2"/>
  <c r="R163" i="2"/>
  <c r="Q163" i="2"/>
  <c r="P163" i="2"/>
  <c r="U163" i="2" s="1"/>
  <c r="O163" i="2"/>
  <c r="T163" i="2" s="1"/>
  <c r="N163" i="2"/>
  <c r="T162" i="2"/>
  <c r="S162" i="2"/>
  <c r="R162" i="2"/>
  <c r="Q162" i="2"/>
  <c r="O162" i="2"/>
  <c r="P162" i="2" s="1"/>
  <c r="U162" i="2" s="1"/>
  <c r="N162" i="2"/>
  <c r="U161" i="2"/>
  <c r="T161" i="2"/>
  <c r="S161" i="2"/>
  <c r="R161" i="2"/>
  <c r="Q161" i="2"/>
  <c r="P161" i="2"/>
  <c r="O161" i="2"/>
  <c r="N161" i="2"/>
  <c r="S160" i="2"/>
  <c r="R160" i="2"/>
  <c r="Q160" i="2"/>
  <c r="P160" i="2"/>
  <c r="U160" i="2" s="1"/>
  <c r="O160" i="2"/>
  <c r="T160" i="2" s="1"/>
  <c r="N160" i="2"/>
  <c r="T159" i="2"/>
  <c r="S159" i="2"/>
  <c r="R159" i="2"/>
  <c r="Q159" i="2"/>
  <c r="O159" i="2"/>
  <c r="P159" i="2" s="1"/>
  <c r="U159" i="2" s="1"/>
  <c r="N159" i="2"/>
  <c r="U158" i="2"/>
  <c r="T158" i="2"/>
  <c r="S158" i="2"/>
  <c r="R158" i="2"/>
  <c r="Q158" i="2"/>
  <c r="P158" i="2"/>
  <c r="O158" i="2"/>
  <c r="N158" i="2"/>
  <c r="S157" i="2"/>
  <c r="R157" i="2"/>
  <c r="Q157" i="2"/>
  <c r="P157" i="2"/>
  <c r="U157" i="2" s="1"/>
  <c r="O157" i="2"/>
  <c r="T157" i="2" s="1"/>
  <c r="N157" i="2"/>
  <c r="T156" i="2"/>
  <c r="S156" i="2"/>
  <c r="R156" i="2"/>
  <c r="Q156" i="2"/>
  <c r="O156" i="2"/>
  <c r="P156" i="2" s="1"/>
  <c r="U156" i="2" s="1"/>
  <c r="N156" i="2"/>
  <c r="U155" i="2"/>
  <c r="T155" i="2"/>
  <c r="S155" i="2"/>
  <c r="R155" i="2"/>
  <c r="Q155" i="2"/>
  <c r="P155" i="2"/>
  <c r="O155" i="2"/>
  <c r="N155" i="2"/>
  <c r="S154" i="2"/>
  <c r="R154" i="2"/>
  <c r="Q154" i="2"/>
  <c r="P154" i="2"/>
  <c r="U154" i="2" s="1"/>
  <c r="O154" i="2"/>
  <c r="T154" i="2" s="1"/>
  <c r="N154" i="2"/>
  <c r="T153" i="2"/>
  <c r="S153" i="2"/>
  <c r="R153" i="2"/>
  <c r="Q153" i="2"/>
  <c r="O153" i="2"/>
  <c r="P153" i="2" s="1"/>
  <c r="U153" i="2" s="1"/>
  <c r="N153" i="2"/>
  <c r="U152" i="2"/>
  <c r="T152" i="2"/>
  <c r="S152" i="2"/>
  <c r="R152" i="2"/>
  <c r="Q152" i="2"/>
  <c r="P152" i="2"/>
  <c r="O152" i="2"/>
  <c r="N152" i="2"/>
  <c r="S151" i="2"/>
  <c r="R151" i="2"/>
  <c r="Q151" i="2"/>
  <c r="P151" i="2"/>
  <c r="U151" i="2" s="1"/>
  <c r="O151" i="2"/>
  <c r="T151" i="2" s="1"/>
  <c r="N151" i="2"/>
  <c r="T150" i="2"/>
  <c r="S150" i="2"/>
  <c r="R150" i="2"/>
  <c r="Q150" i="2"/>
  <c r="O150" i="2"/>
  <c r="P150" i="2" s="1"/>
  <c r="U150" i="2" s="1"/>
  <c r="N150" i="2"/>
  <c r="U149" i="2"/>
  <c r="T149" i="2"/>
  <c r="S149" i="2"/>
  <c r="R149" i="2"/>
  <c r="Q149" i="2"/>
  <c r="P149" i="2"/>
  <c r="O149" i="2"/>
  <c r="N149" i="2"/>
  <c r="S148" i="2"/>
  <c r="R148" i="2"/>
  <c r="Q148" i="2"/>
  <c r="P148" i="2"/>
  <c r="U148" i="2" s="1"/>
  <c r="O148" i="2"/>
  <c r="T148" i="2" s="1"/>
  <c r="N148" i="2"/>
  <c r="T147" i="2"/>
  <c r="S147" i="2"/>
  <c r="R147" i="2"/>
  <c r="Q147" i="2"/>
  <c r="O147" i="2"/>
  <c r="P147" i="2" s="1"/>
  <c r="U147" i="2" s="1"/>
  <c r="N147" i="2"/>
  <c r="U146" i="2"/>
  <c r="T146" i="2"/>
  <c r="S146" i="2"/>
  <c r="R146" i="2"/>
  <c r="Q146" i="2"/>
  <c r="P146" i="2"/>
  <c r="O146" i="2"/>
  <c r="N146" i="2"/>
  <c r="S145" i="2"/>
  <c r="R145" i="2"/>
  <c r="Q145" i="2"/>
  <c r="P145" i="2"/>
  <c r="U145" i="2" s="1"/>
  <c r="O145" i="2"/>
  <c r="T145" i="2" s="1"/>
  <c r="N145" i="2"/>
  <c r="T144" i="2"/>
  <c r="S144" i="2"/>
  <c r="R144" i="2"/>
  <c r="Q144" i="2"/>
  <c r="O144" i="2"/>
  <c r="P144" i="2" s="1"/>
  <c r="U144" i="2" s="1"/>
  <c r="N144" i="2"/>
  <c r="U143" i="2"/>
  <c r="T143" i="2"/>
  <c r="S143" i="2"/>
  <c r="R143" i="2"/>
  <c r="Q143" i="2"/>
  <c r="P143" i="2"/>
  <c r="O143" i="2"/>
  <c r="N143" i="2"/>
  <c r="S142" i="2"/>
  <c r="R142" i="2"/>
  <c r="Q142" i="2"/>
  <c r="P142" i="2"/>
  <c r="U142" i="2" s="1"/>
  <c r="O142" i="2"/>
  <c r="T142" i="2" s="1"/>
  <c r="N142" i="2"/>
  <c r="T141" i="2"/>
  <c r="S141" i="2"/>
  <c r="R141" i="2"/>
  <c r="Q141" i="2"/>
  <c r="O141" i="2"/>
  <c r="P141" i="2" s="1"/>
  <c r="U141" i="2" s="1"/>
  <c r="N141" i="2"/>
  <c r="U140" i="2"/>
  <c r="T140" i="2"/>
  <c r="S140" i="2"/>
  <c r="R140" i="2"/>
  <c r="Q140" i="2"/>
  <c r="P140" i="2"/>
  <c r="O140" i="2"/>
  <c r="N140" i="2"/>
  <c r="S139" i="2"/>
  <c r="R139" i="2"/>
  <c r="Q139" i="2"/>
  <c r="P139" i="2"/>
  <c r="U139" i="2" s="1"/>
  <c r="O139" i="2"/>
  <c r="T139" i="2" s="1"/>
  <c r="N139" i="2"/>
  <c r="T138" i="2"/>
  <c r="S138" i="2"/>
  <c r="R138" i="2"/>
  <c r="Q138" i="2"/>
  <c r="O138" i="2"/>
  <c r="P138" i="2" s="1"/>
  <c r="U138" i="2" s="1"/>
  <c r="N138" i="2"/>
  <c r="U137" i="2"/>
  <c r="T137" i="2"/>
  <c r="S137" i="2"/>
  <c r="R137" i="2"/>
  <c r="Q137" i="2"/>
  <c r="P137" i="2"/>
  <c r="O137" i="2"/>
  <c r="N137" i="2"/>
  <c r="S136" i="2"/>
  <c r="R136" i="2"/>
  <c r="Q136" i="2"/>
  <c r="P136" i="2"/>
  <c r="U136" i="2" s="1"/>
  <c r="O136" i="2"/>
  <c r="T136" i="2" s="1"/>
  <c r="N136" i="2"/>
  <c r="T135" i="2"/>
  <c r="S135" i="2"/>
  <c r="R135" i="2"/>
  <c r="Q135" i="2"/>
  <c r="O135" i="2"/>
  <c r="P135" i="2" s="1"/>
  <c r="U135" i="2" s="1"/>
  <c r="N135" i="2"/>
  <c r="U134" i="2"/>
  <c r="T134" i="2"/>
  <c r="S134" i="2"/>
  <c r="R134" i="2"/>
  <c r="Q134" i="2"/>
  <c r="P134" i="2"/>
  <c r="O134" i="2"/>
  <c r="N134" i="2"/>
  <c r="S133" i="2"/>
  <c r="R133" i="2"/>
  <c r="Q133" i="2"/>
  <c r="P133" i="2"/>
  <c r="U133" i="2" s="1"/>
  <c r="O133" i="2"/>
  <c r="T133" i="2" s="1"/>
  <c r="N133" i="2"/>
  <c r="T132" i="2"/>
  <c r="S132" i="2"/>
  <c r="R132" i="2"/>
  <c r="Q132" i="2"/>
  <c r="O132" i="2"/>
  <c r="P132" i="2" s="1"/>
  <c r="U132" i="2" s="1"/>
  <c r="N132" i="2"/>
  <c r="U131" i="2"/>
  <c r="T131" i="2"/>
  <c r="S131" i="2"/>
  <c r="R131" i="2"/>
  <c r="Q131" i="2"/>
  <c r="P131" i="2"/>
  <c r="O131" i="2"/>
  <c r="N131" i="2"/>
  <c r="S130" i="2"/>
  <c r="R130" i="2"/>
  <c r="Q130" i="2"/>
  <c r="P130" i="2"/>
  <c r="U130" i="2" s="1"/>
  <c r="O130" i="2"/>
  <c r="T130" i="2" s="1"/>
  <c r="N130" i="2"/>
  <c r="T129" i="2"/>
  <c r="S129" i="2"/>
  <c r="R129" i="2"/>
  <c r="Q129" i="2"/>
  <c r="O129" i="2"/>
  <c r="P129" i="2" s="1"/>
  <c r="U129" i="2" s="1"/>
  <c r="N129" i="2"/>
  <c r="U128" i="2"/>
  <c r="T128" i="2"/>
  <c r="S128" i="2"/>
  <c r="R128" i="2"/>
  <c r="Q128" i="2"/>
  <c r="P128" i="2"/>
  <c r="O128" i="2"/>
  <c r="N128" i="2"/>
  <c r="S127" i="2"/>
  <c r="R127" i="2"/>
  <c r="Q127" i="2"/>
  <c r="P127" i="2"/>
  <c r="U127" i="2" s="1"/>
  <c r="O127" i="2"/>
  <c r="T127" i="2" s="1"/>
  <c r="N127" i="2"/>
  <c r="T126" i="2"/>
  <c r="S126" i="2"/>
  <c r="R126" i="2"/>
  <c r="Q126" i="2"/>
  <c r="O126" i="2"/>
  <c r="P126" i="2" s="1"/>
  <c r="U126" i="2" s="1"/>
  <c r="N126" i="2"/>
  <c r="U125" i="2"/>
  <c r="T125" i="2"/>
  <c r="S125" i="2"/>
  <c r="R125" i="2"/>
  <c r="Q125" i="2"/>
  <c r="P125" i="2"/>
  <c r="O125" i="2"/>
  <c r="N125" i="2"/>
  <c r="S124" i="2"/>
  <c r="R124" i="2"/>
  <c r="Q124" i="2"/>
  <c r="P124" i="2"/>
  <c r="U124" i="2" s="1"/>
  <c r="O124" i="2"/>
  <c r="T124" i="2" s="1"/>
  <c r="N124" i="2"/>
  <c r="T123" i="2"/>
  <c r="S123" i="2"/>
  <c r="R123" i="2"/>
  <c r="Q123" i="2"/>
  <c r="O123" i="2"/>
  <c r="P123" i="2" s="1"/>
  <c r="U123" i="2" s="1"/>
  <c r="N123" i="2"/>
  <c r="U122" i="2"/>
  <c r="T122" i="2"/>
  <c r="S122" i="2"/>
  <c r="R122" i="2"/>
  <c r="Q122" i="2"/>
  <c r="P122" i="2"/>
  <c r="O122" i="2"/>
  <c r="N122" i="2"/>
  <c r="S121" i="2"/>
  <c r="R121" i="2"/>
  <c r="Q121" i="2"/>
  <c r="P121" i="2"/>
  <c r="U121" i="2" s="1"/>
  <c r="O121" i="2"/>
  <c r="T121" i="2" s="1"/>
  <c r="N121" i="2"/>
  <c r="T120" i="2"/>
  <c r="S120" i="2"/>
  <c r="R120" i="2"/>
  <c r="Q120" i="2"/>
  <c r="O120" i="2"/>
  <c r="P120" i="2" s="1"/>
  <c r="U120" i="2" s="1"/>
  <c r="N120" i="2"/>
  <c r="U119" i="2"/>
  <c r="T119" i="2"/>
  <c r="S119" i="2"/>
  <c r="R119" i="2"/>
  <c r="Q119" i="2"/>
  <c r="P119" i="2"/>
  <c r="O119" i="2"/>
  <c r="N119" i="2"/>
  <c r="S118" i="2"/>
  <c r="R118" i="2"/>
  <c r="Q118" i="2"/>
  <c r="P118" i="2"/>
  <c r="U118" i="2" s="1"/>
  <c r="O118" i="2"/>
  <c r="T118" i="2" s="1"/>
  <c r="N118" i="2"/>
  <c r="T117" i="2"/>
  <c r="S117" i="2"/>
  <c r="R117" i="2"/>
  <c r="Q117" i="2"/>
  <c r="O117" i="2"/>
  <c r="P117" i="2" s="1"/>
  <c r="U117" i="2" s="1"/>
  <c r="N117" i="2"/>
  <c r="U116" i="2"/>
  <c r="T116" i="2"/>
  <c r="S116" i="2"/>
  <c r="R116" i="2"/>
  <c r="Q116" i="2"/>
  <c r="P116" i="2"/>
  <c r="O116" i="2"/>
  <c r="N116" i="2"/>
  <c r="S115" i="2"/>
  <c r="R115" i="2"/>
  <c r="Q115" i="2"/>
  <c r="P115" i="2"/>
  <c r="U115" i="2" s="1"/>
  <c r="O115" i="2"/>
  <c r="T115" i="2" s="1"/>
  <c r="N115" i="2"/>
  <c r="T114" i="2"/>
  <c r="S114" i="2"/>
  <c r="R114" i="2"/>
  <c r="Q114" i="2"/>
  <c r="O114" i="2"/>
  <c r="P114" i="2" s="1"/>
  <c r="U114" i="2" s="1"/>
  <c r="N114" i="2"/>
  <c r="U113" i="2"/>
  <c r="T113" i="2"/>
  <c r="S113" i="2"/>
  <c r="R113" i="2"/>
  <c r="Q113" i="2"/>
  <c r="P113" i="2"/>
  <c r="O113" i="2"/>
  <c r="N113" i="2"/>
  <c r="S112" i="2"/>
  <c r="R112" i="2"/>
  <c r="Q112" i="2"/>
  <c r="P112" i="2"/>
  <c r="U112" i="2" s="1"/>
  <c r="O112" i="2"/>
  <c r="T112" i="2" s="1"/>
  <c r="N112" i="2"/>
  <c r="T111" i="2"/>
  <c r="S111" i="2"/>
  <c r="R111" i="2"/>
  <c r="Q111" i="2"/>
  <c r="O111" i="2"/>
  <c r="P111" i="2" s="1"/>
  <c r="U111" i="2" s="1"/>
  <c r="N111" i="2"/>
  <c r="U110" i="2"/>
  <c r="T110" i="2"/>
  <c r="S110" i="2"/>
  <c r="R110" i="2"/>
  <c r="Q110" i="2"/>
  <c r="P110" i="2"/>
  <c r="O110" i="2"/>
  <c r="N110" i="2"/>
  <c r="S109" i="2"/>
  <c r="R109" i="2"/>
  <c r="Q109" i="2"/>
  <c r="P109" i="2"/>
  <c r="U109" i="2" s="1"/>
  <c r="O109" i="2"/>
  <c r="T109" i="2" s="1"/>
  <c r="N109" i="2"/>
  <c r="T108" i="2"/>
  <c r="S108" i="2"/>
  <c r="R108" i="2"/>
  <c r="Q108" i="2"/>
  <c r="O108" i="2"/>
  <c r="P108" i="2" s="1"/>
  <c r="U108" i="2" s="1"/>
  <c r="N108" i="2"/>
  <c r="U107" i="2"/>
  <c r="T107" i="2"/>
  <c r="S107" i="2"/>
  <c r="R107" i="2"/>
  <c r="Q107" i="2"/>
  <c r="P107" i="2"/>
  <c r="O107" i="2"/>
  <c r="N107" i="2"/>
  <c r="S106" i="2"/>
  <c r="R106" i="2"/>
  <c r="Q106" i="2"/>
  <c r="P106" i="2"/>
  <c r="U106" i="2" s="1"/>
  <c r="O106" i="2"/>
  <c r="T106" i="2" s="1"/>
  <c r="N106" i="2"/>
  <c r="T105" i="2"/>
  <c r="S105" i="2"/>
  <c r="R105" i="2"/>
  <c r="Q105" i="2"/>
  <c r="O105" i="2"/>
  <c r="P105" i="2" s="1"/>
  <c r="U105" i="2" s="1"/>
  <c r="N105" i="2"/>
  <c r="U104" i="2"/>
  <c r="T104" i="2"/>
  <c r="S104" i="2"/>
  <c r="R104" i="2"/>
  <c r="Q104" i="2"/>
  <c r="P104" i="2"/>
  <c r="O104" i="2"/>
  <c r="N104" i="2"/>
  <c r="S103" i="2"/>
  <c r="R103" i="2"/>
  <c r="Q103" i="2"/>
  <c r="P103" i="2"/>
  <c r="U103" i="2" s="1"/>
  <c r="O103" i="2"/>
  <c r="T103" i="2" s="1"/>
  <c r="N103" i="2"/>
  <c r="T102" i="2"/>
  <c r="S102" i="2"/>
  <c r="R102" i="2"/>
  <c r="Q102" i="2"/>
  <c r="O102" i="2"/>
  <c r="P102" i="2" s="1"/>
  <c r="U102" i="2" s="1"/>
  <c r="N102" i="2"/>
  <c r="U101" i="2"/>
  <c r="T101" i="2"/>
  <c r="S101" i="2"/>
  <c r="R101" i="2"/>
  <c r="Q101" i="2"/>
  <c r="P101" i="2"/>
  <c r="O101" i="2"/>
  <c r="N101" i="2"/>
  <c r="S100" i="2"/>
  <c r="R100" i="2"/>
  <c r="Q100" i="2"/>
  <c r="P100" i="2"/>
  <c r="U100" i="2" s="1"/>
  <c r="O100" i="2"/>
  <c r="T100" i="2" s="1"/>
  <c r="N100" i="2"/>
  <c r="T99" i="2"/>
  <c r="S99" i="2"/>
  <c r="R99" i="2"/>
  <c r="Q99" i="2"/>
  <c r="O99" i="2"/>
  <c r="P99" i="2" s="1"/>
  <c r="U99" i="2" s="1"/>
  <c r="N99" i="2"/>
  <c r="U98" i="2"/>
  <c r="T98" i="2"/>
  <c r="S98" i="2"/>
  <c r="R98" i="2"/>
  <c r="Q98" i="2"/>
  <c r="P98" i="2"/>
  <c r="O98" i="2"/>
  <c r="N98" i="2"/>
  <c r="S97" i="2"/>
  <c r="R97" i="2"/>
  <c r="Q97" i="2"/>
  <c r="P97" i="2"/>
  <c r="U97" i="2" s="1"/>
  <c r="O97" i="2"/>
  <c r="T97" i="2" s="1"/>
  <c r="N97" i="2"/>
  <c r="T96" i="2"/>
  <c r="S96" i="2"/>
  <c r="R96" i="2"/>
  <c r="Q96" i="2"/>
  <c r="O96" i="2"/>
  <c r="P96" i="2" s="1"/>
  <c r="U96" i="2" s="1"/>
  <c r="N96" i="2"/>
  <c r="T95" i="2"/>
  <c r="S95" i="2"/>
  <c r="R95" i="2"/>
  <c r="Q95" i="2"/>
  <c r="P95" i="2"/>
  <c r="U95" i="2" s="1"/>
  <c r="O95" i="2"/>
  <c r="N95" i="2"/>
  <c r="S94" i="2"/>
  <c r="R94" i="2"/>
  <c r="Q94" i="2"/>
  <c r="P94" i="2"/>
  <c r="U94" i="2" s="1"/>
  <c r="O94" i="2"/>
  <c r="T94" i="2" s="1"/>
  <c r="N94" i="2"/>
  <c r="T93" i="2"/>
  <c r="S93" i="2"/>
  <c r="R93" i="2"/>
  <c r="Q93" i="2"/>
  <c r="O93" i="2"/>
  <c r="P93" i="2" s="1"/>
  <c r="U93" i="2" s="1"/>
  <c r="N93" i="2"/>
  <c r="U92" i="2"/>
  <c r="T92" i="2"/>
  <c r="S92" i="2"/>
  <c r="R92" i="2"/>
  <c r="Q92" i="2"/>
  <c r="P92" i="2"/>
  <c r="O92" i="2"/>
  <c r="N92" i="2"/>
  <c r="S91" i="2"/>
  <c r="R91" i="2"/>
  <c r="Q91" i="2"/>
  <c r="P91" i="2"/>
  <c r="U91" i="2" s="1"/>
  <c r="O91" i="2"/>
  <c r="T91" i="2" s="1"/>
  <c r="N91" i="2"/>
  <c r="T90" i="2"/>
  <c r="S90" i="2"/>
  <c r="R90" i="2"/>
  <c r="Q90" i="2"/>
  <c r="O90" i="2"/>
  <c r="P90" i="2" s="1"/>
  <c r="U90" i="2" s="1"/>
  <c r="N90" i="2"/>
  <c r="U89" i="2"/>
  <c r="T89" i="2"/>
  <c r="S89" i="2"/>
  <c r="R89" i="2"/>
  <c r="Q89" i="2"/>
  <c r="P89" i="2"/>
  <c r="O89" i="2"/>
  <c r="N89" i="2"/>
  <c r="S88" i="2"/>
  <c r="R88" i="2"/>
  <c r="Q88" i="2"/>
  <c r="P88" i="2"/>
  <c r="U88" i="2" s="1"/>
  <c r="O88" i="2"/>
  <c r="T88" i="2" s="1"/>
  <c r="N88" i="2"/>
  <c r="T87" i="2"/>
  <c r="S87" i="2"/>
  <c r="R87" i="2"/>
  <c r="Q87" i="2"/>
  <c r="O87" i="2"/>
  <c r="P87" i="2" s="1"/>
  <c r="U87" i="2" s="1"/>
  <c r="N87" i="2"/>
  <c r="T86" i="2"/>
  <c r="S86" i="2"/>
  <c r="R86" i="2"/>
  <c r="Q86" i="2"/>
  <c r="P86" i="2"/>
  <c r="U86" i="2" s="1"/>
  <c r="O86" i="2"/>
  <c r="N86" i="2"/>
  <c r="S85" i="2"/>
  <c r="R85" i="2"/>
  <c r="Q85" i="2"/>
  <c r="P85" i="2"/>
  <c r="U85" i="2" s="1"/>
  <c r="O85" i="2"/>
  <c r="T85" i="2" s="1"/>
  <c r="N85" i="2"/>
  <c r="T84" i="2"/>
  <c r="S84" i="2"/>
  <c r="R84" i="2"/>
  <c r="Q84" i="2"/>
  <c r="O84" i="2"/>
  <c r="P84" i="2" s="1"/>
  <c r="U84" i="2" s="1"/>
  <c r="N84" i="2"/>
  <c r="U83" i="2"/>
  <c r="T83" i="2"/>
  <c r="S83" i="2"/>
  <c r="R83" i="2"/>
  <c r="Q83" i="2"/>
  <c r="P83" i="2"/>
  <c r="O83" i="2"/>
  <c r="N83" i="2"/>
  <c r="S82" i="2"/>
  <c r="R82" i="2"/>
  <c r="Q82" i="2"/>
  <c r="P82" i="2"/>
  <c r="U82" i="2" s="1"/>
  <c r="O82" i="2"/>
  <c r="T82" i="2" s="1"/>
  <c r="N82" i="2"/>
  <c r="T81" i="2"/>
  <c r="S81" i="2"/>
  <c r="R81" i="2"/>
  <c r="Q81" i="2"/>
  <c r="O81" i="2"/>
  <c r="P81" i="2" s="1"/>
  <c r="U81" i="2" s="1"/>
  <c r="N81" i="2"/>
  <c r="U80" i="2"/>
  <c r="T80" i="2"/>
  <c r="S80" i="2"/>
  <c r="R80" i="2"/>
  <c r="Q80" i="2"/>
  <c r="P80" i="2"/>
  <c r="O80" i="2"/>
  <c r="N80" i="2"/>
  <c r="S79" i="2"/>
  <c r="R79" i="2"/>
  <c r="Q79" i="2"/>
  <c r="P79" i="2"/>
  <c r="U79" i="2" s="1"/>
  <c r="O79" i="2"/>
  <c r="T79" i="2" s="1"/>
  <c r="N79" i="2"/>
  <c r="T78" i="2"/>
  <c r="S78" i="2"/>
  <c r="R78" i="2"/>
  <c r="Q78" i="2"/>
  <c r="O78" i="2"/>
  <c r="P78" i="2" s="1"/>
  <c r="U78" i="2" s="1"/>
  <c r="N78" i="2"/>
  <c r="T77" i="2"/>
  <c r="S77" i="2"/>
  <c r="R77" i="2"/>
  <c r="Q77" i="2"/>
  <c r="P77" i="2"/>
  <c r="U77" i="2" s="1"/>
  <c r="O77" i="2"/>
  <c r="N77" i="2"/>
  <c r="S76" i="2"/>
  <c r="R76" i="2"/>
  <c r="Q76" i="2"/>
  <c r="P76" i="2"/>
  <c r="U76" i="2" s="1"/>
  <c r="O76" i="2"/>
  <c r="T76" i="2" s="1"/>
  <c r="N76" i="2"/>
  <c r="T75" i="2"/>
  <c r="S75" i="2"/>
  <c r="R75" i="2"/>
  <c r="Q75" i="2"/>
  <c r="O75" i="2"/>
  <c r="P75" i="2" s="1"/>
  <c r="U75" i="2" s="1"/>
  <c r="N75" i="2"/>
  <c r="U74" i="2"/>
  <c r="T74" i="2"/>
  <c r="S74" i="2"/>
  <c r="R74" i="2"/>
  <c r="Q74" i="2"/>
  <c r="P74" i="2"/>
  <c r="O74" i="2"/>
  <c r="N74" i="2"/>
  <c r="S73" i="2"/>
  <c r="R73" i="2"/>
  <c r="Q73" i="2"/>
  <c r="P73" i="2"/>
  <c r="U73" i="2" s="1"/>
  <c r="O73" i="2"/>
  <c r="T73" i="2" s="1"/>
  <c r="N73" i="2"/>
  <c r="T72" i="2"/>
  <c r="S72" i="2"/>
  <c r="R72" i="2"/>
  <c r="Q72" i="2"/>
  <c r="O72" i="2"/>
  <c r="P72" i="2" s="1"/>
  <c r="U72" i="2" s="1"/>
  <c r="N72" i="2"/>
  <c r="U71" i="2"/>
  <c r="T71" i="2"/>
  <c r="S71" i="2"/>
  <c r="R71" i="2"/>
  <c r="Q71" i="2"/>
  <c r="P71" i="2"/>
  <c r="O71" i="2"/>
  <c r="N71" i="2"/>
  <c r="S70" i="2"/>
  <c r="R70" i="2"/>
  <c r="Q70" i="2"/>
  <c r="P70" i="2"/>
  <c r="U70" i="2" s="1"/>
  <c r="O70" i="2"/>
  <c r="T70" i="2" s="1"/>
  <c r="N70" i="2"/>
  <c r="T69" i="2"/>
  <c r="S69" i="2"/>
  <c r="R69" i="2"/>
  <c r="Q69" i="2"/>
  <c r="O69" i="2"/>
  <c r="P69" i="2" s="1"/>
  <c r="U69" i="2" s="1"/>
  <c r="N69" i="2"/>
  <c r="T68" i="2"/>
  <c r="S68" i="2"/>
  <c r="R68" i="2"/>
  <c r="Q68" i="2"/>
  <c r="P68" i="2"/>
  <c r="U68" i="2" s="1"/>
  <c r="O68" i="2"/>
  <c r="N68" i="2"/>
  <c r="S67" i="2"/>
  <c r="R67" i="2"/>
  <c r="Q67" i="2"/>
  <c r="O67" i="2"/>
  <c r="T67" i="2" s="1"/>
  <c r="N67" i="2"/>
  <c r="U66" i="2"/>
  <c r="S66" i="2"/>
  <c r="R66" i="2"/>
  <c r="Q66" i="2"/>
  <c r="O66" i="2"/>
  <c r="P66" i="2" s="1"/>
  <c r="N66" i="2"/>
  <c r="U65" i="2"/>
  <c r="T65" i="2"/>
  <c r="S65" i="2"/>
  <c r="R65" i="2"/>
  <c r="Q65" i="2"/>
  <c r="P65" i="2"/>
  <c r="O65" i="2"/>
  <c r="N65" i="2"/>
  <c r="S64" i="2"/>
  <c r="R64" i="2"/>
  <c r="Q64" i="2"/>
  <c r="O64" i="2"/>
  <c r="T64" i="2" s="1"/>
  <c r="N64" i="2"/>
  <c r="S63" i="2"/>
  <c r="R63" i="2"/>
  <c r="Q63" i="2"/>
  <c r="P63" i="2"/>
  <c r="U63" i="2" s="1"/>
  <c r="O63" i="2"/>
  <c r="T63" i="2" s="1"/>
  <c r="N63" i="2"/>
  <c r="U62" i="2"/>
  <c r="T62" i="2"/>
  <c r="S62" i="2"/>
  <c r="R62" i="2"/>
  <c r="Q62" i="2"/>
  <c r="P62" i="2"/>
  <c r="O62" i="2"/>
  <c r="N62" i="2"/>
  <c r="S61" i="2"/>
  <c r="R61" i="2"/>
  <c r="Q61" i="2"/>
  <c r="O61" i="2"/>
  <c r="T61" i="2" s="1"/>
  <c r="N61" i="2"/>
  <c r="S60" i="2"/>
  <c r="R60" i="2"/>
  <c r="Q60" i="2"/>
  <c r="P60" i="2"/>
  <c r="U60" i="2" s="1"/>
  <c r="O60" i="2"/>
  <c r="T60" i="2" s="1"/>
  <c r="N60" i="2"/>
  <c r="U59" i="2"/>
  <c r="T59" i="2"/>
  <c r="S59" i="2"/>
  <c r="R59" i="2"/>
  <c r="Q59" i="2"/>
  <c r="P59" i="2"/>
  <c r="O59" i="2"/>
  <c r="N59" i="2"/>
  <c r="S58" i="2"/>
  <c r="R58" i="2"/>
  <c r="Q58" i="2"/>
  <c r="O58" i="2"/>
  <c r="T58" i="2" s="1"/>
  <c r="N58" i="2"/>
  <c r="S57" i="2"/>
  <c r="R57" i="2"/>
  <c r="Q57" i="2"/>
  <c r="P57" i="2"/>
  <c r="U57" i="2" s="1"/>
  <c r="O57" i="2"/>
  <c r="T57" i="2" s="1"/>
  <c r="N57" i="2"/>
  <c r="U56" i="2"/>
  <c r="T56" i="2"/>
  <c r="S56" i="2"/>
  <c r="R56" i="2"/>
  <c r="Q56" i="2"/>
  <c r="P56" i="2"/>
  <c r="O56" i="2"/>
  <c r="N56" i="2"/>
  <c r="S55" i="2"/>
  <c r="R55" i="2"/>
  <c r="Q55" i="2"/>
  <c r="O55" i="2"/>
  <c r="T55" i="2" s="1"/>
  <c r="N55" i="2"/>
  <c r="S54" i="2"/>
  <c r="R54" i="2"/>
  <c r="Q54" i="2"/>
  <c r="P54" i="2"/>
  <c r="U54" i="2" s="1"/>
  <c r="O54" i="2"/>
  <c r="T54" i="2" s="1"/>
  <c r="N54" i="2"/>
  <c r="U53" i="2"/>
  <c r="T53" i="2"/>
  <c r="S53" i="2"/>
  <c r="R53" i="2"/>
  <c r="Q53" i="2"/>
  <c r="P53" i="2"/>
  <c r="O53" i="2"/>
  <c r="N53" i="2"/>
  <c r="S52" i="2"/>
  <c r="R52" i="2"/>
  <c r="Q52" i="2"/>
  <c r="O52" i="2"/>
  <c r="T52" i="2" s="1"/>
  <c r="N52" i="2"/>
  <c r="S51" i="2"/>
  <c r="R51" i="2"/>
  <c r="Q51" i="2"/>
  <c r="P51" i="2"/>
  <c r="U51" i="2" s="1"/>
  <c r="O51" i="2"/>
  <c r="T51" i="2" s="1"/>
  <c r="N51" i="2"/>
  <c r="U50" i="2"/>
  <c r="T50" i="2"/>
  <c r="S50" i="2"/>
  <c r="R50" i="2"/>
  <c r="Q50" i="2"/>
  <c r="P50" i="2"/>
  <c r="O50" i="2"/>
  <c r="N50" i="2"/>
  <c r="S49" i="2"/>
  <c r="R49" i="2"/>
  <c r="Q49" i="2"/>
  <c r="O49" i="2"/>
  <c r="T49" i="2" s="1"/>
  <c r="N49" i="2"/>
  <c r="T48" i="2"/>
  <c r="S48" i="2"/>
  <c r="R48" i="2"/>
  <c r="Q48" i="2"/>
  <c r="P48" i="2"/>
  <c r="U48" i="2" s="1"/>
  <c r="O48" i="2"/>
  <c r="N48" i="2"/>
  <c r="U47" i="2"/>
  <c r="T47" i="2"/>
  <c r="S47" i="2"/>
  <c r="R47" i="2"/>
  <c r="Q47" i="2"/>
  <c r="P47" i="2"/>
  <c r="O47" i="2"/>
  <c r="N47" i="2"/>
  <c r="S46" i="2"/>
  <c r="R46" i="2"/>
  <c r="Q46" i="2"/>
  <c r="O46" i="2"/>
  <c r="T46" i="2" s="1"/>
  <c r="N46" i="2"/>
  <c r="T45" i="2"/>
  <c r="S45" i="2"/>
  <c r="R45" i="2"/>
  <c r="Q45" i="2"/>
  <c r="P45" i="2"/>
  <c r="U45" i="2" s="1"/>
  <c r="O45" i="2"/>
  <c r="N45" i="2"/>
  <c r="U44" i="2"/>
  <c r="T44" i="2"/>
  <c r="S44" i="2"/>
  <c r="R44" i="2"/>
  <c r="Q44" i="2"/>
  <c r="P44" i="2"/>
  <c r="O44" i="2"/>
  <c r="N44" i="2"/>
  <c r="S43" i="2"/>
  <c r="R43" i="2"/>
  <c r="Q43" i="2"/>
  <c r="O43" i="2"/>
  <c r="T43" i="2" s="1"/>
  <c r="N43" i="2"/>
  <c r="T42" i="2"/>
  <c r="S42" i="2"/>
  <c r="R42" i="2"/>
  <c r="Q42" i="2"/>
  <c r="P42" i="2"/>
  <c r="U42" i="2" s="1"/>
  <c r="O42" i="2"/>
  <c r="N42" i="2"/>
  <c r="U41" i="2"/>
  <c r="T41" i="2"/>
  <c r="S41" i="2"/>
  <c r="R41" i="2"/>
  <c r="Q41" i="2"/>
  <c r="P41" i="2"/>
  <c r="O41" i="2"/>
  <c r="N41" i="2"/>
  <c r="S40" i="2"/>
  <c r="R40" i="2"/>
  <c r="Q40" i="2"/>
  <c r="O40" i="2"/>
  <c r="T40" i="2" s="1"/>
  <c r="N40" i="2"/>
  <c r="T39" i="2"/>
  <c r="S39" i="2"/>
  <c r="R39" i="2"/>
  <c r="Q39" i="2"/>
  <c r="P39" i="2"/>
  <c r="U39" i="2" s="1"/>
  <c r="O39" i="2"/>
  <c r="N39" i="2"/>
  <c r="U38" i="2"/>
  <c r="T38" i="2"/>
  <c r="S38" i="2"/>
  <c r="R38" i="2"/>
  <c r="Q38" i="2"/>
  <c r="P38" i="2"/>
  <c r="O38" i="2"/>
  <c r="N38" i="2"/>
  <c r="S37" i="2"/>
  <c r="R37" i="2"/>
  <c r="Q37" i="2"/>
  <c r="O37" i="2"/>
  <c r="T37" i="2" s="1"/>
  <c r="N37" i="2"/>
  <c r="T36" i="2"/>
  <c r="S36" i="2"/>
  <c r="R36" i="2"/>
  <c r="Q36" i="2"/>
  <c r="P36" i="2"/>
  <c r="U36" i="2" s="1"/>
  <c r="O36" i="2"/>
  <c r="N36" i="2"/>
  <c r="U35" i="2"/>
  <c r="T35" i="2"/>
  <c r="S35" i="2"/>
  <c r="R35" i="2"/>
  <c r="Q35" i="2"/>
  <c r="P35" i="2"/>
  <c r="O35" i="2"/>
  <c r="N35" i="2"/>
  <c r="S34" i="2"/>
  <c r="R34" i="2"/>
  <c r="Q34" i="2"/>
  <c r="O34" i="2"/>
  <c r="T34" i="2" s="1"/>
  <c r="N34" i="2"/>
  <c r="T33" i="2"/>
  <c r="S33" i="2"/>
  <c r="R33" i="2"/>
  <c r="Q33" i="2"/>
  <c r="P33" i="2"/>
  <c r="U33" i="2" s="1"/>
  <c r="O33" i="2"/>
  <c r="N33" i="2"/>
  <c r="U32" i="2"/>
  <c r="T32" i="2"/>
  <c r="S32" i="2"/>
  <c r="R32" i="2"/>
  <c r="Q32" i="2"/>
  <c r="P32" i="2"/>
  <c r="O32" i="2"/>
  <c r="N32" i="2"/>
  <c r="S31" i="2"/>
  <c r="R31" i="2"/>
  <c r="Q31" i="2"/>
  <c r="O31" i="2"/>
  <c r="T31" i="2" s="1"/>
  <c r="N31" i="2"/>
  <c r="T30" i="2"/>
  <c r="S30" i="2"/>
  <c r="R30" i="2"/>
  <c r="Q30" i="2"/>
  <c r="P30" i="2"/>
  <c r="U30" i="2" s="1"/>
  <c r="O30" i="2"/>
  <c r="N30" i="2"/>
  <c r="U29" i="2"/>
  <c r="T29" i="2"/>
  <c r="S29" i="2"/>
  <c r="R29" i="2"/>
  <c r="Q29" i="2"/>
  <c r="P29" i="2"/>
  <c r="O29" i="2"/>
  <c r="N29" i="2"/>
  <c r="S28" i="2"/>
  <c r="R28" i="2"/>
  <c r="Q28" i="2"/>
  <c r="O28" i="2"/>
  <c r="T28" i="2" s="1"/>
  <c r="N28" i="2"/>
  <c r="T27" i="2"/>
  <c r="S27" i="2"/>
  <c r="R27" i="2"/>
  <c r="Q27" i="2"/>
  <c r="P27" i="2"/>
  <c r="U27" i="2" s="1"/>
  <c r="O27" i="2"/>
  <c r="N27" i="2"/>
  <c r="U26" i="2"/>
  <c r="T26" i="2"/>
  <c r="S26" i="2"/>
  <c r="R26" i="2"/>
  <c r="Q26" i="2"/>
  <c r="P26" i="2"/>
  <c r="O26" i="2"/>
  <c r="N26" i="2"/>
  <c r="S25" i="2"/>
  <c r="R25" i="2"/>
  <c r="Q25" i="2"/>
  <c r="O25" i="2"/>
  <c r="T25" i="2" s="1"/>
  <c r="N25" i="2"/>
  <c r="T24" i="2"/>
  <c r="S24" i="2"/>
  <c r="R24" i="2"/>
  <c r="Q24" i="2"/>
  <c r="P24" i="2"/>
  <c r="U24" i="2" s="1"/>
  <c r="O24" i="2"/>
  <c r="N24" i="2"/>
  <c r="U23" i="2"/>
  <c r="T23" i="2"/>
  <c r="S23" i="2"/>
  <c r="R23" i="2"/>
  <c r="Q23" i="2"/>
  <c r="P23" i="2"/>
  <c r="O23" i="2"/>
  <c r="N23" i="2"/>
  <c r="S22" i="2"/>
  <c r="R22" i="2"/>
  <c r="Q22" i="2"/>
  <c r="O22" i="2"/>
  <c r="T22" i="2" s="1"/>
  <c r="N22" i="2"/>
  <c r="T21" i="2"/>
  <c r="S21" i="2"/>
  <c r="R21" i="2"/>
  <c r="Q21" i="2"/>
  <c r="P21" i="2"/>
  <c r="U21" i="2" s="1"/>
  <c r="O21" i="2"/>
  <c r="N21" i="2"/>
  <c r="U20" i="2"/>
  <c r="T20" i="2"/>
  <c r="S20" i="2"/>
  <c r="R20" i="2"/>
  <c r="Q20" i="2"/>
  <c r="P20" i="2"/>
  <c r="O20" i="2"/>
  <c r="N20" i="2"/>
  <c r="S19" i="2"/>
  <c r="R19" i="2"/>
  <c r="Q19" i="2"/>
  <c r="O19" i="2"/>
  <c r="T19" i="2" s="1"/>
  <c r="N19" i="2"/>
  <c r="T18" i="2"/>
  <c r="S18" i="2"/>
  <c r="R18" i="2"/>
  <c r="Q18" i="2"/>
  <c r="P18" i="2"/>
  <c r="U18" i="2" s="1"/>
  <c r="O18" i="2"/>
  <c r="N18" i="2"/>
  <c r="U17" i="2"/>
  <c r="T17" i="2"/>
  <c r="S17" i="2"/>
  <c r="R17" i="2"/>
  <c r="Q17" i="2"/>
  <c r="P17" i="2"/>
  <c r="O17" i="2"/>
  <c r="N17" i="2"/>
  <c r="S16" i="2"/>
  <c r="R16" i="2"/>
  <c r="Q16" i="2"/>
  <c r="O16" i="2"/>
  <c r="T16" i="2" s="1"/>
  <c r="N16" i="2"/>
  <c r="T15" i="2"/>
  <c r="S15" i="2"/>
  <c r="R15" i="2"/>
  <c r="Q15" i="2"/>
  <c r="P15" i="2"/>
  <c r="U15" i="2" s="1"/>
  <c r="O15" i="2"/>
  <c r="N15" i="2"/>
  <c r="U14" i="2"/>
  <c r="T14" i="2"/>
  <c r="S14" i="2"/>
  <c r="R14" i="2"/>
  <c r="Q14" i="2"/>
  <c r="P14" i="2"/>
  <c r="O14" i="2"/>
  <c r="N14" i="2"/>
  <c r="S13" i="2"/>
  <c r="R13" i="2"/>
  <c r="Q13" i="2"/>
  <c r="O13" i="2"/>
  <c r="T13" i="2" s="1"/>
  <c r="N13" i="2"/>
  <c r="T12" i="2"/>
  <c r="S12" i="2"/>
  <c r="R12" i="2"/>
  <c r="Q12" i="2"/>
  <c r="P12" i="2"/>
  <c r="U12" i="2" s="1"/>
  <c r="O12" i="2"/>
  <c r="N12" i="2"/>
  <c r="U11" i="2"/>
  <c r="T11" i="2"/>
  <c r="S11" i="2"/>
  <c r="R11" i="2"/>
  <c r="Q11" i="2"/>
  <c r="P11" i="2"/>
  <c r="O11" i="2"/>
  <c r="N11" i="2"/>
  <c r="S10" i="2"/>
  <c r="R10" i="2"/>
  <c r="Q10" i="2"/>
  <c r="O10" i="2"/>
  <c r="T10" i="2" s="1"/>
  <c r="N10" i="2"/>
  <c r="T9" i="2"/>
  <c r="S9" i="2"/>
  <c r="R9" i="2"/>
  <c r="Q9" i="2"/>
  <c r="P9" i="2"/>
  <c r="U9" i="2" s="1"/>
  <c r="O9" i="2"/>
  <c r="N9" i="2"/>
  <c r="U8" i="2"/>
  <c r="T8" i="2"/>
  <c r="S8" i="2"/>
  <c r="R8" i="2"/>
  <c r="Q8" i="2"/>
  <c r="P8" i="2"/>
  <c r="O8" i="2"/>
  <c r="N8" i="2"/>
  <c r="S7" i="2"/>
  <c r="R7" i="2"/>
  <c r="Q7" i="2"/>
  <c r="O7" i="2"/>
  <c r="T7" i="2" s="1"/>
  <c r="N7" i="2"/>
  <c r="T6" i="2"/>
  <c r="S6" i="2"/>
  <c r="R6" i="2"/>
  <c r="Q6" i="2"/>
  <c r="P6" i="2"/>
  <c r="U6" i="2" s="1"/>
  <c r="O6" i="2"/>
  <c r="N6" i="2"/>
  <c r="U5" i="2"/>
  <c r="T5" i="2"/>
  <c r="S5" i="2"/>
  <c r="R5" i="2"/>
  <c r="Q5" i="2"/>
  <c r="P5" i="2"/>
  <c r="O5" i="2"/>
  <c r="N5" i="2"/>
  <c r="S4" i="2"/>
  <c r="R4" i="2"/>
  <c r="Q4" i="2"/>
  <c r="O4" i="2"/>
  <c r="T4" i="2" s="1"/>
  <c r="N4" i="2"/>
  <c r="T3" i="2"/>
  <c r="S3" i="2"/>
  <c r="R3" i="2"/>
  <c r="Q3" i="2"/>
  <c r="P3" i="2"/>
  <c r="U3" i="2" s="1"/>
  <c r="O3" i="2"/>
  <c r="N3" i="2"/>
  <c r="U2" i="2"/>
  <c r="T2" i="2"/>
  <c r="S2" i="2"/>
  <c r="R2" i="2"/>
  <c r="Q2" i="2"/>
  <c r="P2" i="2"/>
  <c r="O2" i="2"/>
  <c r="N2" i="2"/>
  <c r="H7" i="1"/>
  <c r="F7" i="1"/>
  <c r="D7" i="1"/>
  <c r="B7" i="1"/>
  <c r="H4" i="1"/>
  <c r="F4" i="1"/>
  <c r="D4" i="1"/>
  <c r="B4" i="1"/>
  <c r="P4" i="2" l="1"/>
  <c r="U4" i="2" s="1"/>
  <c r="P7" i="2"/>
  <c r="U7" i="2" s="1"/>
  <c r="P10" i="2"/>
  <c r="U10" i="2" s="1"/>
  <c r="P13" i="2"/>
  <c r="U13" i="2" s="1"/>
  <c r="P16" i="2"/>
  <c r="U16" i="2" s="1"/>
  <c r="P19" i="2"/>
  <c r="U19" i="2" s="1"/>
  <c r="P22" i="2"/>
  <c r="U22" i="2" s="1"/>
  <c r="P25" i="2"/>
  <c r="U25" i="2" s="1"/>
  <c r="P28" i="2"/>
  <c r="U28" i="2" s="1"/>
  <c r="P31" i="2"/>
  <c r="U31" i="2" s="1"/>
  <c r="P34" i="2"/>
  <c r="U34" i="2" s="1"/>
  <c r="P37" i="2"/>
  <c r="U37" i="2" s="1"/>
  <c r="P40" i="2"/>
  <c r="U40" i="2" s="1"/>
  <c r="P43" i="2"/>
  <c r="U43" i="2" s="1"/>
  <c r="P46" i="2"/>
  <c r="U46" i="2" s="1"/>
  <c r="P49" i="2"/>
  <c r="U49" i="2" s="1"/>
  <c r="P52" i="2"/>
  <c r="U52" i="2" s="1"/>
  <c r="P55" i="2"/>
  <c r="U55" i="2" s="1"/>
  <c r="P58" i="2"/>
  <c r="U58" i="2" s="1"/>
  <c r="P61" i="2"/>
  <c r="U61" i="2" s="1"/>
  <c r="P64" i="2"/>
  <c r="U64" i="2" s="1"/>
  <c r="T301" i="2"/>
  <c r="P301" i="2"/>
  <c r="U301" i="2" s="1"/>
  <c r="P318" i="2"/>
  <c r="U318" i="2" s="1"/>
  <c r="T318" i="2"/>
  <c r="P553" i="2"/>
  <c r="U553" i="2" s="1"/>
  <c r="T553" i="2"/>
  <c r="T66" i="2"/>
  <c r="T338" i="2"/>
  <c r="P338" i="2"/>
  <c r="U338" i="2" s="1"/>
  <c r="P67" i="2"/>
  <c r="U67" i="2" s="1"/>
  <c r="T320" i="2"/>
  <c r="P320" i="2"/>
  <c r="U320" i="2" s="1"/>
  <c r="T374" i="2"/>
  <c r="P374" i="2"/>
  <c r="U374" i="2" s="1"/>
  <c r="T359" i="2"/>
  <c r="P359" i="2"/>
  <c r="U359" i="2" s="1"/>
  <c r="T395" i="2"/>
  <c r="P395" i="2"/>
  <c r="U395" i="2" s="1"/>
  <c r="T568" i="2"/>
  <c r="P568" i="2"/>
  <c r="U568" i="2" s="1"/>
  <c r="T327" i="2"/>
  <c r="P336" i="2"/>
  <c r="U336" i="2" s="1"/>
  <c r="T336" i="2"/>
  <c r="T353" i="2"/>
  <c r="P353" i="2"/>
  <c r="U353" i="2" s="1"/>
  <c r="T389" i="2"/>
  <c r="P389" i="2"/>
  <c r="U389" i="2" s="1"/>
  <c r="T415" i="2"/>
  <c r="P415" i="2"/>
  <c r="U415" i="2" s="1"/>
  <c r="P544" i="2"/>
  <c r="U544" i="2" s="1"/>
  <c r="T544" i="2"/>
  <c r="T307" i="2"/>
  <c r="P307" i="2"/>
  <c r="U307" i="2" s="1"/>
  <c r="T332" i="2"/>
  <c r="P332" i="2"/>
  <c r="U332" i="2" s="1"/>
  <c r="T368" i="2"/>
  <c r="P368" i="2"/>
  <c r="U368" i="2" s="1"/>
  <c r="P535" i="2"/>
  <c r="U535" i="2" s="1"/>
  <c r="T535" i="2"/>
  <c r="T297" i="2"/>
  <c r="P326" i="2"/>
  <c r="U326" i="2" s="1"/>
  <c r="P330" i="2"/>
  <c r="U330" i="2" s="1"/>
  <c r="T330" i="2"/>
  <c r="T347" i="2"/>
  <c r="P347" i="2"/>
  <c r="U347" i="2" s="1"/>
  <c r="T383" i="2"/>
  <c r="P383" i="2"/>
  <c r="U383" i="2" s="1"/>
  <c r="P526" i="2"/>
  <c r="U526" i="2" s="1"/>
  <c r="T526" i="2"/>
  <c r="T313" i="2"/>
  <c r="P313" i="2"/>
  <c r="U313" i="2" s="1"/>
  <c r="T362" i="2"/>
  <c r="P362" i="2"/>
  <c r="U362" i="2" s="1"/>
  <c r="T427" i="2"/>
  <c r="P427" i="2"/>
  <c r="U427" i="2" s="1"/>
  <c r="T451" i="2"/>
  <c r="P451" i="2"/>
  <c r="U451" i="2" s="1"/>
  <c r="T475" i="2"/>
  <c r="P475" i="2"/>
  <c r="U475" i="2" s="1"/>
  <c r="P517" i="2"/>
  <c r="U517" i="2" s="1"/>
  <c r="T517" i="2"/>
  <c r="T565" i="2"/>
  <c r="P565" i="2"/>
  <c r="U565" i="2" s="1"/>
  <c r="P296" i="2"/>
  <c r="U296" i="2" s="1"/>
  <c r="T298" i="2"/>
  <c r="P298" i="2"/>
  <c r="U298" i="2" s="1"/>
  <c r="T303" i="2"/>
  <c r="T341" i="2"/>
  <c r="P341" i="2"/>
  <c r="U341" i="2" s="1"/>
  <c r="T377" i="2"/>
  <c r="P377" i="2"/>
  <c r="U377" i="2" s="1"/>
  <c r="P508" i="2"/>
  <c r="U508" i="2" s="1"/>
  <c r="T508" i="2"/>
  <c r="T324" i="2"/>
  <c r="T356" i="2"/>
  <c r="P356" i="2"/>
  <c r="U356" i="2" s="1"/>
  <c r="T392" i="2"/>
  <c r="P392" i="2"/>
  <c r="U392" i="2" s="1"/>
  <c r="P499" i="2"/>
  <c r="U499" i="2" s="1"/>
  <c r="T499" i="2"/>
  <c r="T304" i="2"/>
  <c r="P304" i="2"/>
  <c r="U304" i="2" s="1"/>
  <c r="T335" i="2"/>
  <c r="P335" i="2"/>
  <c r="U335" i="2" s="1"/>
  <c r="T371" i="2"/>
  <c r="P371" i="2"/>
  <c r="U371" i="2" s="1"/>
  <c r="P490" i="2"/>
  <c r="U490" i="2" s="1"/>
  <c r="T490" i="2"/>
  <c r="P323" i="2"/>
  <c r="U323" i="2" s="1"/>
  <c r="P333" i="2"/>
  <c r="U333" i="2" s="1"/>
  <c r="T333" i="2"/>
  <c r="T350" i="2"/>
  <c r="P350" i="2"/>
  <c r="U350" i="2" s="1"/>
  <c r="T386" i="2"/>
  <c r="P386" i="2"/>
  <c r="U386" i="2" s="1"/>
  <c r="T310" i="2"/>
  <c r="P310" i="2"/>
  <c r="U310" i="2" s="1"/>
  <c r="T329" i="2"/>
  <c r="P329" i="2"/>
  <c r="U329" i="2" s="1"/>
  <c r="T365" i="2"/>
  <c r="P365" i="2"/>
  <c r="U365" i="2" s="1"/>
  <c r="P295" i="2"/>
  <c r="U295" i="2" s="1"/>
  <c r="T300" i="2"/>
  <c r="T344" i="2"/>
  <c r="P344" i="2"/>
  <c r="U344" i="2" s="1"/>
  <c r="T380" i="2"/>
  <c r="P380" i="2"/>
  <c r="U380" i="2" s="1"/>
  <c r="T439" i="2"/>
  <c r="P439" i="2"/>
  <c r="U439" i="2" s="1"/>
  <c r="T463" i="2"/>
  <c r="P463" i="2"/>
  <c r="U463" i="2" s="1"/>
  <c r="T424" i="2"/>
  <c r="T436" i="2"/>
  <c r="T448" i="2"/>
  <c r="T460" i="2"/>
  <c r="T472" i="2"/>
  <c r="T574" i="2"/>
  <c r="P574" i="2"/>
  <c r="U574" i="2" s="1"/>
  <c r="T339" i="2"/>
  <c r="T342" i="2"/>
  <c r="T345" i="2"/>
  <c r="T348" i="2"/>
  <c r="T351" i="2"/>
  <c r="T354" i="2"/>
  <c r="T357" i="2"/>
  <c r="T360" i="2"/>
  <c r="T363" i="2"/>
  <c r="T366" i="2"/>
  <c r="T369" i="2"/>
  <c r="T372" i="2"/>
  <c r="T375" i="2"/>
  <c r="T378" i="2"/>
  <c r="T381" i="2"/>
  <c r="T384" i="2"/>
  <c r="T387" i="2"/>
  <c r="T390" i="2"/>
  <c r="T393" i="2"/>
  <c r="T396" i="2"/>
  <c r="P398" i="2"/>
  <c r="U398" i="2" s="1"/>
  <c r="T399" i="2"/>
  <c r="P401" i="2"/>
  <c r="U401" i="2" s="1"/>
  <c r="T402" i="2"/>
  <c r="P404" i="2"/>
  <c r="U404" i="2" s="1"/>
  <c r="T405" i="2"/>
  <c r="P407" i="2"/>
  <c r="U407" i="2" s="1"/>
  <c r="T408" i="2"/>
  <c r="P410" i="2"/>
  <c r="U410" i="2" s="1"/>
  <c r="T411" i="2"/>
  <c r="P413" i="2"/>
  <c r="U413" i="2" s="1"/>
  <c r="T414" i="2"/>
  <c r="P418" i="2"/>
  <c r="U418" i="2" s="1"/>
  <c r="T426" i="2"/>
  <c r="P430" i="2"/>
  <c r="U430" i="2" s="1"/>
  <c r="P442" i="2"/>
  <c r="U442" i="2" s="1"/>
  <c r="P454" i="2"/>
  <c r="U454" i="2" s="1"/>
  <c r="P466" i="2"/>
  <c r="U466" i="2" s="1"/>
  <c r="P478" i="2"/>
  <c r="U478" i="2" s="1"/>
  <c r="T559" i="2"/>
  <c r="P559" i="2"/>
  <c r="U559" i="2" s="1"/>
  <c r="T580" i="2"/>
  <c r="P580" i="2"/>
  <c r="U580" i="2" s="1"/>
  <c r="P316" i="2"/>
  <c r="U316" i="2" s="1"/>
  <c r="P319" i="2"/>
  <c r="U319" i="2" s="1"/>
  <c r="P322" i="2"/>
  <c r="U322" i="2" s="1"/>
  <c r="P325" i="2"/>
  <c r="U325" i="2" s="1"/>
  <c r="P328" i="2"/>
  <c r="U328" i="2" s="1"/>
  <c r="P331" i="2"/>
  <c r="U331" i="2" s="1"/>
  <c r="P334" i="2"/>
  <c r="U334" i="2" s="1"/>
  <c r="P337" i="2"/>
  <c r="U337" i="2" s="1"/>
  <c r="P340" i="2"/>
  <c r="U340" i="2" s="1"/>
  <c r="P343" i="2"/>
  <c r="U343" i="2" s="1"/>
  <c r="P346" i="2"/>
  <c r="U346" i="2" s="1"/>
  <c r="P349" i="2"/>
  <c r="U349" i="2" s="1"/>
  <c r="P352" i="2"/>
  <c r="U352" i="2" s="1"/>
  <c r="P355" i="2"/>
  <c r="U355" i="2" s="1"/>
  <c r="P358" i="2"/>
  <c r="U358" i="2" s="1"/>
  <c r="P361" i="2"/>
  <c r="U361" i="2" s="1"/>
  <c r="P364" i="2"/>
  <c r="U364" i="2" s="1"/>
  <c r="P367" i="2"/>
  <c r="U367" i="2" s="1"/>
  <c r="P370" i="2"/>
  <c r="U370" i="2" s="1"/>
  <c r="P373" i="2"/>
  <c r="U373" i="2" s="1"/>
  <c r="P376" i="2"/>
  <c r="U376" i="2" s="1"/>
  <c r="P379" i="2"/>
  <c r="U379" i="2" s="1"/>
  <c r="P382" i="2"/>
  <c r="U382" i="2" s="1"/>
  <c r="P385" i="2"/>
  <c r="U385" i="2" s="1"/>
  <c r="P388" i="2"/>
  <c r="U388" i="2" s="1"/>
  <c r="P391" i="2"/>
  <c r="U391" i="2" s="1"/>
  <c r="P394" i="2"/>
  <c r="U394" i="2" s="1"/>
  <c r="P397" i="2"/>
  <c r="U397" i="2" s="1"/>
  <c r="P400" i="2"/>
  <c r="U400" i="2" s="1"/>
  <c r="P403" i="2"/>
  <c r="U403" i="2" s="1"/>
  <c r="P406" i="2"/>
  <c r="U406" i="2" s="1"/>
  <c r="P409" i="2"/>
  <c r="U409" i="2" s="1"/>
  <c r="P412" i="2"/>
  <c r="U412" i="2" s="1"/>
  <c r="T571" i="2"/>
  <c r="P571" i="2"/>
  <c r="U571" i="2" s="1"/>
  <c r="T556" i="2"/>
  <c r="P556" i="2"/>
  <c r="U556" i="2" s="1"/>
  <c r="T577" i="2"/>
  <c r="P577" i="2"/>
  <c r="U577" i="2" s="1"/>
  <c r="T562" i="2"/>
  <c r="P562" i="2"/>
  <c r="U562" i="2" s="1"/>
  <c r="T583" i="2"/>
  <c r="P583" i="2"/>
  <c r="U583" i="2" s="1"/>
  <c r="T660" i="2"/>
  <c r="T678" i="2"/>
  <c r="P651" i="2"/>
  <c r="U651" i="2" s="1"/>
  <c r="P669" i="2"/>
  <c r="U669" i="2" s="1"/>
  <c r="P687" i="2"/>
  <c r="U687" i="2" s="1"/>
  <c r="T1464" i="2"/>
  <c r="P1464" i="2"/>
  <c r="U1464" i="2" s="1"/>
  <c r="P666" i="2"/>
  <c r="U666" i="2" s="1"/>
  <c r="P684" i="2"/>
  <c r="U684" i="2" s="1"/>
  <c r="T1113" i="2"/>
  <c r="P1113" i="2"/>
  <c r="U1113" i="2" s="1"/>
  <c r="T1107" i="2"/>
  <c r="P1107" i="2"/>
  <c r="U1107" i="2" s="1"/>
  <c r="P1956" i="2"/>
  <c r="U1956" i="2" s="1"/>
  <c r="T1956" i="2"/>
  <c r="P1317" i="2"/>
  <c r="U1317" i="2" s="1"/>
  <c r="T1317" i="2"/>
  <c r="P1794" i="2"/>
  <c r="U1794" i="2" s="1"/>
  <c r="T1794" i="2"/>
  <c r="T870" i="2"/>
  <c r="T873" i="2"/>
  <c r="T876" i="2"/>
  <c r="T879" i="2"/>
  <c r="T882" i="2"/>
  <c r="T885" i="2"/>
  <c r="T888" i="2"/>
  <c r="P1305" i="2"/>
  <c r="U1305" i="2" s="1"/>
  <c r="T1305" i="2"/>
  <c r="T1128" i="2"/>
  <c r="P1128" i="2"/>
  <c r="U1128" i="2" s="1"/>
  <c r="T1392" i="2"/>
  <c r="P1392" i="2"/>
  <c r="U1392" i="2" s="1"/>
  <c r="P1491" i="2"/>
  <c r="U1491" i="2" s="1"/>
  <c r="P1527" i="2"/>
  <c r="U1527" i="2" s="1"/>
  <c r="P1101" i="2"/>
  <c r="U1101" i="2" s="1"/>
  <c r="P1125" i="2"/>
  <c r="U1125" i="2" s="1"/>
  <c r="P1095" i="2"/>
  <c r="U1095" i="2" s="1"/>
  <c r="P1122" i="2"/>
  <c r="U1122" i="2" s="1"/>
  <c r="P1311" i="2"/>
  <c r="U1311" i="2" s="1"/>
  <c r="T1326" i="2"/>
  <c r="P1356" i="2"/>
  <c r="U1356" i="2" s="1"/>
  <c r="P1428" i="2"/>
  <c r="U1428" i="2" s="1"/>
  <c r="P1308" i="2"/>
  <c r="U1308" i="2" s="1"/>
  <c r="P1302" i="2"/>
  <c r="U1302" i="2" s="1"/>
  <c r="P1335" i="2"/>
  <c r="U1335" i="2" s="1"/>
  <c r="P1353" i="2"/>
  <c r="U1353" i="2" s="1"/>
  <c r="P1371" i="2"/>
  <c r="U1371" i="2" s="1"/>
  <c r="P1389" i="2"/>
  <c r="U1389" i="2" s="1"/>
  <c r="P1407" i="2"/>
  <c r="U1407" i="2" s="1"/>
  <c r="P1425" i="2"/>
  <c r="U1425" i="2" s="1"/>
  <c r="P1443" i="2"/>
  <c r="U1443" i="2" s="1"/>
  <c r="P1461" i="2"/>
  <c r="U1461" i="2" s="1"/>
  <c r="P1476" i="2"/>
  <c r="U1476" i="2" s="1"/>
  <c r="P1488" i="2"/>
  <c r="U1488" i="2" s="1"/>
  <c r="P1500" i="2"/>
  <c r="U1500" i="2" s="1"/>
  <c r="P1512" i="2"/>
  <c r="U1512" i="2" s="1"/>
  <c r="P1524" i="2"/>
  <c r="U1524" i="2" s="1"/>
  <c r="P1812" i="2"/>
  <c r="U1812" i="2" s="1"/>
  <c r="T1812" i="2"/>
  <c r="P1758" i="2"/>
  <c r="U1758" i="2" s="1"/>
  <c r="T1758" i="2"/>
  <c r="P1830" i="2"/>
  <c r="U1830" i="2" s="1"/>
  <c r="T1830" i="2"/>
  <c r="P1848" i="2"/>
  <c r="U1848" i="2" s="1"/>
  <c r="T1848" i="2"/>
  <c r="P1866" i="2"/>
  <c r="U1866" i="2" s="1"/>
  <c r="T1866" i="2"/>
  <c r="P1776" i="2"/>
  <c r="U1776" i="2" s="1"/>
  <c r="T1776" i="2"/>
  <c r="P1884" i="2"/>
  <c r="U1884" i="2" s="1"/>
  <c r="T1884" i="2"/>
  <c r="P1902" i="2"/>
  <c r="U1902" i="2" s="1"/>
  <c r="T1902" i="2"/>
  <c r="P1920" i="2"/>
  <c r="U1920" i="2" s="1"/>
  <c r="T1920" i="2"/>
  <c r="P1938" i="2"/>
  <c r="U1938" i="2" s="1"/>
  <c r="T1938" i="2"/>
  <c r="P1842" i="2"/>
  <c r="U1842" i="2" s="1"/>
  <c r="P1860" i="2"/>
  <c r="U1860" i="2" s="1"/>
  <c r="P1878" i="2"/>
  <c r="U1878" i="2" s="1"/>
  <c r="P1896" i="2"/>
  <c r="U1896" i="2" s="1"/>
  <c r="P1914" i="2"/>
  <c r="U1914" i="2" s="1"/>
  <c r="P1932" i="2"/>
  <c r="U1932" i="2" s="1"/>
  <c r="P1950" i="2"/>
  <c r="U1950" i="2" s="1"/>
  <c r="T1971" i="2"/>
  <c r="T1983" i="2"/>
  <c r="T1995" i="2"/>
  <c r="T2001" i="2"/>
  <c r="P2001" i="2"/>
  <c r="U2001" i="2" s="1"/>
  <c r="T1755" i="2"/>
  <c r="P1965" i="2"/>
  <c r="U1965" i="2" s="1"/>
  <c r="T1968" i="2"/>
  <c r="T1980" i="2"/>
  <c r="T1992" i="2"/>
  <c r="P1959" i="2"/>
  <c r="U1959" i="2" s="1"/>
  <c r="T1977" i="2"/>
  <c r="T1989" i="2"/>
  <c r="T1974" i="2"/>
  <c r="T1986" i="2"/>
  <c r="T1998" i="2"/>
</calcChain>
</file>

<file path=xl/sharedStrings.xml><?xml version="1.0" encoding="utf-8"?>
<sst xmlns="http://schemas.openxmlformats.org/spreadsheetml/2006/main" count="10358" uniqueCount="2881">
  <si>
    <t>Excel workbook | Dataset: Olist Brazilian E-Commerce Public Dataset | Analysis focus: delivery performance, delay patterns, and process improvement</t>
  </si>
  <si>
    <t>Month</t>
  </si>
  <si>
    <t>Delay Rate (%)</t>
  </si>
  <si>
    <t>State</t>
  </si>
  <si>
    <t>Category</t>
  </si>
  <si>
    <t>Status</t>
  </si>
  <si>
    <t>Orders</t>
  </si>
  <si>
    <t>2016-10</t>
  </si>
  <si>
    <t>SP</t>
  </si>
  <si>
    <t>Audio</t>
  </si>
  <si>
    <t>On Time</t>
  </si>
  <si>
    <t>Total Delivered Orders</t>
  </si>
  <si>
    <t>Delay Rate</t>
  </si>
  <si>
    <t>Avg Delivery Days</t>
  </si>
  <si>
    <t>Avg Review Score</t>
  </si>
  <si>
    <t>2017-01</t>
  </si>
  <si>
    <t>RJ</t>
  </si>
  <si>
    <t>Books Technical</t>
  </si>
  <si>
    <t>Delayed</t>
  </si>
  <si>
    <t>2017-02</t>
  </si>
  <si>
    <t>MG</t>
  </si>
  <si>
    <t>Home Confort</t>
  </si>
  <si>
    <t>2017-03</t>
  </si>
  <si>
    <t>BA</t>
  </si>
  <si>
    <t>Food</t>
  </si>
  <si>
    <t>Delayed Orders</t>
  </si>
  <si>
    <t>On-Time Orders</t>
  </si>
  <si>
    <t>Avg Delay Days</t>
  </si>
  <si>
    <t>Avg Freight Cost</t>
  </si>
  <si>
    <t>2017-04</t>
  </si>
  <si>
    <t>RS</t>
  </si>
  <si>
    <t>Electronics</t>
  </si>
  <si>
    <t>2017-05</t>
  </si>
  <si>
    <t>SC</t>
  </si>
  <si>
    <t>Baby</t>
  </si>
  <si>
    <t>2017-06</t>
  </si>
  <si>
    <t>PR</t>
  </si>
  <si>
    <t>Office Furniture</t>
  </si>
  <si>
    <t>Key Finding</t>
  </si>
  <si>
    <t>Evidence from analysis</t>
  </si>
  <si>
    <t>Operational impact</t>
  </si>
  <si>
    <t>Suggested action</t>
  </si>
  <si>
    <t>2017-07</t>
  </si>
  <si>
    <t>ES</t>
  </si>
  <si>
    <t>Construction Tools Construction</t>
  </si>
  <si>
    <t>Delay risk is concentrated in specific states.</t>
  </si>
  <si>
    <t>Overall delay rate is approximately 8.1%, with RJ and BA showing higher delay rates than SP and MG.</t>
  </si>
  <si>
    <t>Delays are not evenly distributed, so a general fix would be less effective.</t>
  </si>
  <si>
    <t>Prioritize state-level delivery monitoring and route exception reviews.</t>
  </si>
  <si>
    <t>2017-08</t>
  </si>
  <si>
    <t>CE</t>
  </si>
  <si>
    <t>Construction Tools Lights</t>
  </si>
  <si>
    <t>Long-distance/last-mile phases appear to drive many late orders.</t>
  </si>
  <si>
    <t>States with longer average delivery days also show weaker review scores and higher delay rates.</t>
  </si>
  <si>
    <t>Customer satisfaction may fall when delivery dates are missed.</t>
  </si>
  <si>
    <t>Create weekly delay dashboards and escalation triggers.</t>
  </si>
  <si>
    <t>2017-09</t>
  </si>
  <si>
    <t>PE</t>
  </si>
  <si>
    <t>Health Beauty</t>
  </si>
  <si>
    <t>Some product categories have higher delay rates.</t>
  </si>
  <si>
    <t>Audio, Home Comfort, Electronics, and Food show elevated delay rates among categories with meaningful volume.</t>
  </si>
  <si>
    <t>Category handling, packaging, or carrier requirements may create bottlenecks.</t>
  </si>
  <si>
    <t>Review category-specific packing standards, supplier readiness, and carrier SLAs.</t>
  </si>
  <si>
    <t>2017-10</t>
  </si>
  <si>
    <t>Review scores can be used as an operational quality signal.</t>
  </si>
  <si>
    <t>Lower review scores are more visible in areas with higher delay rates.</t>
  </si>
  <si>
    <t>Operations issues may become customer experience issues quickly.</t>
  </si>
  <si>
    <t>Track review score alongside delivery KPIs, not only sales/order volume.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</si>
  <si>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</si>
  <si>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</si>
  <si>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</si>
  <si>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</si>
  <si>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</si>
  <si>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</si>
  <si>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</si>
  <si>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</si>
  <si>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</si>
  <si>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</si>
  <si>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Order_ID</t>
  </si>
  <si>
    <t>Purchase_Date</t>
  </si>
  <si>
    <t>Approved_Date</t>
  </si>
  <si>
    <t>Carrier_Date</t>
  </si>
  <si>
    <t>Delivered_Date</t>
  </si>
  <si>
    <t>Estimated_Date</t>
  </si>
  <si>
    <t>City</t>
  </si>
  <si>
    <t>Product_Category</t>
  </si>
  <si>
    <t>Items</t>
  </si>
  <si>
    <t>Product_Value</t>
  </si>
  <si>
    <t>Freight_Value</t>
  </si>
  <si>
    <t>Review_Score</t>
  </si>
  <si>
    <t>Delivery_Days</t>
  </si>
  <si>
    <t>Delay_Days</t>
  </si>
  <si>
    <t>Delay_Status</t>
  </si>
  <si>
    <t>Approval_Hours</t>
  </si>
  <si>
    <t>Warehouse_Handling_Days</t>
  </si>
  <si>
    <t>Last_Mile_Days</t>
  </si>
  <si>
    <t>SLA_Bucket</t>
  </si>
  <si>
    <t>Exception_Flag</t>
  </si>
  <si>
    <t>Source_URL</t>
  </si>
  <si>
    <t>35d3a51724a47ef1d0b89911e39cc4ff</t>
  </si>
  <si>
    <t>Santa Cruz Do Sul</t>
  </si>
  <si>
    <t>Furniture Decor</t>
  </si>
  <si>
    <t>https://www.kaggle.com/datasets/olistbr/brazilian-ecommerce</t>
  </si>
  <si>
    <t>985db56d4cabd2577d0960194dd2cd5a</t>
  </si>
  <si>
    <t>Belo Horizonte</t>
  </si>
  <si>
    <t>a9fc3ae13c740ad46532fd50b61c69d5</t>
  </si>
  <si>
    <t>Caetanopolis</t>
  </si>
  <si>
    <t>f31853a4f30d4851c847e4494663e749</t>
  </si>
  <si>
    <t>Praia Grande</t>
  </si>
  <si>
    <t>3d58fd1ee438a43f2a826dda6b013519</t>
  </si>
  <si>
    <t>GO</t>
  </si>
  <si>
    <t>Goiania</t>
  </si>
  <si>
    <t>Toys</t>
  </si>
  <si>
    <t>e6db6e9529fecbe14cd05dd349816656</t>
  </si>
  <si>
    <t>Lagoa Santa</t>
  </si>
  <si>
    <t>Consoles Games</t>
  </si>
  <si>
    <t>22266e2f8d8084cd2b5d8488164d043a</t>
  </si>
  <si>
    <t>Itajuba</t>
  </si>
  <si>
    <t>Telephony</t>
  </si>
  <si>
    <t>3a6cac3e6717e6a7ee4cb28aaa149a91</t>
  </si>
  <si>
    <t>Computers Accessories</t>
  </si>
  <si>
    <t>b49998737b7359ebe1b64b0b7ffb20f6</t>
  </si>
  <si>
    <t>Monte Carmelo</t>
  </si>
  <si>
    <t>Cool Stuff</t>
  </si>
  <si>
    <t>9786c52ca3e1ed1ef3ba5c65941627f0</t>
  </si>
  <si>
    <t>Camaragibe</t>
  </si>
  <si>
    <t>b9581bf1b646f4fc021b131e1ca4d034</t>
  </si>
  <si>
    <t>Itabira</t>
  </si>
  <si>
    <t>Garden Tools</t>
  </si>
  <si>
    <t>aa04ef5214580b06b10e2a378300db44</t>
  </si>
  <si>
    <t>Divinopolis</t>
  </si>
  <si>
    <t>26c18b7ca7a6a870496dafd3633b3412</t>
  </si>
  <si>
    <t>Ourinhos</t>
  </si>
  <si>
    <t>96e60a8b7fe4d9cd4f5ef7f3399a502b</t>
  </si>
  <si>
    <t>MT</t>
  </si>
  <si>
    <t>Rondonopolis</t>
  </si>
  <si>
    <t>Sports Leisure</t>
  </si>
  <si>
    <t>329465dad46fffab333860e92e7ac984</t>
  </si>
  <si>
    <t>Rio De Janeiro</t>
  </si>
  <si>
    <t>9846cae21962f6c6e65ad2e77d3c2be7</t>
  </si>
  <si>
    <t>Sao Paulo</t>
  </si>
  <si>
    <t>Housewares</t>
  </si>
  <si>
    <t>a10231eb95955f12c2bbc1e34e25c950</t>
  </si>
  <si>
    <t>Perfumery</t>
  </si>
  <si>
    <t>6e68d4f670783e41ced4e82d14debce9</t>
  </si>
  <si>
    <t>Mogi Mirim</t>
  </si>
  <si>
    <t>bf79d036f5374ea92a94c50341ada3da</t>
  </si>
  <si>
    <t>d5cf2633d9ecb6dba748bca164760855</t>
  </si>
  <si>
    <t>5a06ec99090e75d00d2b33b0efdce2f4</t>
  </si>
  <si>
    <t>Unknown</t>
  </si>
  <si>
    <t>9656510a0f73952b9c305fe0bd264056</t>
  </si>
  <si>
    <t>Barra Do Pirai</t>
  </si>
  <si>
    <t>1468556ad5a95f57ef848cf278d8c6dc</t>
  </si>
  <si>
    <t>Boa Esperanca</t>
  </si>
  <si>
    <t>Pet Shop</t>
  </si>
  <si>
    <t>0df040f84e5295f7894177ffe53850b8</t>
  </si>
  <si>
    <t>Santo Antonio Do Pinhal</t>
  </si>
  <si>
    <t>53d01d5ea7c4979fe175f37286263091</t>
  </si>
  <si>
    <t>492e7cf9df2e0665bd893b5cbbcca6a3</t>
  </si>
  <si>
    <t>7ca4e50d72a12009d398a335125b4871</t>
  </si>
  <si>
    <t>c3228fb3eec33bd6bdb6259cda52759d</t>
  </si>
  <si>
    <t>Santo Andre</t>
  </si>
  <si>
    <t>Furniture Living Room</t>
  </si>
  <si>
    <t>09f86b7099faeb6a9d85623c5dba9665</t>
  </si>
  <si>
    <t>MS</t>
  </si>
  <si>
    <t>Tres Lagoas</t>
  </si>
  <si>
    <t>6aaedd714ad6929fc4df8d51bd4cfe9a</t>
  </si>
  <si>
    <t>Vila Velha</t>
  </si>
  <si>
    <t>23a5902b0758898d64701a3c89af36f2</t>
  </si>
  <si>
    <t>Campo Limpo Paulista</t>
  </si>
  <si>
    <t>a033e71a9fdc7a30404bd7a39d3ad173</t>
  </si>
  <si>
    <t>Sao Jose Dos Campos</t>
  </si>
  <si>
    <t>f06e135f2a783426a58b29014f2346b3</t>
  </si>
  <si>
    <t>Toledo</t>
  </si>
  <si>
    <t>ec95bda03fcd25491f6e0142ef318ee8</t>
  </si>
  <si>
    <t>PA</t>
  </si>
  <si>
    <t>Parauapebas</t>
  </si>
  <si>
    <t>Musical Instruments</t>
  </si>
  <si>
    <t>fc2d5b034ddb41db6c5a2eced97202b0</t>
  </si>
  <si>
    <t>Sorocaba</t>
  </si>
  <si>
    <t>Bed Bath Table</t>
  </si>
  <si>
    <t>7c6b6a9c3d77dcb56f9d216b3edbb1a9</t>
  </si>
  <si>
    <t>Campinas</t>
  </si>
  <si>
    <t>4b17943e12a7cb735d4df81fedd7877a</t>
  </si>
  <si>
    <t>Ourizona</t>
  </si>
  <si>
    <t>Auto</t>
  </si>
  <si>
    <t>41af01777ef42cf0c9fd74b31dccb367</t>
  </si>
  <si>
    <t>Montes Claros</t>
  </si>
  <si>
    <t>d24e85d6039de97467e1ed73a04923ac</t>
  </si>
  <si>
    <t>b4eabf9a64099f1413105754e3d1343f</t>
  </si>
  <si>
    <t>Juiz De Fora</t>
  </si>
  <si>
    <t>61ed1876bd482d2c77e3b085ce949c69</t>
  </si>
  <si>
    <t>PB</t>
  </si>
  <si>
    <t>Campina Grande</t>
  </si>
  <si>
    <t>c3ec5c70256966fe8951602e15e63495</t>
  </si>
  <si>
    <t>Presidente Prudente</t>
  </si>
  <si>
    <t>0b710815eacb6ac13165d4cf70dbd5cf</t>
  </si>
  <si>
    <t>7ec0ce5aa3f5d3a29537f1eec975ac26</t>
  </si>
  <si>
    <t>Piraquara</t>
  </si>
  <si>
    <t>555537da82b73708bc09f6b0c8fa6747</t>
  </si>
  <si>
    <t>Viamao</t>
  </si>
  <si>
    <t>b158e6d2495bf87d530c40053f666e21</t>
  </si>
  <si>
    <t>Santa Barbara D'Oeste</t>
  </si>
  <si>
    <t>8c7fdd8775af429f280cd605d4d164fd</t>
  </si>
  <si>
    <t>Piracicaba</t>
  </si>
  <si>
    <t>cc2ce6ac5707f22bfdf4b6c8d086230d</t>
  </si>
  <si>
    <t>SE</t>
  </si>
  <si>
    <t>Aracaju</t>
  </si>
  <si>
    <t>df6d3b62b959d520809f53e136e27883</t>
  </si>
  <si>
    <t>Lorena</t>
  </si>
  <si>
    <t>1ad9392f23bf7f28facc4ed0c2fcb7b6</t>
  </si>
  <si>
    <t>97d8971fa48ff1a5146f0bab9124382c</t>
  </si>
  <si>
    <t>Ribeirao Preto</t>
  </si>
  <si>
    <t>39aeb187a9843573928fbb6d46181158</t>
  </si>
  <si>
    <t>Santana De Parnaiba</t>
  </si>
  <si>
    <t>7700cd588241bdd7614416812683d789</t>
  </si>
  <si>
    <t>Cascavel</t>
  </si>
  <si>
    <t>b349a7e488a18291673476fc0a8c8436</t>
  </si>
  <si>
    <t>AL</t>
  </si>
  <si>
    <t>Maceio</t>
  </si>
  <si>
    <t>2a80be7c365bb224ec513f04f13c9f29</t>
  </si>
  <si>
    <t>Watches Gifts</t>
  </si>
  <si>
    <t>a889adb9dae2a1639e74395e692c0055</t>
  </si>
  <si>
    <t>01ba9a2e5dcc1568b55695106d677b0c</t>
  </si>
  <si>
    <t>ef8e8348ba291917542268f900fac505</t>
  </si>
  <si>
    <t>Sao Bernardo Do Campo</t>
  </si>
  <si>
    <t>9fa20203d1957233d3ed303707a1b597</t>
  </si>
  <si>
    <t>Sao Roque</t>
  </si>
  <si>
    <t>Industry Commerce And Business</t>
  </si>
  <si>
    <t>81cb17fa8652482186e8184e2a418057</t>
  </si>
  <si>
    <t>5667af66694cc07bce46f7af2ed32ed6</t>
  </si>
  <si>
    <t>Conselheiro Lafaiete</t>
  </si>
  <si>
    <t>6014de3ed0a310e59ac664e276af54eb</t>
  </si>
  <si>
    <t>982922a8af746de85725f937892b8a89</t>
  </si>
  <si>
    <t>a72128c306bd3fde78eb4f32b6360d86</t>
  </si>
  <si>
    <t>Market Place</t>
  </si>
  <si>
    <t>27e2a7e5ef6ee74e734f296c3a0e33f8</t>
  </si>
  <si>
    <t>Embu-Guacu</t>
  </si>
  <si>
    <t>ee43d4bf4491386fa4837c502b9c3f4e</t>
  </si>
  <si>
    <t>Vitoria De Santo Antao</t>
  </si>
  <si>
    <t>1c6455382944f30b6a7128f9747cef97</t>
  </si>
  <si>
    <t>Cariacica</t>
  </si>
  <si>
    <t>28781e0706467b15858facab8a22ba5b</t>
  </si>
  <si>
    <t>Carapicuiba</t>
  </si>
  <si>
    <t>e7a55313688a902f5ae012231d686f37</t>
  </si>
  <si>
    <t>Varzea Paulista</t>
  </si>
  <si>
    <t>Luggage Accessories</t>
  </si>
  <si>
    <t>0231382a78f19752dabca6a86b618152</t>
  </si>
  <si>
    <t>82ff294d1970490323910cdd6c463977</t>
  </si>
  <si>
    <t>Guarapari</t>
  </si>
  <si>
    <t>7f13a20e25350f4a55fb2a7c9a2e8d88</t>
  </si>
  <si>
    <t>1479096c26c6fa5150e7b39fde03d5d4</t>
  </si>
  <si>
    <t>Home Appliances</t>
  </si>
  <si>
    <t>25fbf27ebf14d822b62827aeb77d9d10</t>
  </si>
  <si>
    <t>Recife</t>
  </si>
  <si>
    <t>d079556268ebfb6ee516faac531c2f78</t>
  </si>
  <si>
    <t>e414d2bbb8c0c4fe5e9d51888c14c192</t>
  </si>
  <si>
    <t>Caravelas</t>
  </si>
  <si>
    <t>81bee7ecbeae8e9b41bef6d41b146b12</t>
  </si>
  <si>
    <t>20ce857482318a94142a0276fc72b4ad</t>
  </si>
  <si>
    <t>Betim</t>
  </si>
  <si>
    <t>33c2860be7125d5f79547239ef5a8721</t>
  </si>
  <si>
    <t>Fashion Underwear Beach</t>
  </si>
  <si>
    <t>d84351a9ee5a7c7b237e3a1480d252d9</t>
  </si>
  <si>
    <t>Passos</t>
  </si>
  <si>
    <t>f778c08595fa3873bb689febdda2c509</t>
  </si>
  <si>
    <t>d73056e2f26b5d40f0b94c8a4ab36f37</t>
  </si>
  <si>
    <t>7845d9a1a3d511b756a5c2c2352ba770</t>
  </si>
  <si>
    <t>0b4526b3cce3a48ec0506b923481cdfc</t>
  </si>
  <si>
    <t>604cf9b703209b8e0f87284d5aa05313</t>
  </si>
  <si>
    <t>Itapeva</t>
  </si>
  <si>
    <t>575a549c5e6d74c77f8c59a2622bb590</t>
  </si>
  <si>
    <t>a526b3be214b1d691e5400d86689e83e</t>
  </si>
  <si>
    <t>Vinhedo</t>
  </si>
  <si>
    <t>70e6329357c33a4f1c54d27e53a38231</t>
  </si>
  <si>
    <t>Salvador</t>
  </si>
  <si>
    <t>34b26ad88bd9eea1ef3628bbbc624e8b</t>
  </si>
  <si>
    <t>PI</t>
  </si>
  <si>
    <t>Cocal</t>
  </si>
  <si>
    <t>Fashion Bags Accessories</t>
  </si>
  <si>
    <t>9ba82750c563828973f933ffcd80febd</t>
  </si>
  <si>
    <t>Santa Isabel</t>
  </si>
  <si>
    <t>631634972c0899ddea4c90cc4d0f186d</t>
  </si>
  <si>
    <t>Santo Antonio Do Jardim</t>
  </si>
  <si>
    <t>4a385052190a8e86f56e617e88b824e5</t>
  </si>
  <si>
    <t>Blumenau</t>
  </si>
  <si>
    <t>52619537cf1e982e097feae63cd2e083</t>
  </si>
  <si>
    <t>0476f6eca64ad7ce1bef51f7308871bd</t>
  </si>
  <si>
    <t>Almirante Tamandare</t>
  </si>
  <si>
    <t>ae0be4e1cb2ae75b372e2f055876ff07</t>
  </si>
  <si>
    <t>Lagoa Grande</t>
  </si>
  <si>
    <t>41202affb3415784c71821ffb3f95a40</t>
  </si>
  <si>
    <t>e32eb573740a87c938b90b290605b617</t>
  </si>
  <si>
    <t>Pavao</t>
  </si>
  <si>
    <t>283182f68c047a2b61aee07baeb819f0</t>
  </si>
  <si>
    <t>a73decd86173a2da359011bebf8e4ac4</t>
  </si>
  <si>
    <t>410ca45d84f47d06fba1e4476a10b392</t>
  </si>
  <si>
    <t>Sao Miguel Do Oeste</t>
  </si>
  <si>
    <t>f3fc3c963c2854345aac9d080936f879</t>
  </si>
  <si>
    <t>Maua</t>
  </si>
  <si>
    <t>8f001d0a1562d2929ed759bc04b58fd4</t>
  </si>
  <si>
    <t>91199340efe15554e4533e5ffe47a31b</t>
  </si>
  <si>
    <t>Frederico Westphalen</t>
  </si>
  <si>
    <t>c661253cb9754d5c570886f866e9e4c9</t>
  </si>
  <si>
    <t>de4b205a30d85c902a79bf99f8c77c21</t>
  </si>
  <si>
    <t>2d16bf1b00214008228bd3b4cf16d256</t>
  </si>
  <si>
    <t>AM</t>
  </si>
  <si>
    <t>Manaus</t>
  </si>
  <si>
    <t>85ff3bf317fb5e2bf00cd9e4ec456b8b</t>
  </si>
  <si>
    <t>Guarulhos</t>
  </si>
  <si>
    <t>871602fdb0b91bf6bd79db21dbe419fe</t>
  </si>
  <si>
    <t>897d215bbe78c235bc0008784a15ac78</t>
  </si>
  <si>
    <t>Buritizeiro</t>
  </si>
  <si>
    <t>f1a1f8c4672ddef8f8562981ca2d0596</t>
  </si>
  <si>
    <t>Sumare</t>
  </si>
  <si>
    <t>940d83f3286808e4f8b1a7ac975b2aa9</t>
  </si>
  <si>
    <t>8d9aeca18991202d1a10f82ce4802dc0</t>
  </si>
  <si>
    <t>f93d4438f5a4fcb8c83d71dc594437f9</t>
  </si>
  <si>
    <t>Vitoria</t>
  </si>
  <si>
    <t>88a63f5cd80c851070a20452bd83d4d7</t>
  </si>
  <si>
    <t>DF</t>
  </si>
  <si>
    <t>Brasilia</t>
  </si>
  <si>
    <t>de6849867dd230818cd854b69f5b21f7</t>
  </si>
  <si>
    <t>Carnaubal</t>
  </si>
  <si>
    <t>b410cd41ac56f6a246e23dc5158f12d9</t>
  </si>
  <si>
    <t>e59d996230b76b38e2cef5e0ab85d6c8</t>
  </si>
  <si>
    <t>Alvorada</t>
  </si>
  <si>
    <t>225d7c8785527da15a95cb218ebb07d5</t>
  </si>
  <si>
    <t>45f0db29787836d9c41e760c90588af1</t>
  </si>
  <si>
    <t>Canoas</t>
  </si>
  <si>
    <t>Signaling And Security</t>
  </si>
  <si>
    <t>781ae9634d053a3d44f2d1bd5b54f6e3</t>
  </si>
  <si>
    <t>Barreiras</t>
  </si>
  <si>
    <t>f4454801db3daa7590e69cb94356174b</t>
  </si>
  <si>
    <t>e6fdd5628869deef14230ee582a7a4c0</t>
  </si>
  <si>
    <t>Teresina</t>
  </si>
  <si>
    <t>ed415dd934c5bb15a4a2fd223bb0a43e</t>
  </si>
  <si>
    <t>88495a304ffc01e1af6d23769628f3b0</t>
  </si>
  <si>
    <t>Belem</t>
  </si>
  <si>
    <t>Small Appliances</t>
  </si>
  <si>
    <t>3d5bdaa6f74a7d0bb1d4040b9cb9aa3b</t>
  </si>
  <si>
    <t>Joinville</t>
  </si>
  <si>
    <t>efa8ce996bb690cb0a1b1201374b4445</t>
  </si>
  <si>
    <t>Juazeiro</t>
  </si>
  <si>
    <t>c79cc9cc01a118d224618bf964a0c1ea</t>
  </si>
  <si>
    <t>1f37d913f46f90c082f6bb4996c3fc9a</t>
  </si>
  <si>
    <t>Bom Repouso</t>
  </si>
  <si>
    <t>61f7e7ef2c1d5d0d982e76485fd6bde1</t>
  </si>
  <si>
    <t>Ananindeua</t>
  </si>
  <si>
    <t>0ab0adc81c98426d2cde86ab2ba52bc3</t>
  </si>
  <si>
    <t>5a862434f3a367a4727fd219326cc689</t>
  </si>
  <si>
    <t>Rio Verde</t>
  </si>
  <si>
    <t>71f47871e9cf560d325f00a5628c4a94</t>
  </si>
  <si>
    <t>Lajeado</t>
  </si>
  <si>
    <t>90e0a69423a77f36e6c01b0fb27b5826</t>
  </si>
  <si>
    <t>5e8dbed878ecb57caf14b67e8f85ca34</t>
  </si>
  <si>
    <t>Florianopolis</t>
  </si>
  <si>
    <t>0ef3f9bef99a2c6430e0951e40cb8bf0</t>
  </si>
  <si>
    <t>61fa8d2ee24cc80feecf24ec94c68e8f</t>
  </si>
  <si>
    <t>Poco Fundo</t>
  </si>
  <si>
    <t>38fa147f3463d7751cb8a2b2455d628c</t>
  </si>
  <si>
    <t>Andradina</t>
  </si>
  <si>
    <t>3c42504a29a2c13b4251142c0405cec1</t>
  </si>
  <si>
    <t>Garanhuns</t>
  </si>
  <si>
    <t>2dc8ae13ff86f4dcefb60ddfbaf43df8</t>
  </si>
  <si>
    <t>Porto Alegre</t>
  </si>
  <si>
    <t>3d567c0d343aad7ed3da44cc0430dabf</t>
  </si>
  <si>
    <t>Grao Mogol</t>
  </si>
  <si>
    <t>Stationery</t>
  </si>
  <si>
    <t>4171f8b589ce09c1ea19d8d625777989</t>
  </si>
  <si>
    <t>aa30ff809084eca858cb3f57857c1ba9</t>
  </si>
  <si>
    <t>Paranavai</t>
  </si>
  <si>
    <t>188c13d1aa80d3a7ffc208eb983bf267</t>
  </si>
  <si>
    <t>Pereira Barreto</t>
  </si>
  <si>
    <t>815b68de0bc7fa6c117e4bcf855734ef</t>
  </si>
  <si>
    <t>Jequie</t>
  </si>
  <si>
    <t>95e0f3f5f3e71382baece16f6fa8270a</t>
  </si>
  <si>
    <t>Colatina</t>
  </si>
  <si>
    <t>5e757e6bf8a635c569659cd7288c8039</t>
  </si>
  <si>
    <t>Ferraz De Vasconcelos</t>
  </si>
  <si>
    <t>Books General Interest</t>
  </si>
  <si>
    <t>78d33c687d79eafa05dcd67958f4b329</t>
  </si>
  <si>
    <t>59cd790c5f7a727afff6c7032bf26f90</t>
  </si>
  <si>
    <t>bb3e2a4f3e37bb94bb72fbc8a2fc7981</t>
  </si>
  <si>
    <t>Fashion Shoes</t>
  </si>
  <si>
    <t>9c79cbb5642412b4151353f3dc4d4ee3</t>
  </si>
  <si>
    <t>Simoes Filho</t>
  </si>
  <si>
    <t>588017c78f6057bfaad9fafa5a05f5d9</t>
  </si>
  <si>
    <t>bf488c4d02bcdb68c278b42d9417f05d</t>
  </si>
  <si>
    <t>Belford Roxo</t>
  </si>
  <si>
    <t>47b6cc93a89600d942bc5dec4978e6a3</t>
  </si>
  <si>
    <t>Contagem</t>
  </si>
  <si>
    <t>fcad30a9bb90bebcdd23bb5e3aba00e6</t>
  </si>
  <si>
    <t>Sete Barras</t>
  </si>
  <si>
    <t>a3595c53ef721a1b9525a8ea6e4400a8</t>
  </si>
  <si>
    <t>Petrolina</t>
  </si>
  <si>
    <t>cad42b09c7b0a54df0097a65da14d324</t>
  </si>
  <si>
    <t>f1e294ff3cef22b5bf945d1720dceb9e</t>
  </si>
  <si>
    <t>Serra</t>
  </si>
  <si>
    <t>4473b8fa106822f223b714af3157b92b</t>
  </si>
  <si>
    <t>14056d7cad6fbef25503befcd851fc72</t>
  </si>
  <si>
    <t>Aracruz</t>
  </si>
  <si>
    <t>e5c0d192e1f883b21e7673f73cb644b9</t>
  </si>
  <si>
    <t>Sao Carlos</t>
  </si>
  <si>
    <t>9f076b87261e6c9894139da7d41eb02d</t>
  </si>
  <si>
    <t>0bb961fd58668c43ce2c6f3a77d2a8fb</t>
  </si>
  <si>
    <t>Tupi Paulista</t>
  </si>
  <si>
    <t>15abee31fcd5f096e6eb7c555eb3fca3</t>
  </si>
  <si>
    <t>Suzano</t>
  </si>
  <si>
    <t>e50d7ddc8da687eef58e56ea9444d302</t>
  </si>
  <si>
    <t>Antonio Carlos</t>
  </si>
  <si>
    <t>c35f44a2a94147bfcd074dfa5f2f174f</t>
  </si>
  <si>
    <t>Redentora</t>
  </si>
  <si>
    <t>ae0ba7f86594601c3dc2744295f47778</t>
  </si>
  <si>
    <t>Fortaleza</t>
  </si>
  <si>
    <t>794c69999774820e22c161f6dc4fef91</t>
  </si>
  <si>
    <t>Jatai</t>
  </si>
  <si>
    <t>7daec439cb159736ea49ba99f31b80dd</t>
  </si>
  <si>
    <t>Taboao Da Serra</t>
  </si>
  <si>
    <t>e6b85212f850856b7617804765770a0b</t>
  </si>
  <si>
    <t>Pocos De Caldas</t>
  </si>
  <si>
    <t>9c9e682bee9157ebdd3875801b35e626</t>
  </si>
  <si>
    <t>Fixed Telephony</t>
  </si>
  <si>
    <t>8a5631237c1d8626971f2867b25c076e</t>
  </si>
  <si>
    <t>Tablets Printing Image</t>
  </si>
  <si>
    <t>24014414a15d7274cad8a2917fe1f040</t>
  </si>
  <si>
    <t>26526add9da95bea7b977eff1d40d11b</t>
  </si>
  <si>
    <t>Januaria</t>
  </si>
  <si>
    <t>8e337e3b4df76fa95a5e03ba9675cb56</t>
  </si>
  <si>
    <t>193714aa21ead814cca06d425c299360</t>
  </si>
  <si>
    <t>Jundiai</t>
  </si>
  <si>
    <t>651bd7286b2e17e1e3ea7b644870e429</t>
  </si>
  <si>
    <t>0168a7f186c1f066748d15d8c51f489a</t>
  </si>
  <si>
    <t>001d8f0e34a38c37f7dba2a37d4eba8b</t>
  </si>
  <si>
    <t>fd2b4179de3cceb73bc884f6c19d85d0</t>
  </si>
  <si>
    <t>d7520dd6301787392e59dddbbc68ea22</t>
  </si>
  <si>
    <t>6607ca536882b974ea594bc640b01519</t>
  </si>
  <si>
    <t>22f469f96aaa1fdd00d0ac66369a950f</t>
  </si>
  <si>
    <t>Ubatuba</t>
  </si>
  <si>
    <t>ca91862f94f3eb805b394ae462b669a6</t>
  </si>
  <si>
    <t>71ea8340051d1eb026b7f104899eafe9</t>
  </si>
  <si>
    <t>c3cb4c7c4b963ab08b07a5dca5baf05d</t>
  </si>
  <si>
    <t>Trindade Do Sul</t>
  </si>
  <si>
    <t>123a6b2b8763ca40782c8252e63fdbca</t>
  </si>
  <si>
    <t>Campo Mourao</t>
  </si>
  <si>
    <t>c15582dfe92312e48613b9cb37caf0c8</t>
  </si>
  <si>
    <t>Carmo Do Rio Verde</t>
  </si>
  <si>
    <t>04eb8bac62618bbc56c582cd49493669</t>
  </si>
  <si>
    <t>Sao Goncalo</t>
  </si>
  <si>
    <t>7195bbe2eb284effff29db46278daad8</t>
  </si>
  <si>
    <t>Mesquita</t>
  </si>
  <si>
    <t>b9fa782d4918580e25b6e3b516a55710</t>
  </si>
  <si>
    <t>45ab65433b358cdb30d0f2af36c96e7c</t>
  </si>
  <si>
    <t>c7d3893304861d303bb8f6193525bbf0</t>
  </si>
  <si>
    <t>7ac13b045c748b7eef3f9011bd5683c9</t>
  </si>
  <si>
    <t>Cotia</t>
  </si>
  <si>
    <t>a5fb2c24c73613e69c4d3b11d5b67869</t>
  </si>
  <si>
    <t>75d5d3d16567a27eefc5752aeb063072</t>
  </si>
  <si>
    <t>a89eed32f0011eb66dcf2beb3d0fb255</t>
  </si>
  <si>
    <t>Inaja</t>
  </si>
  <si>
    <t>6eb9f3d505ab7a74d384c6b0acf7d57e</t>
  </si>
  <si>
    <t>2699d27682691fa4f6be5cfde364a833</t>
  </si>
  <si>
    <t>Dois Vizinhos</t>
  </si>
  <si>
    <t>05e52cc535bf067c2eb8337443ca0fc0</t>
  </si>
  <si>
    <t>RN</t>
  </si>
  <si>
    <t>Sao Goncalo Do Amarante</t>
  </si>
  <si>
    <t>c672b98a0a2c7259aefae3ac12397137</t>
  </si>
  <si>
    <t>Curitiba</t>
  </si>
  <si>
    <t>f1f4bec57caa5671e6bbd650b5872beb</t>
  </si>
  <si>
    <t>02058d1c3b825765a4ec45968b8a1c97</t>
  </si>
  <si>
    <t>Uberlandia</t>
  </si>
  <si>
    <t>adc288e02bde1d4f1f86ebcee288aa59</t>
  </si>
  <si>
    <t>Mongagua</t>
  </si>
  <si>
    <t>73207c3f43cbf7bc33ac5072aca58e46</t>
  </si>
  <si>
    <t>MA</t>
  </si>
  <si>
    <t>Sao Luis</t>
  </si>
  <si>
    <t>a797f338da66eefca816db5328d5e5ab</t>
  </si>
  <si>
    <t>Campo Bom</t>
  </si>
  <si>
    <t>42ba338f99f42e0261e5897c7da157c5</t>
  </si>
  <si>
    <t>6311e2bf4ff2a50d88a27f8178ed0282</t>
  </si>
  <si>
    <t>170080bcc0fb2580b853e32c5c579d5f</t>
  </si>
  <si>
    <t>ba32150c10a6a25c26b1695af824c419</t>
  </si>
  <si>
    <t>afde4304cb6e11145784b6ea2126bb33</t>
  </si>
  <si>
    <t>Itapetininga</t>
  </si>
  <si>
    <t>786baaa6b659351627edf0bbbee0648a</t>
  </si>
  <si>
    <t>Francisco Beltrao</t>
  </si>
  <si>
    <t>0a02d8b1995030c91c63add1acba1fb2</t>
  </si>
  <si>
    <t>d3eb3d3d09637fa9093a25b933eaf1d4</t>
  </si>
  <si>
    <t>Jaragua Do Sul</t>
  </si>
  <si>
    <t>e2ec4ae060b3e2662724575b47ac605c</t>
  </si>
  <si>
    <t>5857c4471757f3c88440e2f2f405c7c1</t>
  </si>
  <si>
    <t>Santa Albertina</t>
  </si>
  <si>
    <t>ca7a8803c5feb9da44e133b9f9626dc3</t>
  </si>
  <si>
    <t>Fernandopolis</t>
  </si>
  <si>
    <t>43ee3ed7fa79e982fb7de9363c7832e3</t>
  </si>
  <si>
    <t>Uberaba</t>
  </si>
  <si>
    <t>7dc2cd8c070cb20ae535d75d107741de</t>
  </si>
  <si>
    <t>62f5759d5657059823d7a8a9e25c13e0</t>
  </si>
  <si>
    <t>e1bc33c09440b7c1e0189f4653fb6bd0</t>
  </si>
  <si>
    <t>a0ba767f45d100f0a10b9c7c5ffe077e</t>
  </si>
  <si>
    <t>Lavras</t>
  </si>
  <si>
    <t>a5c81bfe0a74d9a415cff0ed027f468d</t>
  </si>
  <si>
    <t>522cbbbed021f59b773323ed5039ceee</t>
  </si>
  <si>
    <t>Patos De Minas</t>
  </si>
  <si>
    <t>e93a08b4b8bec070a829d321c8172c49</t>
  </si>
  <si>
    <t>732845be4a6dc4764fbec54f2db497b4</t>
  </si>
  <si>
    <t>Nilopolis</t>
  </si>
  <si>
    <t>236ac812debfa147da2a0e46eb8498f3</t>
  </si>
  <si>
    <t>f706c0fff2fd0328697401c325dbd429</t>
  </si>
  <si>
    <t>fddc48d507d16f1418ec7477274c2e06</t>
  </si>
  <si>
    <t>0e7ce85328efacb39ce2cb345850b969</t>
  </si>
  <si>
    <t>Porciuncula</t>
  </si>
  <si>
    <t>368be3e65256098afbe3903548d47912</t>
  </si>
  <si>
    <t>9820cf94f2ea4678a6f6b7aa8042f20c</t>
  </si>
  <si>
    <t>251d586514cbf0cace61e03c54a7bf1c</t>
  </si>
  <si>
    <t>fc06766875a10376c5a1f0b4c0320dac</t>
  </si>
  <si>
    <t>34d4a23b2feef52646bade360b2b5557</t>
  </si>
  <si>
    <t>a7cea68c8e5f1086a3267d2972a50646</t>
  </si>
  <si>
    <t>Ouro Branco</t>
  </si>
  <si>
    <t>5be2326ca192b2612fd8d601f3981dca</t>
  </si>
  <si>
    <t>Limeira</t>
  </si>
  <si>
    <t>40d2a869f24d0fcaf5a569330470313d</t>
  </si>
  <si>
    <t>Hortolandia</t>
  </si>
  <si>
    <t>0c384d67524b5b92aa2fa6c8baa9a983</t>
  </si>
  <si>
    <t>d2a63eace67f829427a227b535bf9b5c</t>
  </si>
  <si>
    <t>Resplendor</t>
  </si>
  <si>
    <t>cd6825309a436ed7785575f1ac55a38d</t>
  </si>
  <si>
    <t>276c37d3aa8872a9e3f7858b0fefa062</t>
  </si>
  <si>
    <t>Marilia</t>
  </si>
  <si>
    <t>22eed40bee218240dc8862ed7fcf4bb5</t>
  </si>
  <si>
    <t>Teofilo Otoni</t>
  </si>
  <si>
    <t>7b8b1e2fbbe6a726e3bd583956716bcb</t>
  </si>
  <si>
    <t>8ddb4b28bb9d86ac2bfcc17f93c1161e</t>
  </si>
  <si>
    <t>Pedreira</t>
  </si>
  <si>
    <t>aa2ae4efd578f1c304128a899e4d1a17</t>
  </si>
  <si>
    <t>Garopaba</t>
  </si>
  <si>
    <t>8dfcba64312b559340f9c9f65ac6205c</t>
  </si>
  <si>
    <t>Matozinhos</t>
  </si>
  <si>
    <t>1c4e3dcee9d5486d01d55a8db6d978d6</t>
  </si>
  <si>
    <t>3ea37e479ca4fb57227d43b806c98174</t>
  </si>
  <si>
    <t>Bauru</t>
  </si>
  <si>
    <t>7ef7d4f03d667e9166770e61047606f3</t>
  </si>
  <si>
    <t>Imperatriz</t>
  </si>
  <si>
    <t>76149a98fb53f831f6aa676c3193ee0f</t>
  </si>
  <si>
    <t>Alem Paraiba</t>
  </si>
  <si>
    <t>7cf0a314b3b759a5b27f4a0348de6556</t>
  </si>
  <si>
    <t>0cd27a304d5325e6b68ff9895525e09c</t>
  </si>
  <si>
    <t>23c5d822ecef1bbf136d525d59caddb8</t>
  </si>
  <si>
    <t>4f9b9fd2455e28c59c7b35969692bfe8</t>
  </si>
  <si>
    <t>Gravatai</t>
  </si>
  <si>
    <t>b4830eb292356ee360c41e0d3c239277</t>
  </si>
  <si>
    <t>ff030caf873f5d7290581e2ba5d3fd7f</t>
  </si>
  <si>
    <t>Areiopolis</t>
  </si>
  <si>
    <t>3303ae257c7df7d22445570e801fbe6e</t>
  </si>
  <si>
    <t>62faf07dbae1258c108166ee7b2ba6c8</t>
  </si>
  <si>
    <t>a622cb9542d08e3004c1a9a33a7cd859</t>
  </si>
  <si>
    <t>Videira</t>
  </si>
  <si>
    <t>e2160872fa8ab465258bfebfa962c6bf</t>
  </si>
  <si>
    <t>e93076a45234f2712bbd48cb819b0fb4</t>
  </si>
  <si>
    <t>Nova Iguacu</t>
  </si>
  <si>
    <t>54190ac792fe31ba85861d9b8c5109c4</t>
  </si>
  <si>
    <t>Duque De Caxias</t>
  </si>
  <si>
    <t>e5467d4750f397c79149b122be02fb1e</t>
  </si>
  <si>
    <t>Resende</t>
  </si>
  <si>
    <t>9366d3931a502aa67cc11909c49773af</t>
  </si>
  <si>
    <t>Guacui</t>
  </si>
  <si>
    <t>d65ce654036a4d7decce8957908be32e</t>
  </si>
  <si>
    <t>ac23bb5f547b54edd5f51fc7395f1b82</t>
  </si>
  <si>
    <t>8e1a80be84042594d3341864e0f2b082</t>
  </si>
  <si>
    <t>Assis</t>
  </si>
  <si>
    <t>7385577575de1767a08ee7b11fb6d4af</t>
  </si>
  <si>
    <t>941d8ea654e3550842584075b13918ef</t>
  </si>
  <si>
    <t>d9a58029d2a4e7730b0d6446600fdb6c</t>
  </si>
  <si>
    <t>Sao Jeronimo</t>
  </si>
  <si>
    <t>ca1968d3ea31ff0c66ba20923250e0f3</t>
  </si>
  <si>
    <t>a83773e7d7b0e1f26e479bd883cf744a</t>
  </si>
  <si>
    <t>ad3054bbcea42d1843d313b93d64d717</t>
  </si>
  <si>
    <t>d0ecd96d0c6926c81ff571a7c21bfdca</t>
  </si>
  <si>
    <t>aea359f913e18f3bda3eb24a268b28f2</t>
  </si>
  <si>
    <t>8650f273b9279f880588142245c2c398</t>
  </si>
  <si>
    <t>Mogi-Guacu</t>
  </si>
  <si>
    <t>748ba0fbe79f60119170501f3cba8b00</t>
  </si>
  <si>
    <t>Conceicao Da Aparecida</t>
  </si>
  <si>
    <t>66f3359b47e8264aac9b1ab1f7bec4d3</t>
  </si>
  <si>
    <t>7d892708f2153d1763c61337cf6ba495</t>
  </si>
  <si>
    <t>Santa Maria</t>
  </si>
  <si>
    <t>1417dca2e0baf0af7fae3c986506168a</t>
  </si>
  <si>
    <t>377e5b3fd806424e7a9aa72e8b36bb4b</t>
  </si>
  <si>
    <t>Mogi Das Cruzes</t>
  </si>
  <si>
    <t>4ef36d7c9950e291544d3a68d123992c</t>
  </si>
  <si>
    <t>Parati</t>
  </si>
  <si>
    <t>f2793cd4b64bd3a177d4a367a3cf40bd</t>
  </si>
  <si>
    <t>Icara</t>
  </si>
  <si>
    <t>833915009f90346b046a4f6cc9df0497</t>
  </si>
  <si>
    <t>Santa Vitoria</t>
  </si>
  <si>
    <t>8fdfd0573d4f3afceb521f146fbc3cf0</t>
  </si>
  <si>
    <t>Ibirama</t>
  </si>
  <si>
    <t>4d1d3523aeda82887c2875955783ba2f</t>
  </si>
  <si>
    <t>5f0d18fd02d895b6b8d05a96e97d74e7</t>
  </si>
  <si>
    <t>0910cddfc72928e063254f00c73e8d5a</t>
  </si>
  <si>
    <t>cce7e119d3482fd320eedc96e93f834c</t>
  </si>
  <si>
    <t>08d8b17740615b3cbe884f58173de3c1</t>
  </si>
  <si>
    <t>Ubaitaba</t>
  </si>
  <si>
    <t>3c276467cadfbfe2f055dbcc62e32b2d</t>
  </si>
  <si>
    <t>e36869cebed0b0d8f600f719ec0b0478</t>
  </si>
  <si>
    <t>Osasco</t>
  </si>
  <si>
    <t>fecd25ad892371b02b90415a64005d61</t>
  </si>
  <si>
    <t>Aluminio</t>
  </si>
  <si>
    <t>769214176682788a92801d8907fa1b40</t>
  </si>
  <si>
    <t>aef03c27f5449124b7b71ef2164df561</t>
  </si>
  <si>
    <t>fc4e3d907bbca064eee88088667f4e98</t>
  </si>
  <si>
    <t>Rio Do Sul</t>
  </si>
  <si>
    <t>a10e6749400b3ea4a674cec3fd3a9605</t>
  </si>
  <si>
    <t>ee038389c9f437f7c0e2d1b105a26038</t>
  </si>
  <si>
    <t>c2d00a9eb60169824e8b8cd5b0baf2d1</t>
  </si>
  <si>
    <t>Joao Pessoa</t>
  </si>
  <si>
    <t>383aa8b2724fe452d9ccd9934a8c628b</t>
  </si>
  <si>
    <t>Pedro Leopoldo</t>
  </si>
  <si>
    <t>b57b0acd76c7d8a845ed77134b2a1af8</t>
  </si>
  <si>
    <t>fcf819c2f6fb3772c2fe09e127697ba3</t>
  </si>
  <si>
    <t>Sao Jose Do Rio Preto</t>
  </si>
  <si>
    <t>d228964643ea1bbbf7ef2d4381d2c4fb</t>
  </si>
  <si>
    <t>45cd1a6af2fc3bbb9c5869ace4eef304</t>
  </si>
  <si>
    <t>Food Drink</t>
  </si>
  <si>
    <t>46d45c02db0c16939f8f1c45a9c8a344</t>
  </si>
  <si>
    <t>Armacao Dos Buzios</t>
  </si>
  <si>
    <t>fd85f9c9bfe9cc5b55c648a96a4f2598</t>
  </si>
  <si>
    <t>4f04661f0e0a1a23f6d87956884f4a02</t>
  </si>
  <si>
    <t>Caceres</t>
  </si>
  <si>
    <t>06b2c7035561ef12b16045ef4bf459e2</t>
  </si>
  <si>
    <t>Forquilhinha</t>
  </si>
  <si>
    <t>d47c2d8c2b87d0d6ef7d4db06bf359ee</t>
  </si>
  <si>
    <t>Piumhii</t>
  </si>
  <si>
    <t>6196e4f322b4f0af89d0900e2990dab8</t>
  </si>
  <si>
    <t>af5eca8e6b44dcb050c7a8ecb66fb6cc</t>
  </si>
  <si>
    <t>f77c5146e7248e3ce7934c1a2396ee70</t>
  </si>
  <si>
    <t>76bcb1e332f23e1b82baef84baaae1df</t>
  </si>
  <si>
    <t>Feira De Santana</t>
  </si>
  <si>
    <t>867323864f390e786132fb596893b398</t>
  </si>
  <si>
    <t>5be8d4719fe2e3669e2d07dddf3b6b0c</t>
  </si>
  <si>
    <t>Pitangui</t>
  </si>
  <si>
    <t>9c5bfba7de6a4abbb6ba0baab78d1622</t>
  </si>
  <si>
    <t>Petropolis</t>
  </si>
  <si>
    <t>29354cb2b4aa066762853d685a2b224d</t>
  </si>
  <si>
    <t>Vespasiano</t>
  </si>
  <si>
    <t>094df781ddda90e70dd08ad95476b181</t>
  </si>
  <si>
    <t>5faa7dafdf19e1e0e96dc20cff3a5f6b</t>
  </si>
  <si>
    <t>4e87464c041dbe651c4a28dfb19f987f</t>
  </si>
  <si>
    <t>0da9ad216b1827c67a72f0c852666c40</t>
  </si>
  <si>
    <t>Taubate</t>
  </si>
  <si>
    <t>4d31272d8cb07c4ab84562c8ae2e0fdb</t>
  </si>
  <si>
    <t>2588c3896757567ab46a721e4b36c8c8</t>
  </si>
  <si>
    <t>Sao Pedro Da Aldeia</t>
  </si>
  <si>
    <t>f5af61697fe43fe2063f350ab4e80fa5</t>
  </si>
  <si>
    <t>804e0b86e8fe8f4b319d850c87dd79bd</t>
  </si>
  <si>
    <t>f69d0a58330775f717bb47e9640e4c04</t>
  </si>
  <si>
    <t>Angra Dos Reis</t>
  </si>
  <si>
    <t>9980064d9817bacc9e261e7f5fcf3fe5</t>
  </si>
  <si>
    <t>Guaxupe</t>
  </si>
  <si>
    <t>Arts And Craftmanship</t>
  </si>
  <si>
    <t>ce771c5895b52f1d306746c60afba9b0</t>
  </si>
  <si>
    <t>c4d1c7a8479672cfedc8850e5ab6f3c8</t>
  </si>
  <si>
    <t>Altaneira</t>
  </si>
  <si>
    <t>bd12688625f6f378f5892c777f735b1d</t>
  </si>
  <si>
    <t>b6d9338eee161115391cb4c93bb1a0fc</t>
  </si>
  <si>
    <t>Sertaozinho</t>
  </si>
  <si>
    <t>5564c14d026bf6c92241f070bb98fb5b</t>
  </si>
  <si>
    <t>2955100a3a62bfef50d22b0cbe150f0d</t>
  </si>
  <si>
    <t>64b81667bcaa20ee36e42ba4997349f5</t>
  </si>
  <si>
    <t>15d972c5dd4501e8d219acbe1bea1519</t>
  </si>
  <si>
    <t>202dc36450b101f8ce80320437f258f9</t>
  </si>
  <si>
    <t>de273694b3cd5827467dbc63a115382b</t>
  </si>
  <si>
    <t>Itaguai</t>
  </si>
  <si>
    <t>e04cfa713960b9fe50d64e5082155c8b</t>
  </si>
  <si>
    <t>74b7f4373a78df8c16862d9d0875c5b4</t>
  </si>
  <si>
    <t>83073309378cf709e67e8368e97447c4</t>
  </si>
  <si>
    <t>caae7bbaec61968f200bdb5a27df0d4b</t>
  </si>
  <si>
    <t>Ouroeste</t>
  </si>
  <si>
    <t>74ba3677f15f456d0cf9f7081f3b1f30</t>
  </si>
  <si>
    <t>Loanda</t>
  </si>
  <si>
    <t>75facca3570bf0f7f953b469dbe5b8db</t>
  </si>
  <si>
    <t>e102b2494339fab55c3daf18187409a6</t>
  </si>
  <si>
    <t>7ebc6754bb5e6f1cfafe6b2c9bb6df44</t>
  </si>
  <si>
    <t>e544af259c17461504ff139fd5783179</t>
  </si>
  <si>
    <t>df90edc2d012375fadf5be70b1b6ddc9</t>
  </si>
  <si>
    <t>ba3f824b4ebed08a7a4bf92937017703</t>
  </si>
  <si>
    <t>fb8b96cba85572e4fbdaedd04f44fdb6</t>
  </si>
  <si>
    <t>64d08d57c3320c16b1e8db97bfc9b314</t>
  </si>
  <si>
    <t>fbd9022ebf9271e1952ca884a972d1bd</t>
  </si>
  <si>
    <t>Tubarao</t>
  </si>
  <si>
    <t>La Cuisine</t>
  </si>
  <si>
    <t>f59af974d2e7a5dcdb1aabdefd024c2b</t>
  </si>
  <si>
    <t>5bd66069fada7fd89c98b9a329d9737c</t>
  </si>
  <si>
    <t>8a354bb43e2659551a9e6abdc9d1e933</t>
  </si>
  <si>
    <t>ba89a3d7d01c8a2a0bbdb514a851e9f1</t>
  </si>
  <si>
    <t>81192041563939605a3e86ae0d6d8579</t>
  </si>
  <si>
    <t>Indaiatuba</t>
  </si>
  <si>
    <t>92008ae86d495f8b9098a932b499688e</t>
  </si>
  <si>
    <t>4b32a4cdfc1b80066a8ee3a4b7a2094f</t>
  </si>
  <si>
    <t>f7c5c5ff5045e13c98901bbbf8e871d4</t>
  </si>
  <si>
    <t>Iguaracu</t>
  </si>
  <si>
    <t>2dacc81722bbde834907930ea0ea3377</t>
  </si>
  <si>
    <t>ded094084602b9a58f2615372fd3a99b</t>
  </si>
  <si>
    <t>Sao Joao Del Rei</t>
  </si>
  <si>
    <t>228dba745fdc79fe3b74e70f3e8f67db</t>
  </si>
  <si>
    <t>415b8ac19f5bc8c2f9796aebb5f4b84a</t>
  </si>
  <si>
    <t>Arapongas</t>
  </si>
  <si>
    <t>fc24613395700f29adf22b2383c12bb0</t>
  </si>
  <si>
    <t>6f1a8d85b71101ab1e342aa9b8dfa5ff</t>
  </si>
  <si>
    <t>Monte Aprazivel</t>
  </si>
  <si>
    <t>628fedcd693f3b7d66306884d2c043c6</t>
  </si>
  <si>
    <t>272f2c7a76c95a5f4bae0c236a21df6e</t>
  </si>
  <si>
    <t>Itapolis</t>
  </si>
  <si>
    <t>982bda28a7b217851c89aec9e7ea5c6d</t>
  </si>
  <si>
    <t>Mage</t>
  </si>
  <si>
    <t>2cb099a54d7344bfd05b445214be4e7f</t>
  </si>
  <si>
    <t>Cajamar</t>
  </si>
  <si>
    <t>3b28f0058ea921e275c87efadc8f7c32</t>
  </si>
  <si>
    <t>486b47061ec8cb9d23cda4e69b20ecd2</t>
  </si>
  <si>
    <t>38246d20fb91403c9ed13e1aa3c665ad</t>
  </si>
  <si>
    <t>Cachoeiro De Itapemirim</t>
  </si>
  <si>
    <t>e12f5458c6b4f349a97fbf22e08d17ac</t>
  </si>
  <si>
    <t>Paicandu</t>
  </si>
  <si>
    <t>1706a936242c6f493108524653bb81a6</t>
  </si>
  <si>
    <t>Araras</t>
  </si>
  <si>
    <t>5927bb00efcc2db67e6e98500fa49629</t>
  </si>
  <si>
    <t>Conchas</t>
  </si>
  <si>
    <t>8b761bca5ade41b47694b0225c668b75</t>
  </si>
  <si>
    <t>137264e02b6bb16372279951e7258ec6</t>
  </si>
  <si>
    <t>Caxias Do Sul</t>
  </si>
  <si>
    <t>1d21d81713a3dea4ee564c915cf2fd94</t>
  </si>
  <si>
    <t>d0dcef5f811f8e0b4f67f1f26805a8a6</t>
  </si>
  <si>
    <t>e8d3219c027c07fb152bc267d5e437fc</t>
  </si>
  <si>
    <t>cf4cf05c524fb96eeedceab1be8bf4ad</t>
  </si>
  <si>
    <t>c6df20907b36a49402c4665cd5a0ce8e</t>
  </si>
  <si>
    <t>0fb5f1722ce814b29e3fb1a5286a7684</t>
  </si>
  <si>
    <t>367258cb8adb7d125d3c49861d32497f</t>
  </si>
  <si>
    <t>Quixeramobim</t>
  </si>
  <si>
    <t>0e631eca89e976f885d1ef7f7a4a4698</t>
  </si>
  <si>
    <t>Brusque</t>
  </si>
  <si>
    <t>805ae182c82a33f1abbaeb238f3fe89e</t>
  </si>
  <si>
    <t>dbb6cbbc98dbc65229f1377c7f0408c7</t>
  </si>
  <si>
    <t>99ad48402644a3968f2481defdc57947</t>
  </si>
  <si>
    <t>Criciuma</t>
  </si>
  <si>
    <t>abf40713667771b2f331cca776f225f7</t>
  </si>
  <si>
    <t>2f9df1faa244b3c72c69901d8c999539</t>
  </si>
  <si>
    <t>f3af8efd535804214ce63f6b29386312</t>
  </si>
  <si>
    <t>TO</t>
  </si>
  <si>
    <t>Palmas</t>
  </si>
  <si>
    <t>2841fd83431ec02cb85c516664c128a1</t>
  </si>
  <si>
    <t>Governador Valadares</t>
  </si>
  <si>
    <t>ea43bc65126ad69392a37907bd400c49</t>
  </si>
  <si>
    <t>Varginha</t>
  </si>
  <si>
    <t>Air Conditioning</t>
  </si>
  <si>
    <t>9c9036dccc18ec72597a1abafc18d3b4</t>
  </si>
  <si>
    <t>c11e4b7ceb73050e960f5b9ff6b75a72</t>
  </si>
  <si>
    <t>434f895a5aa9ea2fda834cbdb831a7b6</t>
  </si>
  <si>
    <t>f18f5a3bad7d9b08a5339c46ce64fdf7</t>
  </si>
  <si>
    <t>94e804cbf3da3ae66126b5d81e1f72fc</t>
  </si>
  <si>
    <t>db9564d23d5d0d213eb2a0b5ca279c2f</t>
  </si>
  <si>
    <t>1565c265f6580c91569b142d96aaa19d</t>
  </si>
  <si>
    <t>Bonfim Paulista</t>
  </si>
  <si>
    <t>b9c2b60a685ded2236d95094452a9696</t>
  </si>
  <si>
    <t>Franco Da Rocha</t>
  </si>
  <si>
    <t>47f038767a6187d148818c7b79dfcf2c</t>
  </si>
  <si>
    <t>9d9b9f1853aa3afd7906d3c011c49775</t>
  </si>
  <si>
    <t>601aeff176a15b40925c874c87b0cc16</t>
  </si>
  <si>
    <t>Itanhaem</t>
  </si>
  <si>
    <t>63c10abe3e4a1cfbeda3cdde88766893</t>
  </si>
  <si>
    <t>Iguaba Grande</t>
  </si>
  <si>
    <t>364f4189ee16cf9d0af49a63955862d2</t>
  </si>
  <si>
    <t>Ibiuna</t>
  </si>
  <si>
    <t>59edcce6e0c1bcbf94a3c4bc23950e6b</t>
  </si>
  <si>
    <t>32a36b92faf67aebedb4eea534a49c4b</t>
  </si>
  <si>
    <t>0886f12bc4f3770e8660c836cd58abbd</t>
  </si>
  <si>
    <t>81e10459552608b938a594dc56164d41</t>
  </si>
  <si>
    <t>Conceicao Do Mato Dentro</t>
  </si>
  <si>
    <t>5c12a7dbc8a84fd45bcd6c752b0f39c7</t>
  </si>
  <si>
    <t>c52137e846f3510e2bd54dfb76a006aa</t>
  </si>
  <si>
    <t>Nova Andradina</t>
  </si>
  <si>
    <t>c0f5eb23b8443f0945a621152bb6bd62</t>
  </si>
  <si>
    <t>Caiaponia</t>
  </si>
  <si>
    <t>461b40d4fc35428f6d7f4df87ae2b5b5</t>
  </si>
  <si>
    <t>Lencois Paulista</t>
  </si>
  <si>
    <t>3ad3f961be5de9064df7ea138472ab70</t>
  </si>
  <si>
    <t>Serafina Correa</t>
  </si>
  <si>
    <t>b50a7d7b24d9089159085f878aecfad0</t>
  </si>
  <si>
    <t>a15224cfcb9e6a6d8915714b32c2311a</t>
  </si>
  <si>
    <t>cdaf88f241736cd97fe9081c04c55c80</t>
  </si>
  <si>
    <t>Serrinha</t>
  </si>
  <si>
    <t>24016340d5156f96d37500c78a7fe591</t>
  </si>
  <si>
    <t>6e0b92bf7f849a26ecbd65716cf5d610</t>
  </si>
  <si>
    <t>Tabira</t>
  </si>
  <si>
    <t>4f0d4b217cab0b16c36d9bb7aa71b6f4</t>
  </si>
  <si>
    <t>8167783184672ac51f523d827def5b07</t>
  </si>
  <si>
    <t>9023f19129c14dadfacec1394f255de9</t>
  </si>
  <si>
    <t>767482d809d4cc358e3ac5ecb4204d07</t>
  </si>
  <si>
    <t>da03317cf4ac20f61db6a8c363cd4ea7</t>
  </si>
  <si>
    <t>e2cd000d3cc5a9067192e1b9f054d9c1</t>
  </si>
  <si>
    <t>Cuiaba</t>
  </si>
  <si>
    <t>90932f88aac7cb89b8de1b8635b6d393</t>
  </si>
  <si>
    <t>cc989a89a90abba764e86887625e7e26</t>
  </si>
  <si>
    <t>Torres</t>
  </si>
  <si>
    <t>fd0fb35d5a13ce62b474dfce15334b5f</t>
  </si>
  <si>
    <t>1c05b5c04855d3158e6e53760add7386</t>
  </si>
  <si>
    <t>2bea071a4b1ffc8f01204ba3f0721ac1</t>
  </si>
  <si>
    <t>eaa0211ae0667cb758713505ee149479</t>
  </si>
  <si>
    <t>dc700e0b4f7cb79e78aec3f67e817ebf</t>
  </si>
  <si>
    <t>f31821b89453086fb83d13d1ce46a51e</t>
  </si>
  <si>
    <t>8c232e13890c404488a860c3beecc9b0</t>
  </si>
  <si>
    <t>a6416406ea6958fce23536fa5eb5ce00</t>
  </si>
  <si>
    <t>0fbfebae9c3d582b0057288e551a8c0e</t>
  </si>
  <si>
    <t>Olimpia</t>
  </si>
  <si>
    <t>f947132461622a725c4661c580ab80da</t>
  </si>
  <si>
    <t>04d943e133b4033bedddc46ee516f5c4</t>
  </si>
  <si>
    <t>c3f3950db40a5207ec136f8541fa9597</t>
  </si>
  <si>
    <t>a4cfd47a44ceac0a7ebb64dd03f2a4a6</t>
  </si>
  <si>
    <t>0fb6f52cf122d35f2e5d0eed6c8d4ee1</t>
  </si>
  <si>
    <t>Fernando Prestes</t>
  </si>
  <si>
    <t>fbd089d5e60178e50dfa3b157adc9dd8</t>
  </si>
  <si>
    <t>5c718680646ca12b84c0a2444a419672</t>
  </si>
  <si>
    <t>Rio Claro</t>
  </si>
  <si>
    <t>5026ee6df4dbdda4bd738ab9943204c6</t>
  </si>
  <si>
    <t>Valenca Do Piaui</t>
  </si>
  <si>
    <t>15fc22aad8d1b227891ce61eff4128cd</t>
  </si>
  <si>
    <t>c0bfe4e5019c615b222f764dc9c20f51</t>
  </si>
  <si>
    <t>99b76e435a17f555aaa82df563fff797</t>
  </si>
  <si>
    <t>96dc07932f59d56e4ad322bd10a226c9</t>
  </si>
  <si>
    <t>c8584f2a0bdbf0ac38e859a8f7744039</t>
  </si>
  <si>
    <t>Rio Piracicaba</t>
  </si>
  <si>
    <t>0121cfa7c946e6589f50d7012d3eb5eb</t>
  </si>
  <si>
    <t>Lins</t>
  </si>
  <si>
    <t>580ae081b21388e953adf8add5a26b3b</t>
  </si>
  <si>
    <t>Sumidouro</t>
  </si>
  <si>
    <t>a2ff580cc6ca2ad0f0f7074b9f307cd0</t>
  </si>
  <si>
    <t>Sao Vicente Ferrer</t>
  </si>
  <si>
    <t>Fashion Sport</t>
  </si>
  <si>
    <t>0114835d7f0b3f674b70a989411e31c1</t>
  </si>
  <si>
    <t>4019dc88e273c81a8e284257bb938f42</t>
  </si>
  <si>
    <t>2a28f1cc22bf3914a246fdbd73d9845a</t>
  </si>
  <si>
    <t>6ae192daf1b6e9b99225e7300b79df48</t>
  </si>
  <si>
    <t>Computers</t>
  </si>
  <si>
    <t>2bcf1f79964f8b4f4f62f19441601b1a</t>
  </si>
  <si>
    <t>AC</t>
  </si>
  <si>
    <t>Rio Branco</t>
  </si>
  <si>
    <t>7651f70d3acb1fcca5c5df23cd0f4308</t>
  </si>
  <si>
    <t>Pindamonhangaba</t>
  </si>
  <si>
    <t>a21488f55d20f5d8ff41c2f3a2408cb6</t>
  </si>
  <si>
    <t>24b41566e32a4a737536859707517572</t>
  </si>
  <si>
    <t>9068e8cf49f95d4c1684f38d5e570780</t>
  </si>
  <si>
    <t>7d11ea85fd4de61373b6b8ab0387d011</t>
  </si>
  <si>
    <t>cdc1504eb9521a2941c00363ee8288d2</t>
  </si>
  <si>
    <t>Niteroi</t>
  </si>
  <si>
    <t>c86368d17ff48588fec9eae138854ea9</t>
  </si>
  <si>
    <t>9f1d354d0b38456cb1333c100e1388c5</t>
  </si>
  <si>
    <t>Barra Do Garcas</t>
  </si>
  <si>
    <t>858d458b39082890e96fbb1fed8c2a52</t>
  </si>
  <si>
    <t>8073b9d2a53026d45880252243b0c646</t>
  </si>
  <si>
    <t>a90935cd3ef2041119e57ab117b352c1</t>
  </si>
  <si>
    <t>Timon</t>
  </si>
  <si>
    <t>33b8a7eafa31cf95e33395293a78808c</t>
  </si>
  <si>
    <t>bb826b56d55ad8b42a01591762024f17</t>
  </si>
  <si>
    <t>Panambi</t>
  </si>
  <si>
    <t>d15b4a7be0aedb9cd0f4330b1703b7c0</t>
  </si>
  <si>
    <t>Sao Jose Dos Pinhais</t>
  </si>
  <si>
    <t>950e244d8e903f36efe98966a1c4e398</t>
  </si>
  <si>
    <t>64cf1005615f1de47bc3715fd74f95cd</t>
  </si>
  <si>
    <t>27a6325c93e53bfae0a9b94bc263293f</t>
  </si>
  <si>
    <t>a2b99b6a9c5b0c402cfbabfdbb69918e</t>
  </si>
  <si>
    <t>2e5e827b80515bc21c042a5181e32ec5</t>
  </si>
  <si>
    <t>8da3063f18b30c590bab1b8d083b03fd</t>
  </si>
  <si>
    <t>bdfe93bb42c76425b86540b96ef4761c</t>
  </si>
  <si>
    <t>Ivai</t>
  </si>
  <si>
    <t>f97a6e53615dfc1488e4bcf3dfe1cb2f</t>
  </si>
  <si>
    <t>Sao Gabriel</t>
  </si>
  <si>
    <t>21fab12baaa93481ad76d02fa22255eb</t>
  </si>
  <si>
    <t>Sete Lagoas</t>
  </si>
  <si>
    <t>1ca74ef1a063b31008ef4af64cdaa485</t>
  </si>
  <si>
    <t>Paracatu</t>
  </si>
  <si>
    <t>b178e047b185d2f781a3646f88ec3e52</t>
  </si>
  <si>
    <t>Itapecerica Da Serra</t>
  </si>
  <si>
    <t>f49ac798b81a51189639cb0a04d2bb69</t>
  </si>
  <si>
    <t>837b8d9b2e7afd344f8abfe25c899e7c</t>
  </si>
  <si>
    <t>Natal</t>
  </si>
  <si>
    <t>b6cc16441c0ac5d724fbbfd192b801d6</t>
  </si>
  <si>
    <t>d23a16076a7e0b48e1f7d598df7136c9</t>
  </si>
  <si>
    <t>7846a3c8592b65e93f51e381db3742c9</t>
  </si>
  <si>
    <t>Artur Nogueira</t>
  </si>
  <si>
    <t>9a1608e06e7944465b6edfeca5d2ce7b</t>
  </si>
  <si>
    <t>99766ab732ba619f1f3af1c3dde129de</t>
  </si>
  <si>
    <t>5a7b40567394cf2a17b67ace5ea32329</t>
  </si>
  <si>
    <t>67796dbbc55a23910220b90d80294285</t>
  </si>
  <si>
    <t>Cacapava</t>
  </si>
  <si>
    <t>8b8d29b32c3d5f608cde1e13cd5df23e</t>
  </si>
  <si>
    <t>Virgem Da Lapa</t>
  </si>
  <si>
    <t>44a7a7517b62c54dff21797684d6425d</t>
  </si>
  <si>
    <t>d27c9535dfd56cfe107bc9eac1ac3e31</t>
  </si>
  <si>
    <t>4aa92c909b164d4b1529ca7fbbe2fd73</t>
  </si>
  <si>
    <t>c4b4d00148bd70871b88bfa8c318b557</t>
  </si>
  <si>
    <t>c50ed2bf9927ae7e870560f6fb8894ed</t>
  </si>
  <si>
    <t>Bom Jesus</t>
  </si>
  <si>
    <t>15c7a48b6ce2d3967a7e83d40f566b70</t>
  </si>
  <si>
    <t>32ee7f6a6c903af7e78ba4484169b74e</t>
  </si>
  <si>
    <t>Ilha Solteira</t>
  </si>
  <si>
    <t>627b0adf375e47134b142cc2bff1d0ba</t>
  </si>
  <si>
    <t>3724d3f2c0cf415269a35992df297fac</t>
  </si>
  <si>
    <t>1eea1a20e6a12130a19a5299597af94a</t>
  </si>
  <si>
    <t>Santos</t>
  </si>
  <si>
    <t>3fe87c4649dc474cb4fa2f31cfa06d4b</t>
  </si>
  <si>
    <t>Xanxere</t>
  </si>
  <si>
    <t>9d586d139683c3c3f1d1f3f94ff24ec1</t>
  </si>
  <si>
    <t>Paranaiba</t>
  </si>
  <si>
    <t>b095ec7b830d94cc7e1b67fed0455c01</t>
  </si>
  <si>
    <t>0d7fa46a537318ea56d17071cd6dff66</t>
  </si>
  <si>
    <t>23d69db9fe30226c8347963edcdf819c</t>
  </si>
  <si>
    <t>Aruja</t>
  </si>
  <si>
    <t>f76a4a871a67dc644379c09dc683c967</t>
  </si>
  <si>
    <t>f431c479d2300988a101976210bc2ef7</t>
  </si>
  <si>
    <t>Carutapera</t>
  </si>
  <si>
    <t>6bd15a70199a7500ae1bcb5b7bcccd7c</t>
  </si>
  <si>
    <t>22b6314011ec44222f024670a2c91929</t>
  </si>
  <si>
    <t>e30a7c7a102b26de0c86e424f9eada78</t>
  </si>
  <si>
    <t>e163e5d0bd1d8d33300401819c279e06</t>
  </si>
  <si>
    <t>Rolante</t>
  </si>
  <si>
    <t>8391a032db0a71458e548af0b6e9eb8e</t>
  </si>
  <si>
    <t>4ff36f43b95e4fbebfa94b98f8f33847</t>
  </si>
  <si>
    <t>Sao Fidelis</t>
  </si>
  <si>
    <t>51e660b8c2d9b7f799b19b8535504fe1</t>
  </si>
  <si>
    <t>278c629504a0d7a99a3bd4da3f061141</t>
  </si>
  <si>
    <t>319d08221500b0aec75b91e63101329d</t>
  </si>
  <si>
    <t>Paulo Afonso</t>
  </si>
  <si>
    <t>b87a46bd85618ed6ad037478592c7e6a</t>
  </si>
  <si>
    <t>f25089f2ef76f59d6eeda680cebb8b01</t>
  </si>
  <si>
    <t>eeb001d21f4952518b004776f88265a0</t>
  </si>
  <si>
    <t>Eunapolis</t>
  </si>
  <si>
    <t>9053a7a342729c317ced50baf9de3040</t>
  </si>
  <si>
    <t>bbb67d2853d40d080e6e1f16f5f0a1c2</t>
  </si>
  <si>
    <t>987b7884b5b6e23a2b4d35d8213815a2</t>
  </si>
  <si>
    <t>Cruz Das Almas</t>
  </si>
  <si>
    <t>9d5ed4775557c8b39ac75a602205c915</t>
  </si>
  <si>
    <t>1df82016cb6fab694280ee06f74c65ae</t>
  </si>
  <si>
    <t>0068e836900867da359bd81db9227a33</t>
  </si>
  <si>
    <t>49a95a5cddee3f11fafeb8227253bbbc</t>
  </si>
  <si>
    <t>da54ad083bc7a0be3d23ddbf932d24a8</t>
  </si>
  <si>
    <t>65eba24f6b354696a553f0fe9719ac31</t>
  </si>
  <si>
    <t>6181e544115300a8f280b66fb5867454</t>
  </si>
  <si>
    <t>Mimoso Do Sul</t>
  </si>
  <si>
    <t>53544829cdc8e89c9fb03d74ba13a4f7</t>
  </si>
  <si>
    <t>648baaf2d0ad94dfad6cb960e3133012</t>
  </si>
  <si>
    <t>108db8c088de8e42c648bc520cec8c44</t>
  </si>
  <si>
    <t>863d4b42822d16c06f0e216b19b8233f</t>
  </si>
  <si>
    <t>1d1cd1be4eb8ccedea997348b859065d</t>
  </si>
  <si>
    <t>Pirapora</t>
  </si>
  <si>
    <t>8837cc02b9f2696152b7c99ea0c1b39e</t>
  </si>
  <si>
    <t>4fddd233c42ca366f24daa034b3adacf</t>
  </si>
  <si>
    <t>4cf6a6de996beb9d4b190c7983be98d9</t>
  </si>
  <si>
    <t>32a4b9871a273951733039d98aafff79</t>
  </si>
  <si>
    <t>c28475e383b1ded793fe443af4d1efca</t>
  </si>
  <si>
    <t>Bom Conselho</t>
  </si>
  <si>
    <t>db83da303bf20ca0e0c62da48bc6ab67</t>
  </si>
  <si>
    <t>87aade85679539a3976169c4ffba9019</t>
  </si>
  <si>
    <t>2fd592f3553f88b7489e09179c93f261</t>
  </si>
  <si>
    <t>Tambau</t>
  </si>
  <si>
    <t>Home Construction</t>
  </si>
  <si>
    <t>3a438588c7446ebe249ca2658e5e99bb</t>
  </si>
  <si>
    <t>f57f7dbab452c458aa02f002370f6501</t>
  </si>
  <si>
    <t>dce981ab14f4becc124df8d2039fa44d</t>
  </si>
  <si>
    <t>2b766b959bb75e5cfef89489c1f26c6c</t>
  </si>
  <si>
    <t>Itabuna</t>
  </si>
  <si>
    <t>28c3c716d01cc934376d3bebea04da92</t>
  </si>
  <si>
    <t>801d980e779937cd76e2cb8de056a680</t>
  </si>
  <si>
    <t>Volta Redonda</t>
  </si>
  <si>
    <t>Art</t>
  </si>
  <si>
    <t>3e7d62de8eab0ea8d37a2983df8f7af9</t>
  </si>
  <si>
    <t>Jaguariuna</t>
  </si>
  <si>
    <t>cddae6b27b19d9567cff159df9498da1</t>
  </si>
  <si>
    <t>d6eaa14b089c4b3a1a97f905d9836018</t>
  </si>
  <si>
    <t>b4b9e15f3787253b781c561f2d8f7eb7</t>
  </si>
  <si>
    <t>Buritis</t>
  </si>
  <si>
    <t>fe35b95a8b1a9a4368bb624adbf8f727</t>
  </si>
  <si>
    <t>Barretos</t>
  </si>
  <si>
    <t>7141b87b44fdcff68e7feeb4a99fd6c8</t>
  </si>
  <si>
    <t>e29e00dc95dbbb50686a9fbb9bf2177f</t>
  </si>
  <si>
    <t>6ee07bb000ad56123f660b23dabed4ab</t>
  </si>
  <si>
    <t>5efb55c3cc550a13a9af885e225f8d9e</t>
  </si>
  <si>
    <t>70d311beea4bad34a599296c2095e449</t>
  </si>
  <si>
    <t>Campo Grande</t>
  </si>
  <si>
    <t>bf57d88907afc221e0eeb3e12da03657</t>
  </si>
  <si>
    <t>d9d4a02bb9f1087deec1dae728740cdb</t>
  </si>
  <si>
    <t>711231d01dea504ad47e0d6b7a229592</t>
  </si>
  <si>
    <t>adf1d1f9f725c103056bae5f78d77513</t>
  </si>
  <si>
    <t>4105ca90d9e907e648f52d22593d140c</t>
  </si>
  <si>
    <t>Campos Dos Goytacazes</t>
  </si>
  <si>
    <t>3c8fc3d2e9a8fee24a671599d99befaa</t>
  </si>
  <si>
    <t>Esmeralda</t>
  </si>
  <si>
    <t>559d83199eaa46854cd06da9ce8961fa</t>
  </si>
  <si>
    <t>9917855d5e68773f7db62f2dbfc06f71</t>
  </si>
  <si>
    <t>Sao Jose De Ribamar</t>
  </si>
  <si>
    <t>735349ca95c43f6af88a10437821de08</t>
  </si>
  <si>
    <t>b525cb89f39363a599eef15755cf73dd</t>
  </si>
  <si>
    <t>Araquari</t>
  </si>
  <si>
    <t>4a5906e48505c6f9113eb64d283949a6</t>
  </si>
  <si>
    <t>9feac9aefe68aad21858f5edd41855bd</t>
  </si>
  <si>
    <t>d23f875f926f3aa507fece98b8e8d80a</t>
  </si>
  <si>
    <t>186e57039f508947e4bdc91cf933b1bf</t>
  </si>
  <si>
    <t>5ca57aaa41a5c6f09fb5e21506809d3b</t>
  </si>
  <si>
    <t>3bce4193e30b36d4d3284df3fa96d77f</t>
  </si>
  <si>
    <t>b002f1139d86ddfc3579ad4d0fe8556a</t>
  </si>
  <si>
    <t>Macae</t>
  </si>
  <si>
    <t>dec8f082d09a6365bc6ea5a9eb542827</t>
  </si>
  <si>
    <t>ee0431aa779ab9e13b643a5aaaaca67b</t>
  </si>
  <si>
    <t>98b0796c2b195347f4f85906a2b6c373</t>
  </si>
  <si>
    <t>e8dea63f68386b3d95962ffb4dc4aaea</t>
  </si>
  <si>
    <t>9e7298f5bfed83404b628b69f965c94d</t>
  </si>
  <si>
    <t>Anapolis</t>
  </si>
  <si>
    <t>Home Comfort 2</t>
  </si>
  <si>
    <t>e0788e95b53fbcfd9955d96e0fcade45</t>
  </si>
  <si>
    <t>77c820f0779ad518a4a2c6ddba08477c</t>
  </si>
  <si>
    <t>aec60126960aee6d77661b2358b6cea5</t>
  </si>
  <si>
    <t>Nova Guarita</t>
  </si>
  <si>
    <t>50767c383e0ad56bb2cd8cdf8f6c1d3a</t>
  </si>
  <si>
    <t>Atibaia</t>
  </si>
  <si>
    <t>0bd46f135d0346fb97b4901188374829</t>
  </si>
  <si>
    <t>16da11712ebb71eea9d451ac99d0bc52</t>
  </si>
  <si>
    <t>214f01607529c68623e62bcf73e8397f</t>
  </si>
  <si>
    <t>4eb910d27cb13ee96a5e5c6dacfe4e4a</t>
  </si>
  <si>
    <t>04cfd74948a554f6f404e78f54f26b22</t>
  </si>
  <si>
    <t>e334ab4c4f7e57c1687890de298f81e2</t>
  </si>
  <si>
    <t>bb8feb5c5a3d07a1e5e2ae3670a27910</t>
  </si>
  <si>
    <t>806508916d09b540a66a7487473a6e7e</t>
  </si>
  <si>
    <t>8e7c39692005bd922dd07d56bd036e87</t>
  </si>
  <si>
    <t>b01d2b10f2ee7aa7aad90c41c372e2b2</t>
  </si>
  <si>
    <t>57da72fe3874a5e5770131fc98e0b309</t>
  </si>
  <si>
    <t>e47353f32490612c3a0666507c09b8fb</t>
  </si>
  <si>
    <t>8a3b1e83e4d61d19b4a8981b81368711</t>
  </si>
  <si>
    <t>Sao Joaquim De Bicas</t>
  </si>
  <si>
    <t>b27251efdb174e33b4c62af317cdc06f</t>
  </si>
  <si>
    <t>d4e8d3bb5e3673ed68ac154fe86de946</t>
  </si>
  <si>
    <t>Passo Fundo</t>
  </si>
  <si>
    <t>Cds Dvds Musicals</t>
  </si>
  <si>
    <t>fb1ff5a3430d6e656729b29ddb15a0ab</t>
  </si>
  <si>
    <t>3d5857f4fdb1061d247dea2544782580</t>
  </si>
  <si>
    <t>f73057ef32b68991b54f0ec78f235b90</t>
  </si>
  <si>
    <t>99e953d50d17e4e1d68a655b1b3f1527</t>
  </si>
  <si>
    <t>a7bb712415c546b9e2576faddd6ac5b1</t>
  </si>
  <si>
    <t>f817d900e054fb4fbebf7b7a3c2bdb1d</t>
  </si>
  <si>
    <t>9a08a80ee31726cd3fbd528ae95b83fd</t>
  </si>
  <si>
    <t>Vicosa</t>
  </si>
  <si>
    <t>bdf15710eda59b7ede173c565c787a83</t>
  </si>
  <si>
    <t>Santa Rita</t>
  </si>
  <si>
    <t>607d8f6570c73e6a2e553908d572abc7</t>
  </si>
  <si>
    <t>69f57d3eb1a981a8fd71d99c39bb6109</t>
  </si>
  <si>
    <t>Ibaiti</t>
  </si>
  <si>
    <t>157ce7659b9b7262b5f2676b198356eb</t>
  </si>
  <si>
    <t>bfccbf3f4c803a60b641433bc8affe01</t>
  </si>
  <si>
    <t>d43b7a0e941b30ad41b6ff00ce74d59a</t>
  </si>
  <si>
    <t>d7b2d3b902441cf3dd12cd125533217d</t>
  </si>
  <si>
    <t>Abatia</t>
  </si>
  <si>
    <t>489e9a78bc86403a43eed56b15c7c266</t>
  </si>
  <si>
    <t>5dbbb88d9ab8820dbe265323e2ab44a9</t>
  </si>
  <si>
    <t>30552396e65cfc4856e8520b7867414f</t>
  </si>
  <si>
    <t>ff65c06d9d1fcec5dfefe1dbeb606e5f</t>
  </si>
  <si>
    <t>cba6625a547cd5ad8a968733b3e23d8d</t>
  </si>
  <si>
    <t>8ef12780aa1f3903b1d9ab621f69abfb</t>
  </si>
  <si>
    <t>Paulista</t>
  </si>
  <si>
    <t>829f9def41c63a3e1d787ae15d45540c</t>
  </si>
  <si>
    <t>a235dd3be106ba5b2ea4610274402898</t>
  </si>
  <si>
    <t>59823eb85efc0c6ee2cbc0567486757f</t>
  </si>
  <si>
    <t>Corumba</t>
  </si>
  <si>
    <t>e2456fa3a339b1e8aa3ea8045a1ead4e</t>
  </si>
  <si>
    <t>ff903285ed6a7f76ecda147fc463ef57</t>
  </si>
  <si>
    <t>c3ea3d111a47aec730f0a2aa73a6588b</t>
  </si>
  <si>
    <t>f55dda7072d923a3191dbca61f40d8e3</t>
  </si>
  <si>
    <t>45f42317b5fa7a5f4822b837d7e8304b</t>
  </si>
  <si>
    <t>9bbcf2413e13209e34df2de7b7ce161c</t>
  </si>
  <si>
    <t>15c820a6083da915f1212f0945b3d90b</t>
  </si>
  <si>
    <t>05ea901eba2a26661f43478b5c6b02d0</t>
  </si>
  <si>
    <t>e417e04e3bc1fdac9c19f9fc5e137527</t>
  </si>
  <si>
    <t>Rio Grande Da Serra</t>
  </si>
  <si>
    <t>4172384c4b3c2ef103c55f5dc3086b9e</t>
  </si>
  <si>
    <t>de4661d6593c1c713abab1b11549f6c7</t>
  </si>
  <si>
    <t>b80fc8c055d4c16d2b52eccba884d820</t>
  </si>
  <si>
    <t>68b4f0f2635234fcc9cbcd65b082e5b7</t>
  </si>
  <si>
    <t>a9ad04772c6cf0d63efb9444ea80bbaa</t>
  </si>
  <si>
    <t>5e539665f1f68fe6afeedd57ecf888ab</t>
  </si>
  <si>
    <t>d9a7926047f158ca6ab53261baaef77b</t>
  </si>
  <si>
    <t>7c1bc8447c240b37b3ce9222a1daf420</t>
  </si>
  <si>
    <t>Christmas Supplies</t>
  </si>
  <si>
    <t>7b88b6206dd4a32a6d7301d8d6973303</t>
  </si>
  <si>
    <t>Itambaraca</t>
  </si>
  <si>
    <t>7f9e8cb77e9702ff5d15ca7dbca58cc4</t>
  </si>
  <si>
    <t>bcca8157ee4f7b0cd2e0505b01764144</t>
  </si>
  <si>
    <t>cf196f76ab79db89d7a714a242256df1</t>
  </si>
  <si>
    <t>b149455fa7496682b0416179a74cb8bb</t>
  </si>
  <si>
    <t>Jau</t>
  </si>
  <si>
    <t>26543fb8b34f4547bcbbd431f998ee76</t>
  </si>
  <si>
    <t>0cf808a0c021f642770317ad30665b02</t>
  </si>
  <si>
    <t>195f299b40b4d78afa81a4109b618c02</t>
  </si>
  <si>
    <t>5b30ad24f4e7ba20015ff2f3c2c30aa5</t>
  </si>
  <si>
    <t>873b89c80c9a05f055f4670e055293ce</t>
  </si>
  <si>
    <t>Alfenas</t>
  </si>
  <si>
    <t>a4b320bb74cd579c4f58521b47a4e538</t>
  </si>
  <si>
    <t>acc5c9844167d3c176f5f31fb0b06bce</t>
  </si>
  <si>
    <t>aef435f2f2eacf2953e3f43710f594b8</t>
  </si>
  <si>
    <t>2fb5944fe8b440b6b1e35e1a05eb92cf</t>
  </si>
  <si>
    <t>fd9a39b683e84eb96a5c8a4f999f22ea</t>
  </si>
  <si>
    <t>958aa1646dcfb7f03d8c959ba685afd2</t>
  </si>
  <si>
    <t>Primavera Do Leste</t>
  </si>
  <si>
    <t>fa7de3e55c7d7ca3a98315decdc0d244</t>
  </si>
  <si>
    <t>3f4f4efff28e8872522bbba90393b7df</t>
  </si>
  <si>
    <t>342dfdaa2bf160f340fa0e54781e5b09</t>
  </si>
  <si>
    <t>67642a6b87ab5c8cdfffd5b81da8a501</t>
  </si>
  <si>
    <t>Varzea Da Palma</t>
  </si>
  <si>
    <t>c50e38fc8b688b01c6a4109a6e075977</t>
  </si>
  <si>
    <t>1c7e4165f3f62e0f9ffe766a0ed93f57</t>
  </si>
  <si>
    <t>Manhuacu</t>
  </si>
  <si>
    <t>abbd44be67f3cad08ffac14daf36af60</t>
  </si>
  <si>
    <t>Ituiutaba</t>
  </si>
  <si>
    <t>b9075978138552299e67a2f2c430b75b</t>
  </si>
  <si>
    <t>86278332ca8c82016ab4aa45191c71f4</t>
  </si>
  <si>
    <t>28ad66aa146c8f2837d1046948e3efa0</t>
  </si>
  <si>
    <t>39e5dc2022ca487e81f4bfa3d855e649</t>
  </si>
  <si>
    <t>5c284ea765f41493a972351bb356a00b</t>
  </si>
  <si>
    <t>d8d5f372b6b1d10843065cbd97d6c55b</t>
  </si>
  <si>
    <t>ea6ff0ed3f74b7699b032447def50d75</t>
  </si>
  <si>
    <t>ac62d970206a88360318e1eff941c6ec</t>
  </si>
  <si>
    <t>563c431a361a75cff783684f644d7601</t>
  </si>
  <si>
    <t>Mirassol D'Oeste</t>
  </si>
  <si>
    <t>1f206aee577f50401576d48a17d2249e</t>
  </si>
  <si>
    <t>Cabaceiras Do Paraguacu</t>
  </si>
  <si>
    <t>f56432d05172df07d256233e2b1f36dc</t>
  </si>
  <si>
    <t>Sao Joao De Meriti</t>
  </si>
  <si>
    <t>299924bc222337ced037752aa8327ea7</t>
  </si>
  <si>
    <t>1e189a60261c3efb60bdace6d37ac223</t>
  </si>
  <si>
    <t>c44b12ec22f1d6794e86f30078e7f65e</t>
  </si>
  <si>
    <t>458c3dd955b92e9289432f66ec35cf10</t>
  </si>
  <si>
    <t>Dracena</t>
  </si>
  <si>
    <t>Home Appliances 2</t>
  </si>
  <si>
    <t>707029282a0541fda1572e968b5d35b2</t>
  </si>
  <si>
    <t>a4257577d2432792f269e787bac8fb46</t>
  </si>
  <si>
    <t>3869937e33c68a5ec38cde1f19a6968c</t>
  </si>
  <si>
    <t>3af4df025cdc05a4aa2c7402f1b32d56</t>
  </si>
  <si>
    <t>82f82b9841866db1e2221eb82a0a85cc</t>
  </si>
  <si>
    <t>2baebe65c04491d526afff8c7b67703c</t>
  </si>
  <si>
    <t>Herval D'Oeste</t>
  </si>
  <si>
    <t>52c41e4882172d2311d038615bf36d46</t>
  </si>
  <si>
    <t>988fa10af6e2e1509c1afc489dcd6b91</t>
  </si>
  <si>
    <t>Diadema</t>
  </si>
  <si>
    <t>a29ff9ad73114cca7be0859ec0cddd74</t>
  </si>
  <si>
    <t>Tanabi</t>
  </si>
  <si>
    <t>489e6c889dd29088ff5646a8c6d106ad</t>
  </si>
  <si>
    <t>9307eb406f745cbdb5934be961d05e9d</t>
  </si>
  <si>
    <t>Cerqueira Cesar</t>
  </si>
  <si>
    <t>7af55e090c72474dfc02e91b82ed8c25</t>
  </si>
  <si>
    <t>d14e5c5300262d554b76179fa67e6f71</t>
  </si>
  <si>
    <t>Quarai</t>
  </si>
  <si>
    <t>0b1e1706859ca49fb88d353540f6eaa2</t>
  </si>
  <si>
    <t>214dc459e6a86173054c659d579491d7</t>
  </si>
  <si>
    <t>Vitoria Da Conquista</t>
  </si>
  <si>
    <t>570daa876f56bc4b6b5e503e01318c0e</t>
  </si>
  <si>
    <t>e5af575637557e5be53b2df8b32a5452</t>
  </si>
  <si>
    <t>Sao Geraldo</t>
  </si>
  <si>
    <t>b7441c24c727cdf423f8339a62447193</t>
  </si>
  <si>
    <t>Mirassol</t>
  </si>
  <si>
    <t>f4eda4d97fa21f60b8c95b433085d2f4</t>
  </si>
  <si>
    <t>Tome-Acu</t>
  </si>
  <si>
    <t>e223f6ac4712ef4fd137edd9cc2bbdd7</t>
  </si>
  <si>
    <t>594c468bf0e84130d7184c7c872d7e11</t>
  </si>
  <si>
    <t>Cerro Largo</t>
  </si>
  <si>
    <t>5b5d782bca63dbe7af94679f334e3b6a</t>
  </si>
  <si>
    <t>Maringa</t>
  </si>
  <si>
    <t>0c6829c9d92a6bb545d7bf1734d094c6</t>
  </si>
  <si>
    <t>f6aeaaa897aaaf586ac05fb8d821ed9e</t>
  </si>
  <si>
    <t>Piranguinho</t>
  </si>
  <si>
    <t>d1ec7466f63d4130fa5536cc1cc69229</t>
  </si>
  <si>
    <t>a93a558f0f06c1f1e70e57f2928826a5</t>
  </si>
  <si>
    <t>4060a8c4cf4cdd2f9ffd6f7af3930fde</t>
  </si>
  <si>
    <t>Sao Cristovao</t>
  </si>
  <si>
    <t>84e4486c820db46414cbfb1dbbe80889</t>
  </si>
  <si>
    <t>27cf3bc7a008cb9eb712e4db141d25a2</t>
  </si>
  <si>
    <t>Cine Photo</t>
  </si>
  <si>
    <t>9d3bb95e31653d7f709918f0979f6d5a</t>
  </si>
  <si>
    <t>Ilheus</t>
  </si>
  <si>
    <t>291cc6d48f9475a822aecd9c9a78d4ac</t>
  </si>
  <si>
    <t>Itu</t>
  </si>
  <si>
    <t>90acf5654782a289ffd89f1759287595</t>
  </si>
  <si>
    <t>4a1a527ff317ce92a076fa6aed06508d</t>
  </si>
  <si>
    <t>Adamantina</t>
  </si>
  <si>
    <t>3e7a5341d84707eefa28c4d2273e60ae</t>
  </si>
  <si>
    <t>5590b14b260d2f61b2db5efb8d4a4601</t>
  </si>
  <si>
    <t>860a775a4c01146f0dac9eebe2ac8461</t>
  </si>
  <si>
    <t>Araruama</t>
  </si>
  <si>
    <t>1a75ed2e9cc04b329fbbf472ea0ea100</t>
  </si>
  <si>
    <t>Carlos Barbosa</t>
  </si>
  <si>
    <t>cf9b4a50fa5f421075dbe48dc3a1e30f</t>
  </si>
  <si>
    <t>Pontes E Lacerda</t>
  </si>
  <si>
    <t>a557a0d8ff0129cd241d2bca612b3d6f</t>
  </si>
  <si>
    <t>0d597bde3929912cb11ba2fe571a4267</t>
  </si>
  <si>
    <t>fb46ec58122be3837cc47f9d175de2bf</t>
  </si>
  <si>
    <t>722d169b73fb0bc2bb0e38ff703e9621</t>
  </si>
  <si>
    <t>bc5fcaf4a4f6d91e1b1037bb261e1ee5</t>
  </si>
  <si>
    <t>1f448aec779fffc0060134f9c1c19370</t>
  </si>
  <si>
    <t>c0248cae5b63c3be878360d970ee5ace</t>
  </si>
  <si>
    <t>Itupeva</t>
  </si>
  <si>
    <t>ad4c9fc51e6080fe19b1e0a62752d55d</t>
  </si>
  <si>
    <t>Araguari</t>
  </si>
  <si>
    <t>347af76e162e8281d4d37d7d7f103f81</t>
  </si>
  <si>
    <t>Embu Das Artes</t>
  </si>
  <si>
    <t>62de3bac0c9f33a23cf2c5c42bff7442</t>
  </si>
  <si>
    <t>Cruz Alta</t>
  </si>
  <si>
    <t>e644846cdecdccd138e86d1f488e1abb</t>
  </si>
  <si>
    <t>f3f48b527972908a9a5c7f5593eea307</t>
  </si>
  <si>
    <t>Dom Silverio</t>
  </si>
  <si>
    <t>d77cf2f162aee9c140d2b98ed09019c9</t>
  </si>
  <si>
    <t>6a6f6e316fbfc5524414489d06c8533c</t>
  </si>
  <si>
    <t>Crateus</t>
  </si>
  <si>
    <t>08eef0ee40e395cb547563fc31ab1bd7</t>
  </si>
  <si>
    <t>ced16c8394f44cb7ea012b774a490f88</t>
  </si>
  <si>
    <t>Chapeco</t>
  </si>
  <si>
    <t>ad5538038b65b82a8d6b39d9dafde26d</t>
  </si>
  <si>
    <t>b38b7224daf780cbff9e261080b46068</t>
  </si>
  <si>
    <t>Cajuru</t>
  </si>
  <si>
    <t>d748ba7c92c165252bd17cae1b93fd81</t>
  </si>
  <si>
    <t>6416f07d133c720705c402021f612b58</t>
  </si>
  <si>
    <t>31872f695709e7f0758597816a444cf2</t>
  </si>
  <si>
    <t>Botucatu</t>
  </si>
  <si>
    <t>a2a701c6f01ddffde8a1bde136ed7d4a</t>
  </si>
  <si>
    <t>406c8182de18b2d9a20676f34b35ca6b</t>
  </si>
  <si>
    <t>Santo Antonio Do Monte</t>
  </si>
  <si>
    <t>d81e6712eb9cf9f1fcc36ef44e2a19a2</t>
  </si>
  <si>
    <t>Casimiro De Abreu</t>
  </si>
  <si>
    <t>9184e4fb03ebdcb5a06a6d1237463ca5</t>
  </si>
  <si>
    <t>Triunfo</t>
  </si>
  <si>
    <t>3310a2bd8c292776c39ea3fa6cb47447</t>
  </si>
  <si>
    <t>e475e7ce217d2a677451521dce3d35d2</t>
  </si>
  <si>
    <t>8365af41fac1717b66572b10b9c060c3</t>
  </si>
  <si>
    <t>d0bd537e7e77a73e81af9b780f6a4c17</t>
  </si>
  <si>
    <t>714139cb1b46c8e5aee546ebdb5aeb4d</t>
  </si>
  <si>
    <t>81947fd909118ca9f929a299e6eecdd2</t>
  </si>
  <si>
    <t>18365e069e7aa176d76d25df0a233e6a</t>
  </si>
  <si>
    <t>Jacunda</t>
  </si>
  <si>
    <t>9aab0bd41ca1b740b564ea50fd2440ed</t>
  </si>
  <si>
    <t>104a388dc1207b546c35e97288953ef2</t>
  </si>
  <si>
    <t>Lauro De Freitas</t>
  </si>
  <si>
    <t>6aa38fd3d451d8aec32d57d833b04083</t>
  </si>
  <si>
    <t>Assis Chateaubriand</t>
  </si>
  <si>
    <t>dc183ce4a7e5a8eb1e5f0206b200299d</t>
  </si>
  <si>
    <t>a816f03325c6f977257fa2cf3608de6c</t>
  </si>
  <si>
    <t>e93c226c60a57236abb9d0962b440be9</t>
  </si>
  <si>
    <t>85924005925accc8a231a9d98c6d0fea</t>
  </si>
  <si>
    <t>Castanhal</t>
  </si>
  <si>
    <t>c6f44ba4b2b07a646635d107f3b88100</t>
  </si>
  <si>
    <t>c49ca2cf4b3efb3181fee5b28388b4a1</t>
  </si>
  <si>
    <t>3ca9bfb188b7a5dee65700923d088502</t>
  </si>
  <si>
    <t>f3c2158661b32530c0482c598745fc61</t>
  </si>
  <si>
    <t>06c1184eaca6e3877347f38cfe926100</t>
  </si>
  <si>
    <t>43e5d97c6f9174919eb5141c513b8a9d</t>
  </si>
  <si>
    <t>bbe5ef975154a7473c4c595fa3385edc</t>
  </si>
  <si>
    <t>e865720063d35fe789029a6021f2df31</t>
  </si>
  <si>
    <t>fc1f487d0efab2d3865ea6a570eaa9e7</t>
  </si>
  <si>
    <t>Urussanga</t>
  </si>
  <si>
    <t>3d435ea4c7b8ac007710c6aa2e6da685</t>
  </si>
  <si>
    <t>Nova Era</t>
  </si>
  <si>
    <t>d2963c58df9137ef973abf2f3a8c634f</t>
  </si>
  <si>
    <t>Poa</t>
  </si>
  <si>
    <t>Fashio Female Clothing</t>
  </si>
  <si>
    <t>151a3f0bc95fa85152c33fb906012832</t>
  </si>
  <si>
    <t>95d178d6496b60f86073770baf392c4c</t>
  </si>
  <si>
    <t>1441bdf56d9316c4649d04ecf5055bf5</t>
  </si>
  <si>
    <t>be7cd2ed9b40294805a5db0da7b36af8</t>
  </si>
  <si>
    <t>64d530ee7914438bb094a16e225c7cad</t>
  </si>
  <si>
    <t>e52d6fd1fb812c9f263fd19fddb957d9</t>
  </si>
  <si>
    <t>Tupa</t>
  </si>
  <si>
    <t>a98fe09b46d38252ffe1bcccb1a6641b</t>
  </si>
  <si>
    <t>Itauna</t>
  </si>
  <si>
    <t>b1d22c557be74f08bc72282e60ee1e4a</t>
  </si>
  <si>
    <t>Marechal Floriano</t>
  </si>
  <si>
    <t>b90e0b3baf0ccf666aa0e0631dfdb174</t>
  </si>
  <si>
    <t>e9a22dcbd75fcabceb686e5d6745b07b</t>
  </si>
  <si>
    <t>31228e47008f9cc210b5e033723dad1d</t>
  </si>
  <si>
    <t>df9cb95519f5099c6717f4f8b8633802</t>
  </si>
  <si>
    <t>b267a93efe393aa916c574caac6c9dfb</t>
  </si>
  <si>
    <t>0547acbb31f582333f75c3fca2652969</t>
  </si>
  <si>
    <t>715e53f481c6c6658f3c573d30df4b12</t>
  </si>
  <si>
    <t>Espirito Santo Do Pinhal</t>
  </si>
  <si>
    <t>d0a40dd7cfaabfc2d7f0c6de2ab71b34</t>
  </si>
  <si>
    <t>a0c370a65210b6a6e739cf8e302b9c77</t>
  </si>
  <si>
    <t>Bento Goncalves</t>
  </si>
  <si>
    <t>3d0fabe57f53334a24d36872a001f23c</t>
  </si>
  <si>
    <t>8bf34e270470d172db01882f498e9162</t>
  </si>
  <si>
    <t>Bambui</t>
  </si>
  <si>
    <t>5dedda64af4ddc15c731da483184f324</t>
  </si>
  <si>
    <t>Guaruja</t>
  </si>
  <si>
    <t>228d2ded13bc7bedb8ef5d4534b48033</t>
  </si>
  <si>
    <t>134f7360b1704296a29b44585e183989</t>
  </si>
  <si>
    <t>40aaae873a0360f8189aa9ad6a528fe5</t>
  </si>
  <si>
    <t>0c4d9abe48221137e67e9d01a442df13</t>
  </si>
  <si>
    <t>a510c00bf911ad87c19350719d460ecd</t>
  </si>
  <si>
    <t>Luis Eduardo Magalhaes</t>
  </si>
  <si>
    <t>Costruction Tools Garden</t>
  </si>
  <si>
    <t>90fdc874aae30f20d38d3cf1cd9161fb</t>
  </si>
  <si>
    <t>Tiete</t>
  </si>
  <si>
    <t>706a381b79e44be10223ef1a12a71d8f</t>
  </si>
  <si>
    <t>da47f3e1d422ef0acfa45d3a81f0085f</t>
  </si>
  <si>
    <t>eb54651b02b959e50ba4adaabeedfe80</t>
  </si>
  <si>
    <t>682fba8f9ac0c164d162ff702d6bcc23</t>
  </si>
  <si>
    <t>c5c82d0544e75ee9ca884b6f458dfaba</t>
  </si>
  <si>
    <t>fea59446572d8db3b8e9709ab5c096d6</t>
  </si>
  <si>
    <t>7ae71abc97f94b456e51ef1227164c79</t>
  </si>
  <si>
    <t>Valinhos</t>
  </si>
  <si>
    <t>d4d140e1cbc20856440a8343432848c4</t>
  </si>
  <si>
    <t>Pinheiral</t>
  </si>
  <si>
    <t>f65f13aa0f61098cebf314daa13a51da</t>
  </si>
  <si>
    <t>9c6b8dfbae8e7bac6fa1e9f198a5bb76</t>
  </si>
  <si>
    <t>72ca18d829e0a0e0a9165f32316fefad</t>
  </si>
  <si>
    <t>d72d470d3183857c15873b43a50fa314</t>
  </si>
  <si>
    <t>Peixoto De Azevedo</t>
  </si>
  <si>
    <t>f40512005e99b84b0daf7b1ace9dbc7f</t>
  </si>
  <si>
    <t>9acc06ae2e1207f5e808f38266a19328</t>
  </si>
  <si>
    <t>Agudos</t>
  </si>
  <si>
    <t>87d003714879bdc9c2adfe35a47268a4</t>
  </si>
  <si>
    <t>Turvo</t>
  </si>
  <si>
    <t>2b0c5e8ea478e2c617ff8717b4356bac</t>
  </si>
  <si>
    <t>38b7ab73ffe50166a40179ecf80bfdc9</t>
  </si>
  <si>
    <t>7090915026396fe970a03b8c4c6f0d95</t>
  </si>
  <si>
    <t>c44f6d4c3cb98eb24f64eb9e2a39dd20</t>
  </si>
  <si>
    <t>872b0a6374bd5ab3b5ade0ebb28ff731</t>
  </si>
  <si>
    <t>28da718adba0d004199488ce3106152a</t>
  </si>
  <si>
    <t>Cambara</t>
  </si>
  <si>
    <t>6bf6d79b7a1a551ef6621a52c435ed1e</t>
  </si>
  <si>
    <t>4d9b3932e6baf037f736be12e0a936b3</t>
  </si>
  <si>
    <t>717f4581cd1688ffb536d815e2636d10</t>
  </si>
  <si>
    <t>Braganca</t>
  </si>
  <si>
    <t>bde8c7ae87400615f77bc90cfe254f38</t>
  </si>
  <si>
    <t>783fc14b5c2cdc4ba848ad7f129c5df4</t>
  </si>
  <si>
    <t>5730dad6ecb4f73d55da69d127c2bb6b</t>
  </si>
  <si>
    <t>a958c63d82402d33056428ad710622d0</t>
  </si>
  <si>
    <t>Ouro Fino</t>
  </si>
  <si>
    <t>a50456c8fe575e192697e5f87d77a52a</t>
  </si>
  <si>
    <t>25e8ea4e93396b6fa0d3dd708e76c1bd</t>
  </si>
  <si>
    <t>644ae2fc953e74a21a0bd28b2049242e</t>
  </si>
  <si>
    <t>a2c59c47f95c0845b1c8a7f994d91975</t>
  </si>
  <si>
    <t>58f78889d519f0f0e53677426ce13bb2</t>
  </si>
  <si>
    <t>375e959b0c2a17fef2be1bdaa03fa1b6</t>
  </si>
  <si>
    <t>81dec63f48ee4e24401d392921393ab3</t>
  </si>
  <si>
    <t>356108ac93685d12f65fe827e25bb138</t>
  </si>
  <si>
    <t>Aguas Vermelhas</t>
  </si>
  <si>
    <t>f176a8c0c4ffb7157fbf436b5124819c</t>
  </si>
  <si>
    <t>a8698bce49d9222fa1a1b4cfb3cba3ef</t>
  </si>
  <si>
    <t>Ceara-Mirim</t>
  </si>
  <si>
    <t>45ce8dda01ccf2cc620de1c68ea95bdb</t>
  </si>
  <si>
    <t>fba03e479515f8c1325bb25a8704418c</t>
  </si>
  <si>
    <t>Books Imported</t>
  </si>
  <si>
    <t>8cb5fe50fcb1a1155fa2f27857895eaf</t>
  </si>
  <si>
    <t>1106fe72d8d349daa85a1183335bdda4</t>
  </si>
  <si>
    <t>c0f23917399cf4c9d0828ab1e16c86c6</t>
  </si>
  <si>
    <t>92aac24381f1c7944500e5b66d70efa7</t>
  </si>
  <si>
    <t>0eef4793bf3001d7eb4df206c37dffc9</t>
  </si>
  <si>
    <t>Itarare</t>
  </si>
  <si>
    <t>d74a4114b1ecea21d099a6c7aea88058</t>
  </si>
  <si>
    <t>61c7b1cf28b58654fe411aaf87fe249d</t>
  </si>
  <si>
    <t>dc12f9e8414131e62897902a78e0286e</t>
  </si>
  <si>
    <t>Mariana</t>
  </si>
  <si>
    <t>ce5420f8e3e7e46d19de72c08c690ffc</t>
  </si>
  <si>
    <t>dd61367732ec07075b1e42b8772b1517</t>
  </si>
  <si>
    <t>f7fad682a022f51cd2cd7355ae941ba4</t>
  </si>
  <si>
    <t>Igaracu Do Tiete</t>
  </si>
  <si>
    <t>e4d9e2f02a048ae46330e966d1a8caa3</t>
  </si>
  <si>
    <t>03e53afdd1e98f83636c3fd14562c7ab</t>
  </si>
  <si>
    <t>Santa Cecilia</t>
  </si>
  <si>
    <t>3f53ab479c257a4c6c027d24e4a2ffee</t>
  </si>
  <si>
    <t>e85fad5cf12ff1d6dd2ac745874e57ad</t>
  </si>
  <si>
    <t>6522386fefd98cf9293642fb5dcf9342</t>
  </si>
  <si>
    <t>f273dcf7249af785e126a1e8a9ef5835</t>
  </si>
  <si>
    <t>3fe67b23f3a9532482fd5c6dda351895</t>
  </si>
  <si>
    <t>Aguas De Lindoia</t>
  </si>
  <si>
    <t>272a052a03ba0cf15ce9cd712650604e</t>
  </si>
  <si>
    <t>028dc52e12ddda803ec1e35eb0b7b0d9</t>
  </si>
  <si>
    <t>6b901164a6a34cde6b892a1a3c549294</t>
  </si>
  <si>
    <t>Timbauba</t>
  </si>
  <si>
    <t>25d47ee9a060a0359e8a10a858fc39a1</t>
  </si>
  <si>
    <t>Aguas Lindas De Goias</t>
  </si>
  <si>
    <t>ca2c48ff635d7bd831194de9207ca62d</t>
  </si>
  <si>
    <t>f50f12991ec8bcff03994381dcf9ce08</t>
  </si>
  <si>
    <t>f0eaecfa7f4a74e4227e177eb23ed299</t>
  </si>
  <si>
    <t>Sao Sebastiao De Campos</t>
  </si>
  <si>
    <t>9447715ad192d3c877e9dd56205c66dd</t>
  </si>
  <si>
    <t>Novo Horizonte</t>
  </si>
  <si>
    <t>cdb1faa859205ebd457e594dfab53801</t>
  </si>
  <si>
    <t>33c710d17ee5ae150eff517c42da2571</t>
  </si>
  <si>
    <t>Pirai Do Sul</t>
  </si>
  <si>
    <t>f5d82c89a8e580c89d24d874bdb6da0f</t>
  </si>
  <si>
    <t>2048b5e98976fc5fc54b6405d6ac5284</t>
  </si>
  <si>
    <t>c01eede39735860e68ef74a1d9ddf5cb</t>
  </si>
  <si>
    <t>234c9bfb16c85a964249d228963d0adb</t>
  </si>
  <si>
    <t>0756c3213eb9155bc1209caced66eb82</t>
  </si>
  <si>
    <t>2285d8448d2a9e6ff6bf3abac605403f</t>
  </si>
  <si>
    <t>14fbf806b3437830413ce53a21371d3c</t>
  </si>
  <si>
    <t>d6d7735ea8ca2ff812e770a2bde2b193</t>
  </si>
  <si>
    <t>Ipaba</t>
  </si>
  <si>
    <t>bf42ba647cf1164c3f1f5757b3f0cbd1</t>
  </si>
  <si>
    <t>4a45f9f66971302cf881ecfa142f42ba</t>
  </si>
  <si>
    <t>4d3e527a30bab6b3c6d43ef4fd24b676</t>
  </si>
  <si>
    <t>94f50b71dcd091b45859f773f441ee19</t>
  </si>
  <si>
    <t>Timbo</t>
  </si>
  <si>
    <t>0176a6846bcb3b0d3aa3116a9a768597</t>
  </si>
  <si>
    <t>2d7368e0839f2cdafb0f38011cdb4f04</t>
  </si>
  <si>
    <t>2e7080c8c24e4a977925ca08b6a7d917</t>
  </si>
  <si>
    <t>Patrocinio</t>
  </si>
  <si>
    <t>b951cb6562f56cfb404cd77c81262f25</t>
  </si>
  <si>
    <t>5a9119d91afaa4185d778d886309889f</t>
  </si>
  <si>
    <t>Poxoreu</t>
  </si>
  <si>
    <t>12d46788e71b703634c01cdcd4946e7a</t>
  </si>
  <si>
    <t>Pirapetinga</t>
  </si>
  <si>
    <t>ef05d1e66d71afa317df36d145f939a5</t>
  </si>
  <si>
    <t>74a73605b5d8e00f1692a308a2ea566e</t>
  </si>
  <si>
    <t>7b2e13ced9ab0896a7cea86bf29c3ec9</t>
  </si>
  <si>
    <t>609bcd7c044347e6a61d3b1ad38a2838</t>
  </si>
  <si>
    <t>Diamantina</t>
  </si>
  <si>
    <t>b59dd155566e5ce134bddffdc26e471c</t>
  </si>
  <si>
    <t>c6fd86af2bbfc7aa0cc902eff1ead5e4</t>
  </si>
  <si>
    <t>2ce81d16edb6568f5ff5b9ec2e5cb4b7</t>
  </si>
  <si>
    <t>24e69f36003ec9ad845a8490993c57cd</t>
  </si>
  <si>
    <t>7dc42eb6de5f2be1c800534aa6f8a778</t>
  </si>
  <si>
    <t>831952ca04d1d36924a04d74adf09a8f</t>
  </si>
  <si>
    <t>Sao Caetano Do Sul</t>
  </si>
  <si>
    <t>f84e156e1671129eb01e38a679129538</t>
  </si>
  <si>
    <t>75926452a6f0f64a617dcb3b3b35a96e</t>
  </si>
  <si>
    <t>685eef0e70bd850df886871cc0917e81</t>
  </si>
  <si>
    <t>Sao Mateus Do Sul</t>
  </si>
  <si>
    <t>4ed918415e66ffe7823d3e8de95e0f71</t>
  </si>
  <si>
    <t>fdede0753b9a5863a834fee26b9fd73c</t>
  </si>
  <si>
    <t>Itaperuna</t>
  </si>
  <si>
    <t>fa0d5b3cb1f2221766145a60ba18ac64</t>
  </si>
  <si>
    <t>bb8a565ee080cd9009f0209bf124beaf</t>
  </si>
  <si>
    <t>a88fb9a6e45cb10ebd5ebac6846d1ecf</t>
  </si>
  <si>
    <t>Chapadao Do Sul</t>
  </si>
  <si>
    <t>016ff85737c2072ab00a705cd8f87799</t>
  </si>
  <si>
    <t>64618afe1b90ef2416d9c80631a15e42</t>
  </si>
  <si>
    <t>2b4cbb171fffb2fac96f67bc9425ad55</t>
  </si>
  <si>
    <t>Drinks</t>
  </si>
  <si>
    <t>19c2ba00be4e129ae7890ad07836befb</t>
  </si>
  <si>
    <t>Jacarei</t>
  </si>
  <si>
    <t>850a46317b5a1b4eeb14f915fda637c1</t>
  </si>
  <si>
    <t>RO</t>
  </si>
  <si>
    <t>Porto Velho</t>
  </si>
  <si>
    <t>78037c5f4d9f1f7bab0207f22c4e92f1</t>
  </si>
  <si>
    <t>Paraiba Do Sul</t>
  </si>
  <si>
    <t>5af1684cbc75f2c0c5bb83e220449cdb</t>
  </si>
  <si>
    <t>f016f70bce12ff9eb5a876d2e191145c</t>
  </si>
  <si>
    <t>2f4811e66be7f928c63acd083f0e0095</t>
  </si>
  <si>
    <t>Paraty</t>
  </si>
  <si>
    <t>f10282aa55ff8cf002a73620cd23e573</t>
  </si>
  <si>
    <t>Coxim</t>
  </si>
  <si>
    <t>860a0b75eb5bc3425aaa22d49c7a2156</t>
  </si>
  <si>
    <t>243e51c6daa403a763ee38c31ebdb883</t>
  </si>
  <si>
    <t>61e5353969ba519689f085a0379fccda</t>
  </si>
  <si>
    <t>066fbbe8fc3345df85f0f1dc2ad03bce</t>
  </si>
  <si>
    <t>1f297fe93c435a51586ee198938876d3</t>
  </si>
  <si>
    <t>1fd00a38cb5caa89ca06e82069412d5f</t>
  </si>
  <si>
    <t>567d581c34bed9ac50925ac1dc53b0c5</t>
  </si>
  <si>
    <t>Vargem Alta</t>
  </si>
  <si>
    <t>4c8ea2a4ee7b1d91b837360ccb23fe89</t>
  </si>
  <si>
    <t>Gaspar</t>
  </si>
  <si>
    <t>11b92cb31ef70accdf3705f879a0a891</t>
  </si>
  <si>
    <t>90c7f72cacf60b2a63da77187689e3d1</t>
  </si>
  <si>
    <t>Americana</t>
  </si>
  <si>
    <t>2f41dbe3e1e76b3d8092ff2bd3ea676f</t>
  </si>
  <si>
    <t>Sao Miguel Do Iguacu</t>
  </si>
  <si>
    <t>53f2d5cbef0a11dae2982bf04a35e121</t>
  </si>
  <si>
    <t>abfbbd144a437c6a51564ea668aab4b6</t>
  </si>
  <si>
    <t>Campina Do Monte Alegre</t>
  </si>
  <si>
    <t>03c83b31dbc387f83f1b5579b53182fb</t>
  </si>
  <si>
    <t>353fcb9f0aa5bfdba9d0f676bdc044f3</t>
  </si>
  <si>
    <t>f1f595bed1ee64a492e47dfdd7306983</t>
  </si>
  <si>
    <t>9918c968f36261c404495fafc8ce306a</t>
  </si>
  <si>
    <t>8ffefeda31ab0d9c7c8b732ea9e1330e</t>
  </si>
  <si>
    <t>41906ad47e1e6076348bfe935ed5e01d</t>
  </si>
  <si>
    <t>0b941db180b52d77ad40655b465e6632</t>
  </si>
  <si>
    <t>Jardinopolis</t>
  </si>
  <si>
    <t>85728ab380c0bb7e1c0f5f26d1e48cd3</t>
  </si>
  <si>
    <t>75d87a7050b2959f4d5c51a28525e2d7</t>
  </si>
  <si>
    <t>47032972f71019cd453baab392482f5d</t>
  </si>
  <si>
    <t>Barueri</t>
  </si>
  <si>
    <t>503ef248be94702d1a7c1d401223f843</t>
  </si>
  <si>
    <t>Confresa</t>
  </si>
  <si>
    <t>d79ddb434f71cfac3f5307ba5bed7fa4</t>
  </si>
  <si>
    <t>Braganca Paulista</t>
  </si>
  <si>
    <t>8c6f586b26c8ef0ac06c7dd68dae7dc9</t>
  </si>
  <si>
    <t>55538582ef35a95e5ed4047c6bf04695</t>
  </si>
  <si>
    <t>Marmeleiro</t>
  </si>
  <si>
    <t>978dae5105c79039c80e7b773f0eb852</t>
  </si>
  <si>
    <t>70633832cd39706672d40a47536c2387</t>
  </si>
  <si>
    <t>bdd163683d4bc75b0b2b7a8d9e1ccd26</t>
  </si>
  <si>
    <t>Paragominas</t>
  </si>
  <si>
    <t>d41019a8da12cde6c8dba824444cf38d</t>
  </si>
  <si>
    <t>20abfea01c11807c1338e40792ca2db0</t>
  </si>
  <si>
    <t>a45f5764071ee5b932d1f802e18bafcf</t>
  </si>
  <si>
    <t>a101d3bd689d468c6219db22012a10d9</t>
  </si>
  <si>
    <t>c900c2a8fb7c9834925f3110fd7ed231</t>
  </si>
  <si>
    <t>16bd3fc02551c1d7c7adcfba92b674a2</t>
  </si>
  <si>
    <t>161b62294734a5b8c35890b6a607c7d8</t>
  </si>
  <si>
    <t>181728774174bd10684323a6cd0759b1</t>
  </si>
  <si>
    <t>a21d355726140b687ebda5830c68e5b3</t>
  </si>
  <si>
    <t>8df2f7a8d9fb8958675f795e2f71f27d</t>
  </si>
  <si>
    <t>ad2650f8f266036c200a50ceb506a8c6</t>
  </si>
  <si>
    <t>caa54c0c98a40fedc7ee2dfbae713846</t>
  </si>
  <si>
    <t>368a043a6f85a5f28260b822823c5e89</t>
  </si>
  <si>
    <t>Agro Industry And Commerce</t>
  </si>
  <si>
    <t>4a20c9e5a8d128dd0b48766a6790a2f3</t>
  </si>
  <si>
    <t>8abe9f445c2794a43728dd2b37938528</t>
  </si>
  <si>
    <t>Bom Jesus Do Galho</t>
  </si>
  <si>
    <t>ba736edc6e8f0e518cb66499bd46d774</t>
  </si>
  <si>
    <t>a01f80b1c91dc99c91af4f252c072052</t>
  </si>
  <si>
    <t>Alto Parana</t>
  </si>
  <si>
    <t>fd038d8e957d1407c9928ef57603146e</t>
  </si>
  <si>
    <t>278684c636289c6fba43aff030c66603</t>
  </si>
  <si>
    <t>18b0e5ee71617b58ca825b6ea8d94255</t>
  </si>
  <si>
    <t>dffc09c8763a137aa9d90c1e1a27247b</t>
  </si>
  <si>
    <t>Sales</t>
  </si>
  <si>
    <t>0015ebb40fb17286bea51d4607c4733c</t>
  </si>
  <si>
    <t>Pato Bragado</t>
  </si>
  <si>
    <t>a3ee95a310b51d1715ed8c16b7cd3ffe</t>
  </si>
  <si>
    <t>c5169d427c5a1a403a3eab0ca8d375fe</t>
  </si>
  <si>
    <t>106035bdd659c0a04d902135f4559663</t>
  </si>
  <si>
    <t>b095c03b6a10243a06c58f3f8d2b668f</t>
  </si>
  <si>
    <t>95a1df36f1ae09c33e97d8e7ffd71273</t>
  </si>
  <si>
    <t>8cbb3a1d2a0c2642541aa2a03e2fdeda</t>
  </si>
  <si>
    <t>Birigui</t>
  </si>
  <si>
    <t>d022bdad33a575ca5edb8c4d51e44310</t>
  </si>
  <si>
    <t>7801e6ca1a15c062e68bd3c558df3d04</t>
  </si>
  <si>
    <t>Santo Angelo</t>
  </si>
  <si>
    <t>a03ef580bd24d3cfaa7aa92e08ca6b58</t>
  </si>
  <si>
    <t>Itumbiara</t>
  </si>
  <si>
    <t>72bd20539e6d9960af5e49e9c7d70896</t>
  </si>
  <si>
    <t>f6a1315248ae1d7cb19cc912d5239771</t>
  </si>
  <si>
    <t>46a9ef8b08f32e1f040b1196a4b1fdc8</t>
  </si>
  <si>
    <t>Sao Miguel Do Gostoso</t>
  </si>
  <si>
    <t>5133357f704cf088de56cd5671858cf8</t>
  </si>
  <si>
    <t>Londrina</t>
  </si>
  <si>
    <t>2f2c37a8993eb931289ed7a8a546791e</t>
  </si>
  <si>
    <t>81616c912848057e42d364c9d306ea92</t>
  </si>
  <si>
    <t>ab8b6341a925e22523717681a8e26ed6</t>
  </si>
  <si>
    <t>f5ac6a806078f4dfd6e72e601f8aa3ba</t>
  </si>
  <si>
    <t>1dbf60c23388f06ed82ad629f574b613</t>
  </si>
  <si>
    <t>98b3885985a1ea8bdd914f2d41f56397</t>
  </si>
  <si>
    <t>Carangola</t>
  </si>
  <si>
    <t>87f78de2f8a2b3547bfebccac7357b0a</t>
  </si>
  <si>
    <t>2610d2bf99596ad39295eda07c7f6b01</t>
  </si>
  <si>
    <t>Monte Azul Paulista</t>
  </si>
  <si>
    <t>d4b8d4d2db125937bf34083422aea427</t>
  </si>
  <si>
    <t>b65bc3c893e55d8850fdd459723e5f88</t>
  </si>
  <si>
    <t>Pouso Alegre</t>
  </si>
  <si>
    <t>7576a97a255ac81433d3932443db8fad</t>
  </si>
  <si>
    <t>Itaguaru</t>
  </si>
  <si>
    <t>2b6219a323962e35e29ad623d82fbc5b</t>
  </si>
  <si>
    <t>96872d026aa122a9e93957de1e58d427</t>
  </si>
  <si>
    <t>dcd9b00fff62919c208f9e424f8b2c13</t>
  </si>
  <si>
    <t>b30b24f06aaf93a002acff534e7bddff</t>
  </si>
  <si>
    <t>bbefeab68749f74e42e52dc3bea0a79e</t>
  </si>
  <si>
    <t>219c1d95491f8241fc2bff3a511c9ad1</t>
  </si>
  <si>
    <t>Santa Maria Da Vitoria</t>
  </si>
  <si>
    <t>0f2feb76d52c8e1be73daf8769a393e8</t>
  </si>
  <si>
    <t>5b585b8178b9e47c6d423e0e79f415af</t>
  </si>
  <si>
    <t>9c0aeb926cb821f2644b956856d2d3b0</t>
  </si>
  <si>
    <t>Valenca</t>
  </si>
  <si>
    <t>9f28bebb21ed4b8984afe68c7ef6e127</t>
  </si>
  <si>
    <t>Mairipora</t>
  </si>
  <si>
    <t>da3146b1cf55ef0687b99018f4df821d</t>
  </si>
  <si>
    <t>14675586d82f55dea6b8b539f427ccad</t>
  </si>
  <si>
    <t>Ibitinga</t>
  </si>
  <si>
    <t>a9f75df1cef311cb1a83706ed6992b41</t>
  </si>
  <si>
    <t>a5d205e529f228488e3bfc34e1b4e7e9</t>
  </si>
  <si>
    <t>693ef2b7087823ffc033b0d94ec8af49</t>
  </si>
  <si>
    <t>3e22c141d2861860889375c6fd7b89b3</t>
  </si>
  <si>
    <t>Pacajus</t>
  </si>
  <si>
    <t>2c852a7e0e3b7773bea4ad95ee8e03c3</t>
  </si>
  <si>
    <t>3e9bba03e932414fa3ebd2ae83a0cffa</t>
  </si>
  <si>
    <t>522649ba1f9bbb27383b7e8dcd92e746</t>
  </si>
  <si>
    <t>376b1ea6b9a96720773402f653a01f56</t>
  </si>
  <si>
    <t>Ceu Azul</t>
  </si>
  <si>
    <t>d2857f1d626d6c49882e77dea44a3e80</t>
  </si>
  <si>
    <t>b75e305d05101f6e3be82f6a07adf840</t>
  </si>
  <si>
    <t>Pilar</t>
  </si>
  <si>
    <t>3339caccb4f94a45abaf8ed1990cfc36</t>
  </si>
  <si>
    <t>a1df9e94edfa8f6ac4cbd9b377899672</t>
  </si>
  <si>
    <t>f00cdb6f9004b64118cf7814d3a03cff</t>
  </si>
  <si>
    <t>4863e15fa53273cc7219c58f5ffda4fb</t>
  </si>
  <si>
    <t>4410b6f844fd4511b1ce28083c2f2eca</t>
  </si>
  <si>
    <t>59dccb56096ce22662c9a3f2f2312f39</t>
  </si>
  <si>
    <t>8e1ded141534096603108f1ee5c27735</t>
  </si>
  <si>
    <t>8200c0f5298c25d0c51f66b1c63b6ebc</t>
  </si>
  <si>
    <t>91fbe60f1b4b1e79c0f577bb6ac24502</t>
  </si>
  <si>
    <t>f77ea394864509e417418362e526ce60</t>
  </si>
  <si>
    <t>7d75fea897072c408995ab156c16ff30</t>
  </si>
  <si>
    <t>Monte Mor</t>
  </si>
  <si>
    <t>8b2ceb139bb51537042aac7481130f5f</t>
  </si>
  <si>
    <t>Kitchen Dining Laundry Garden Furniture</t>
  </si>
  <si>
    <t>0a8c0300318aedd7b66f6dbc27409ece</t>
  </si>
  <si>
    <t>e65fa5f31ce4436d38bcf5e109fd43e4</t>
  </si>
  <si>
    <t>Aparecida De Goiania</t>
  </si>
  <si>
    <t>8a22bbf4a8d46b845e7b24add6dc5bce</t>
  </si>
  <si>
    <t>Aperibe</t>
  </si>
  <si>
    <t>51063a05b43c7e0a5f2314dc6f3790fd</t>
  </si>
  <si>
    <t>Jacare</t>
  </si>
  <si>
    <t>0094d4660e323945f84f5c29eb348aae</t>
  </si>
  <si>
    <t>Papanduva</t>
  </si>
  <si>
    <t>35d68a1aa52f9ac1fa9aaaef9fadf355</t>
  </si>
  <si>
    <t>28b2ab76328cbe5369a5717a90b26830</t>
  </si>
  <si>
    <t>326c33839b23462fbe6d538942f54dec</t>
  </si>
  <si>
    <t>1dd4114d014ff38caa0b9a94b9461c37</t>
  </si>
  <si>
    <t>67de6a790d884f67e1c7bf78ce8f5605</t>
  </si>
  <si>
    <t>4ba83c2746627aa89b8cbf168fbb6fa3</t>
  </si>
  <si>
    <t>12ba6eb5ae5bb52161567bf261f9339e</t>
  </si>
  <si>
    <t>bfc318d0ca556b5d317bda9eb4b0ed76</t>
  </si>
  <si>
    <t>04c3bddd55df58e83123e3b174855489</t>
  </si>
  <si>
    <t>b142ce1c884b7b514639d0ce49c1fa39</t>
  </si>
  <si>
    <t>Erechim</t>
  </si>
  <si>
    <t>878d8b6c3b9905f2eb5fe9d390c4c7db</t>
  </si>
  <si>
    <t>2d1e0eb9e0a7cca7a2dfa3534743b833</t>
  </si>
  <si>
    <t>8dd1e8dc5df5298f67ade481b8b652c8</t>
  </si>
  <si>
    <t>320830bbdec047e0eb59a44965450195</t>
  </si>
  <si>
    <t>db450aca52c200c9c1c1d9cf4dff0338</t>
  </si>
  <si>
    <t>Crisopolis</t>
  </si>
  <si>
    <t>c3d5f2db50cfc2b9526cff19df97ee48</t>
  </si>
  <si>
    <t>Sacramento</t>
  </si>
  <si>
    <t>a0efa566fd16e01fa172403fa5d645d8</t>
  </si>
  <si>
    <t>Chapada Dos Guimaraes</t>
  </si>
  <si>
    <t>4587eb8e812c2627dfa490ffca18612a</t>
  </si>
  <si>
    <t>059f6abcb045619604ec4af08b4b5456</t>
  </si>
  <si>
    <t>fff60e5408a9dd1e92ee30023052af30</t>
  </si>
  <si>
    <t>Bebedouro</t>
  </si>
  <si>
    <t>13707439a728b23bd3033dfab70b9840</t>
  </si>
  <si>
    <t>5b922f60c60062b4c656c69ac0a5834f</t>
  </si>
  <si>
    <t>0f6665a373c36216e96163b3162404b0</t>
  </si>
  <si>
    <t>df568f7f29522ff496adab0dcd60a3f6</t>
  </si>
  <si>
    <t>71ba7b3f5aca19e723b21de8b67fc3a3</t>
  </si>
  <si>
    <t>3d5933b6831db103a3276bfa83774678</t>
  </si>
  <si>
    <t>6c53d99b0ba56006da10a8213850e9ac</t>
  </si>
  <si>
    <t>Campo Largo</t>
  </si>
  <si>
    <t>629af6001c311533699b7c3a91557aa8</t>
  </si>
  <si>
    <t>18d03c24d935b80a422c0f6ce80a2457</t>
  </si>
  <si>
    <t>c8395c703a6133dc947b6b371b2551aa</t>
  </si>
  <si>
    <t>Itaiopolis</t>
  </si>
  <si>
    <t>6ab3d725c7575fd524f046d5057a44da</t>
  </si>
  <si>
    <t>34f3cd394e3eb4075ed95224164e017c</t>
  </si>
  <si>
    <t>c5aaa563ef4b0fd289de861d637f5a37</t>
  </si>
  <si>
    <t>Sao Jose</t>
  </si>
  <si>
    <t>9950ec4daabde8b94541d6e0fc19f702</t>
  </si>
  <si>
    <t>Bom Despacho</t>
  </si>
  <si>
    <t>8e065a60bb13d2bd598f70ea6a4e7f4c</t>
  </si>
  <si>
    <t>7d63f6eebe0dba6fbe9a8c9b5d11aa96</t>
  </si>
  <si>
    <t>6524090ec4993bd31616d814bc79a575</t>
  </si>
  <si>
    <t>cb9330eec7f496a4f3a7c9764843edce</t>
  </si>
  <si>
    <t>ad1c49d96d60ad32cea5220dbe6aafda</t>
  </si>
  <si>
    <t>7fd7130d7e48470b9e4782edb0401a44</t>
  </si>
  <si>
    <t>Cacador</t>
  </si>
  <si>
    <t>9aaf393a76afb1320d536751114e2586</t>
  </si>
  <si>
    <t>c8b5856601fdab3073669bd36f9b16f2</t>
  </si>
  <si>
    <t>7158a97d6f769b92be9b76bbcf8a48eb</t>
  </si>
  <si>
    <t>66b04218fe3a0af6ca54d243ecfb3737</t>
  </si>
  <si>
    <t>Rio Novo Do Sul</t>
  </si>
  <si>
    <t>c7695e0fa70ef0373d4eaa6b11a4a6ef</t>
  </si>
  <si>
    <t>8cfc6624adef5f59e3ddd7167bc07107</t>
  </si>
  <si>
    <t>06a9ff8c19b2d371a45c48568283929b</t>
  </si>
  <si>
    <t>dfa82c0d8cadaa36975ca3f856251e6c</t>
  </si>
  <si>
    <t>Taquaritinga</t>
  </si>
  <si>
    <t>53299baecd9869c74d5c439dc4078eec</t>
  </si>
  <si>
    <t>d3aae1141577275792d2c2b724f49819</t>
  </si>
  <si>
    <t>3b8a6f4c963d2e04b3d7a0bb8dc84b6e</t>
  </si>
  <si>
    <t>d226c6a38313ae07e11b12bad9adb222</t>
  </si>
  <si>
    <t>ba8dd052f0697464c9b19669d50cf248</t>
  </si>
  <si>
    <t>19cf1ad54fe41157e76ef5f1fc4eb56f</t>
  </si>
  <si>
    <t>Goias</t>
  </si>
  <si>
    <t>f322d0eb62f5e70fa62f78ae2b6d5ee0</t>
  </si>
  <si>
    <t>fc5850037cf5ed63407d1c26885ba778</t>
  </si>
  <si>
    <t>fc133aaee8b52f75e07158ff2b65a5d5</t>
  </si>
  <si>
    <t>5fe1e6d0ef84cf34adf79cdc569a3b72</t>
  </si>
  <si>
    <t>Dourados</t>
  </si>
  <si>
    <t>11bcd62bece0131519fa7aeb30fb8ee4</t>
  </si>
  <si>
    <t>ae0851574e3bcaba4df53c0b546b470e</t>
  </si>
  <si>
    <t>Tenente Portela</t>
  </si>
  <si>
    <t>8e6560f082c82cd950eaeb5dabcbeea6</t>
  </si>
  <si>
    <t>Arraial Do Cabo</t>
  </si>
  <si>
    <t>fcd173d025d9960fde973eb391a98e0b</t>
  </si>
  <si>
    <t>Guarapuava</t>
  </si>
  <si>
    <t>3c3bd116a6376b59b139b7a173986cde</t>
  </si>
  <si>
    <t>Itaborai</t>
  </si>
  <si>
    <t>e15ef863e09f10a538fddcac088f04b2</t>
  </si>
  <si>
    <t>bf1972c220f071324a3032cb351479b2</t>
  </si>
  <si>
    <t>90f554c89892c8a1cb25b9c27ebacfbc</t>
  </si>
  <si>
    <t>ea9f636a11e6bf8cfdfc6acf40590c66</t>
  </si>
  <si>
    <t>a04b6ad9c324577c000835fca4587931</t>
  </si>
  <si>
    <t>Paulinia</t>
  </si>
  <si>
    <t>1591f1de66fc6657c009d107db35c4d2</t>
  </si>
  <si>
    <t>953e1e0627386608dd2ac2670d72950f</t>
  </si>
  <si>
    <t>1162cd6cea2c1d4d79492aef88f50618</t>
  </si>
  <si>
    <t>bc057cb666f536dffa89e882573a1ff0</t>
  </si>
  <si>
    <t>6cd2700e3e9fc015e3bbe4ee264af57b</t>
  </si>
  <si>
    <t>beebcdb81ca8d717ee63fbee85b1826e</t>
  </si>
  <si>
    <t>e6d47ca86bcbef462feb6a77ce1d21ce</t>
  </si>
  <si>
    <t>6ae4b5456cf04469812c907fe9b7cac5</t>
  </si>
  <si>
    <t>8e70868fab5989cc0ab1e5acb893f430</t>
  </si>
  <si>
    <t>2ac8b5ea56aeef62ecdcdc509cb1efaf</t>
  </si>
  <si>
    <t>Rio Grande</t>
  </si>
  <si>
    <t>cbf088f9ac169d9c7eddcaa9c5e465fe</t>
  </si>
  <si>
    <t>ec89f64fa61a8186f474cf0a903fc4fa</t>
  </si>
  <si>
    <t>e713dc6c1f73c883bc8e42bff335eb8e</t>
  </si>
  <si>
    <t>3e209a35ca9fb429434e538d9a015df5</t>
  </si>
  <si>
    <t>6644c3cbafddb2afeadec90afcd51454</t>
  </si>
  <si>
    <t>4800f69c8e5130af7653664ac4172dad</t>
  </si>
  <si>
    <t>c496970811b313659dbbcfd57ffd1b42</t>
  </si>
  <si>
    <t>6545aea5d681938dc5f177dfe17b62c9</t>
  </si>
  <si>
    <t>0cbe8449b3c0fac35f49a95db13cbda9</t>
  </si>
  <si>
    <t>Sao Joao Do Oriente</t>
  </si>
  <si>
    <t>30e608f69bcd3b2758cc9f28c8af087f</t>
  </si>
  <si>
    <t>1e3445e33595212e158a97614da809ae</t>
  </si>
  <si>
    <t>1b20ddca2df7b609d3847389ab9dae74</t>
  </si>
  <si>
    <t>3ad8b95da1d9a9f797b5d79dffcdd15f</t>
  </si>
  <si>
    <t>5316d7254b2e8e19620f2aec8a6f822a</t>
  </si>
  <si>
    <t>08d70627d548cd883ac394cc5da92d87</t>
  </si>
  <si>
    <t>f197897366a10204e289606b4838ea3c</t>
  </si>
  <si>
    <t>21af7328b2a40a3ece5491affde104fe</t>
  </si>
  <si>
    <t>1573c1514d9e6b02151d3f7a1e9b0b20</t>
  </si>
  <si>
    <t>37507e1d5b294164b69056c22f217b1e</t>
  </si>
  <si>
    <t>fa75c8452656c284dd76c32a15f4b741</t>
  </si>
  <si>
    <t>13d1f1aae5f022a221984b4b9802a73d</t>
  </si>
  <si>
    <t>7f8df73aeab603648dec28a5f6cfadc3</t>
  </si>
  <si>
    <t>a866b07e589705b11b38db08e93e6f5b</t>
  </si>
  <si>
    <t>Bocaiuva</t>
  </si>
  <si>
    <t>5a854278109ac48d0a19b5a30590af27</t>
  </si>
  <si>
    <t>95f4b06290fe4b512aa80e31ca5afabf</t>
  </si>
  <si>
    <t>Cantagalo</t>
  </si>
  <si>
    <t>22b4520d15a9cee803bbc1d042cd88d9</t>
  </si>
  <si>
    <t>d332666968a0059863107068a656d239</t>
  </si>
  <si>
    <t>673b85fc62a811fd9de6f499d5a4c9c4</t>
  </si>
  <si>
    <t>Trindade</t>
  </si>
  <si>
    <t>db2f0b731c53190c15527344d01f22f8</t>
  </si>
  <si>
    <t>73c545df0a564badb07ae15f5fe6f1e1</t>
  </si>
  <si>
    <t>827b21495b95bc672dfaa1fd55d7025f</t>
  </si>
  <si>
    <t>679ab8260055fda03783723687a8fd35</t>
  </si>
  <si>
    <t>Cachoeira Do Sul</t>
  </si>
  <si>
    <t>34460fd86afdbe00b34351b5187d1519</t>
  </si>
  <si>
    <t>ed92e8596b1e39671065510a4f5b0920</t>
  </si>
  <si>
    <t>71119930004c36d94916e3674d12741b</t>
  </si>
  <si>
    <t>5525404ad9f5043e1164e6833b2c24ca</t>
  </si>
  <si>
    <t>Santa Rosa</t>
  </si>
  <si>
    <t>510bff1cf06be1143d3b6698df2fd486</t>
  </si>
  <si>
    <t>54e30fbd73b01605796983a14e438a57</t>
  </si>
  <si>
    <t>Cruzalia</t>
  </si>
  <si>
    <t>f1decef53d9a81ae9e0b8e315a6548e2</t>
  </si>
  <si>
    <t>Gastao Vidigal</t>
  </si>
  <si>
    <t>77bc193fd7a345307735df45566126a6</t>
  </si>
  <si>
    <t>ad5a3cd2c183c5d45c24930fd68b58a6</t>
  </si>
  <si>
    <t>Arroio Do Tigre</t>
  </si>
  <si>
    <t>005e5166e99d1e4d0c4f808b0540ba94</t>
  </si>
  <si>
    <t>Itajai</t>
  </si>
  <si>
    <t>af0035821f5e16644b287cbe0f6a92a9</t>
  </si>
  <si>
    <t>517a1bc05da7b712cb2580d142b0cc4d</t>
  </si>
  <si>
    <t>Itapema</t>
  </si>
  <si>
    <t>320b4a5fa30f0d1eb0bb4c944d2205e1</t>
  </si>
  <si>
    <t>a9fb450008d4a94311a7288937b880e6</t>
  </si>
  <si>
    <t>Cachoeirinha</t>
  </si>
  <si>
    <t>3f8a42c6c50fec78cba08047e46810b0</t>
  </si>
  <si>
    <t>90ecb6cceedde51e869bce61b0376f8c</t>
  </si>
  <si>
    <t>Palhoca</t>
  </si>
  <si>
    <t>cffc9d6f9230a7eb234ba6f3574db1ff</t>
  </si>
  <si>
    <t>Itagiba</t>
  </si>
  <si>
    <t>04d73d34ddd1f5ebc0c603615093e2a1</t>
  </si>
  <si>
    <t>Sao Sebastiao Do Cai</t>
  </si>
  <si>
    <t>a304e27bd17a57240cb6779d293726d4</t>
  </si>
  <si>
    <t>2c326cc8b2ff60f30ceb556f4581d7a4</t>
  </si>
  <si>
    <t>b983dac743809281dd9389356ae3c59e</t>
  </si>
  <si>
    <t>ee6830242df204d5290f7c4704464b56</t>
  </si>
  <si>
    <t>d555e208900fa538476880123fe0bf31</t>
  </si>
  <si>
    <t>ded5e63ba387dee72a94cc313a39b536</t>
  </si>
  <si>
    <t>34de5f7952fbd04a9a1e5d7001b014b5</t>
  </si>
  <si>
    <t>27de05cb2f75e456b01b2bab56fd8844</t>
  </si>
  <si>
    <t>Fortim</t>
  </si>
  <si>
    <t>607eee584aa2eb64b8e9464c5e590efc</t>
  </si>
  <si>
    <t>270e2c93dda2be7908cdf2a877171b8d</t>
  </si>
  <si>
    <t>cd55a3824ef5413fb6fedc755c75fe39</t>
  </si>
  <si>
    <t>3a73fa58ac16869d242abd0320be97cf</t>
  </si>
  <si>
    <t>33be8f753213f33b10851959bd13093e</t>
  </si>
  <si>
    <t>82574189caad5cf569fb8cfd3e9d9382</t>
  </si>
  <si>
    <t>f7b794965cc5b6d20c083cc40cf56108</t>
  </si>
  <si>
    <t>80de3fd8e8d43a2f1c9b9561e8c2ff4b</t>
  </si>
  <si>
    <t>e0e8821153a77c23ac4dd81c2e687ee0</t>
  </si>
  <si>
    <t>Sao Joao Nepomuceno</t>
  </si>
  <si>
    <t>c765342582f1d08f16285fb827f88b1b</t>
  </si>
  <si>
    <t>Sabara</t>
  </si>
  <si>
    <t>c8c684d11191f71210df7c6a22115def</t>
  </si>
  <si>
    <t>2eb75364afee3e3651da6cdf9f57c6e1</t>
  </si>
  <si>
    <t>76a095b03f5bf762b7cc1befb3e5badc</t>
  </si>
  <si>
    <t>b6f243cc1d05e11375858c88a032ac32</t>
  </si>
  <si>
    <t>88a01a140aa9a9b29927d71752e9b7cd</t>
  </si>
  <si>
    <t>Ponta Grossa</t>
  </si>
  <si>
    <t>26d9b71852ece528577a85aa2e70a10f</t>
  </si>
  <si>
    <t>2792c4f95b24c1a72641cd404561bdd8</t>
  </si>
  <si>
    <t>3e049a81d7ed034671533b968ac28274</t>
  </si>
  <si>
    <t>Pirassununga</t>
  </si>
  <si>
    <t>0d3932a3836fab6762836714e0eee9ae</t>
  </si>
  <si>
    <t>2ff3e8ab6f85a5b98e1020c071ca5f12</t>
  </si>
  <si>
    <t>4b543d559cb1d860ec4c814807001093</t>
  </si>
  <si>
    <t>Marituba</t>
  </si>
  <si>
    <t>3a846739cd347ad3bf437314b9cdda78</t>
  </si>
  <si>
    <t>151c27c128aed0a8f60f8ed31c5d62f2</t>
  </si>
  <si>
    <t>Monte Alto</t>
  </si>
  <si>
    <t>aa3ae718cc36bc728bd78c098dc84c24</t>
  </si>
  <si>
    <t>df6eeef04ae6f9a4d55409474104ea93</t>
  </si>
  <si>
    <t>b2fd73f1bd0c6aab4bc4987c2b550c94</t>
  </si>
  <si>
    <t>c05223a5f3e8d1dac89df5bfdcb58661</t>
  </si>
  <si>
    <t>1ddfa120c8ef1f70ac2fa0aefb241675</t>
  </si>
  <si>
    <t>7e9e110e4c60c9d33dabbc33133db636</t>
  </si>
  <si>
    <t>ecf9330db0f11c5086969ed6c7468d4a</t>
  </si>
  <si>
    <t>Santa Ines</t>
  </si>
  <si>
    <t>12774673db08de6a72c23442fe16e9a4</t>
  </si>
  <si>
    <t>4277d961a6e74ff894d817d0f781c1c2</t>
  </si>
  <si>
    <t>6e92a04973cb201200ecb4d6f82bb5bd</t>
  </si>
  <si>
    <t>73e675969b9e5495c9d1c8d4b3b21e1e</t>
  </si>
  <si>
    <t>5754566e8ff4366d7b0af3c53e696a7f</t>
  </si>
  <si>
    <t>Lages</t>
  </si>
  <si>
    <t>e440f8fc256f028a44b7e88e390a7ac2</t>
  </si>
  <si>
    <t>077ba6845168434024e83698d3f8fcae</t>
  </si>
  <si>
    <t>f7d5fa83743d8d78c798e7824125ee7f</t>
  </si>
  <si>
    <t>8d40792ea358f1d5c975203262ee7b69</t>
  </si>
  <si>
    <t>68dfc0cac13912ba836bc59a40e10509</t>
  </si>
  <si>
    <t>b1d03262cf81d5151e15a73bbde8e22e</t>
  </si>
  <si>
    <t>5abb95f2a998dee581e1c63cb7ea7512</t>
  </si>
  <si>
    <t>1aaa23146b41cdd25da482e0b2dd0534</t>
  </si>
  <si>
    <t>4ea7463c339b2551706077cbc666c60a</t>
  </si>
  <si>
    <t>Itapoa</t>
  </si>
  <si>
    <t>0f9e79a42b9e6e14a8d7f913b4da0239</t>
  </si>
  <si>
    <t>Paranagua</t>
  </si>
  <si>
    <t>97d5aa85110fb7e998b5754af19b95c4</t>
  </si>
  <si>
    <t>55552985d5c5d0856ddc230a47932a72</t>
  </si>
  <si>
    <t>caef38892cf9eefb7fa25d54e803ba20</t>
  </si>
  <si>
    <t>d5fce66a4a49fa934e841e84c0e4c1b9</t>
  </si>
  <si>
    <t>Colombo</t>
  </si>
  <si>
    <t>9147c16fab80dbd17a45d97f65196491</t>
  </si>
  <si>
    <t>d28a7e04bda001c57d07c08a2f5316e6</t>
  </si>
  <si>
    <t>ce36c78536d03e75d82fde293b7e1430</t>
  </si>
  <si>
    <t>632532c6ace2a1281a27e66bd5f4278f</t>
  </si>
  <si>
    <t>4efcdd53498c7239ee47b4a8d8a01b37</t>
  </si>
  <si>
    <t>Araucaria</t>
  </si>
  <si>
    <t>b99217b1fcf2fdeace7b8d869b76cb91</t>
  </si>
  <si>
    <t>Fashion Childrens Clothes</t>
  </si>
  <si>
    <t>568f58b0889ba49158a99fb0e26dd95e</t>
  </si>
  <si>
    <t>0218bc1c672e0e92f10a6633ca1cc461</t>
  </si>
  <si>
    <t>1ac605c3c8e2ee53279c7b0bd52c6aec</t>
  </si>
  <si>
    <t>bc3648a9f94d2f9137c188a3140a9c7e</t>
  </si>
  <si>
    <t>Araraquara</t>
  </si>
  <si>
    <t>006127b8b9a1681a982313ed7129c3c0</t>
  </si>
  <si>
    <t>d631ccd9440f35c118e56f598ebb0261</t>
  </si>
  <si>
    <t>23c4889b86a761e3cc76cecad70bff4f</t>
  </si>
  <si>
    <t>ef412fa088f7e0c67215be59670059f7</t>
  </si>
  <si>
    <t>Herculandia</t>
  </si>
  <si>
    <t>f5cf1e80b882f8dea8efe57b398c7e38</t>
  </si>
  <si>
    <t>5a80f55b30d5104aec28b1bc6b59b796</t>
  </si>
  <si>
    <t>9131672ad00c75a1ac3633a09e500111</t>
  </si>
  <si>
    <t>e05824bce3b3c69a0632e8e75b1a7e9f</t>
  </si>
  <si>
    <t>3b977a4dfdf8060df6040bd0502825aa</t>
  </si>
  <si>
    <t>548ae1aba5f1d4972fbbef7b6f6d23aa</t>
  </si>
  <si>
    <t>81fdc868fd0f5c56b9ebea53765e4bbc</t>
  </si>
  <si>
    <t>5c3478406a9223b2b32d6ab8e0334441</t>
  </si>
  <si>
    <t>3e341725cddb1523a88a68e64d7ce0cf</t>
  </si>
  <si>
    <t>Engenheiro Coelho</t>
  </si>
  <si>
    <t>d20d0f5f8a72e61a23e7a81999e480f1</t>
  </si>
  <si>
    <t>Moreira Sales</t>
  </si>
  <si>
    <t>01b6d15407d425529cbf0ec96258cb84</t>
  </si>
  <si>
    <t>Rancharia</t>
  </si>
  <si>
    <t>2b091bda8d69a64119fa4ec34147f946</t>
  </si>
  <si>
    <t>90eca4d64c7a259032121fd75766d408</t>
  </si>
  <si>
    <t>36060588e66288fa7e3049a73519713d</t>
  </si>
  <si>
    <t>be4768dd055593866bead9520f676029</t>
  </si>
  <si>
    <t>Amparo</t>
  </si>
  <si>
    <t>a542a9cfa2781b4971db13cbb7ac88e2</t>
  </si>
  <si>
    <t>74b1932a11b0d28d122ee5572b5ea7d1</t>
  </si>
  <si>
    <t>0a0d4509c14ceb9b0f6555e07c45d167</t>
  </si>
  <si>
    <t>7244309fd0802a48b22151820d256ce8</t>
  </si>
  <si>
    <t>3c40398038e198e9e1636c1116378da8</t>
  </si>
  <si>
    <t>26047bf46b017a9f8e502db4ef972500</t>
  </si>
  <si>
    <t>dbf5bbf29b4a8f8e7e6f3584c8dba6d8</t>
  </si>
  <si>
    <t>e5989171218c1c7948bcca1c93ec2a6b</t>
  </si>
  <si>
    <t>Porangatu</t>
  </si>
  <si>
    <t>5140caed9ffab688aa2e67074d65befd</t>
  </si>
  <si>
    <t>de58aa6aa9aa113673a7aaa27271b7e0</t>
  </si>
  <si>
    <t>Ouro Verde De Minas</t>
  </si>
  <si>
    <t>7072d06682bebe0a0e66c3ce1f30131f</t>
  </si>
  <si>
    <t>Itapevi</t>
  </si>
  <si>
    <t>2b4d04cfb81d2dbb1ab48f9e2a7ac6b9</t>
  </si>
  <si>
    <t>ca5b72f1f41040f1639938311a47dafe</t>
  </si>
  <si>
    <t>207bd7ea1f047ff2d6f2e5c70333e4b0</t>
  </si>
  <si>
    <t>4d107edcce9acf824db9d203dcf9fecf</t>
  </si>
  <si>
    <t>ce7e2fea4efc732fbc5fd04753f2e549</t>
  </si>
  <si>
    <t>Marica</t>
  </si>
  <si>
    <t>8f056cc6f955f6980089a1941b682c7a</t>
  </si>
  <si>
    <t>f64acc0cecd62080222884dac91d7e81</t>
  </si>
  <si>
    <t>Sao Joaquim Da Barra</t>
  </si>
  <si>
    <t>4a0ecd7c37432ea5916a1f36f7c402de</t>
  </si>
  <si>
    <t>7c086fb9c0a3c91487ff8c4395bd64b6</t>
  </si>
  <si>
    <t>e3f6de94179bede8675ff97d0f3f3245</t>
  </si>
  <si>
    <t>228aea2abce77cb021f85db4a81df1bd</t>
  </si>
  <si>
    <t>ca512c4d6486887e158c4400d6406c19</t>
  </si>
  <si>
    <t>Novo Hamburgo</t>
  </si>
  <si>
    <t>50997e4944fb68c2da4386a8dedbd498</t>
  </si>
  <si>
    <t>a55faa0a62ca4a533d69b48af1f9c74a</t>
  </si>
  <si>
    <t>Sao Sebastiao</t>
  </si>
  <si>
    <t>e2fdffd08df55baaa7b97c04d4d2b606</t>
  </si>
  <si>
    <t>Araxa</t>
  </si>
  <si>
    <t>2128702318ecb84662d4a18d937c0c9d</t>
  </si>
  <si>
    <t>96ba203b82627b53d6797d030b330274</t>
  </si>
  <si>
    <t>Jales</t>
  </si>
  <si>
    <t>16b1572a545542ed037c94cdffeaa86f</t>
  </si>
  <si>
    <t>Ewbank Da Camara</t>
  </si>
  <si>
    <t>098a083175759c53525b6288a6e46119</t>
  </si>
  <si>
    <t>047ad2bad6fa4c12dd98ff4b00ce0317</t>
  </si>
  <si>
    <t>9ec69e593c93e73dea5c433c653e8d46</t>
  </si>
  <si>
    <t>Manhumirim</t>
  </si>
  <si>
    <t>ba2010e1e6a9cdc09e6699cc6ed48a1d</t>
  </si>
  <si>
    <t>d2c286d007ba2997cdd80a931d7af6ea</t>
  </si>
  <si>
    <t>16cef404b7d23cd7230ead9eed6b8594</t>
  </si>
  <si>
    <t>Ipatinga</t>
  </si>
  <si>
    <t>7ffeebb0c29e0949512e4346b8b6e172</t>
  </si>
  <si>
    <t>9de066b66e2d360fe874c00becef6a22</t>
  </si>
  <si>
    <t>fa2fd666118d799e8d1872a146839d77</t>
  </si>
  <si>
    <t>ee75b742f1f1b17653750c0b6f0bbbac</t>
  </si>
  <si>
    <t>29762256baa078e5ee816868b0224ae4</t>
  </si>
  <si>
    <t>5372e3b548f5a2f193afb2c778e172df</t>
  </si>
  <si>
    <t>Medianeira</t>
  </si>
  <si>
    <t>8413ebc651b8c647366e0e2c61dd63dd</t>
  </si>
  <si>
    <t>49a8037eb392560be2070774d0eb046b</t>
  </si>
  <si>
    <t>dc10959ac4ed148a4ca7be1f2b7dec38</t>
  </si>
  <si>
    <t>ebfd84fa76eb56fdefe0b656500fac4d</t>
  </si>
  <si>
    <t>6f8ef1903034bc19ff5a5c51dbcec604</t>
  </si>
  <si>
    <t>Piripiri</t>
  </si>
  <si>
    <t>8a4ec03292d13b2c7652022434a1d3d7</t>
  </si>
  <si>
    <t>Uniao Da Vitoria</t>
  </si>
  <si>
    <t>bd22679f67e770fe1a872d8d1b85f985</t>
  </si>
  <si>
    <t>Jandira</t>
  </si>
  <si>
    <t>4c4d6825f294e5d86048ffe4fce26334</t>
  </si>
  <si>
    <t>895b3de213f9fd7efb2f3896bf21babf</t>
  </si>
  <si>
    <t>433733f5c06699277a75a74d7d112304</t>
  </si>
  <si>
    <t>Tanque Novo</t>
  </si>
  <si>
    <t>bb7f386eccdada8610770251d6698b13</t>
  </si>
  <si>
    <t>Corinto</t>
  </si>
  <si>
    <t>f5eb5acec9783ed29ec9e62f521e409e</t>
  </si>
  <si>
    <t>Gramado</t>
  </si>
  <si>
    <t>b351c57f3466ec0b11aa1696b052068d</t>
  </si>
  <si>
    <t>df81dcb40098fb783a6525fa2f868bc9</t>
  </si>
  <si>
    <t>e82e73273643d2baa933aa470a7308f0</t>
  </si>
  <si>
    <t>cf57aabdd172a83f9c94d0800d5187c1</t>
  </si>
  <si>
    <t>abcbd7d5a339a1f5f553ba84b4d9cc69</t>
  </si>
  <si>
    <t>e02abba86c2340a09ce002e3dcff5229</t>
  </si>
  <si>
    <t>efade7725d5dfe59a8c281511cea69e2</t>
  </si>
  <si>
    <t>939b9bfbbe679418ac73646f380353ec</t>
  </si>
  <si>
    <t>bbabf4c6280e517a671f1c96efcd524b</t>
  </si>
  <si>
    <t>d575136ae1384bc45bd2c20dff0084dc</t>
  </si>
  <si>
    <t>582e0dbdbf89bc46dbcc5c34ff60745a</t>
  </si>
  <si>
    <t>542a75015e9fb10f090ea35b36cb470d</t>
  </si>
  <si>
    <t>dc6ad9979090e9f597d6cd0ea5a3feb6</t>
  </si>
  <si>
    <t>674fde036873612fe9ea8e4cff66ead0</t>
  </si>
  <si>
    <t>Vacaria</t>
  </si>
  <si>
    <t>dc91ff176f641d1c8ddbe744cd146e7f</t>
  </si>
  <si>
    <t>07da984520cb8c0de39f0b96b92c08f6</t>
  </si>
  <si>
    <t>69462246c5d9730f30df8f49f1cc1e83</t>
  </si>
  <si>
    <t>Itaquaquecetuba</t>
  </si>
  <si>
    <t>16c4802ea5c28830deef826f1f0b6941</t>
  </si>
  <si>
    <t>843fae0263cbfc12d1126522fb216aa7</t>
  </si>
  <si>
    <t>9d878626f2f4299a286c12663698d2d8</t>
  </si>
  <si>
    <t>19a321ecdcd24cde55aa21aef3693080</t>
  </si>
  <si>
    <t>5f244a6504c6895a4ab7c4cafe9b9a43</t>
  </si>
  <si>
    <t>d3c45d7784ed004c4ed67e4dd0f1cf38</t>
  </si>
  <si>
    <t>7d613c8e230ae48ff60df85bdbc794ab</t>
  </si>
  <si>
    <t>Campos Do Jordao</t>
  </si>
  <si>
    <t>48f02e28a0210f65bded7cd00ff8422b</t>
  </si>
  <si>
    <t>Sinop</t>
  </si>
  <si>
    <t>d552048b782d11413b8f34ebc2d9d148</t>
  </si>
  <si>
    <t>5981f36992c8a99eff941a3d3375b318</t>
  </si>
  <si>
    <t>bea71d4639ca3f09311fda9ea2fc7798</t>
  </si>
  <si>
    <t>99ca8b25a7b584ec1b48b0a857a9211b</t>
  </si>
  <si>
    <t>57de08bdf9af8887e90203f0a8e22cef</t>
  </si>
  <si>
    <t>41c284ffd871324eadf06fc989583619</t>
  </si>
  <si>
    <t>02e0c2efb6d9bb2a95ca90b7e78bec1f</t>
  </si>
  <si>
    <t>7699e05f3c451052397a0248cf24a821</t>
  </si>
  <si>
    <t>44aa65e291ac11fe59f9f4b622c408c8</t>
  </si>
  <si>
    <t>1d0288c49db00e00965c4d82d464f61e</t>
  </si>
  <si>
    <t>bc4b1551a6fb2346fc87b5879402dbf2</t>
  </si>
  <si>
    <t>b019bc1c1d0c2021d1c4d8d8e94ed969</t>
  </si>
  <si>
    <t>fb8616e60ade994289f5e25077397fc5</t>
  </si>
  <si>
    <t>dc608454ac1f85d42db31f7d558afff6</t>
  </si>
  <si>
    <t>a966152e4fc6b7e1891aadd4406c7c4a</t>
  </si>
  <si>
    <t>e756c16a8426f61eb4298bd6f590556b</t>
  </si>
  <si>
    <t>cb23b55fbda69bd2ff574bf553b47e8c</t>
  </si>
  <si>
    <t>c05394da933eae4ce6e374978c70998b</t>
  </si>
  <si>
    <t>Terra Rica</t>
  </si>
  <si>
    <t>64d02f4ae7e52cc423b0b8790e8760d3</t>
  </si>
  <si>
    <t>ac0371e472353a206eebab840f5e2ad4</t>
  </si>
  <si>
    <t>86ffd26cba13b7ba4ca88e5a993f5f4b</t>
  </si>
  <si>
    <t>884cb4ce4a06390d35206de06f785d13</t>
  </si>
  <si>
    <t>697b4c68b81ce7731108f096fbc56aed</t>
  </si>
  <si>
    <t>bdf7cbcf2a174866c15ade0d9a55bf7d</t>
  </si>
  <si>
    <t>f4c75150bfe11df19218e2bcfbb963ab</t>
  </si>
  <si>
    <t>df9ad58c9ee5c31a5a9e19eea2acc369</t>
  </si>
  <si>
    <t>aed2da811d45d0cdd0566d83a44f9724</t>
  </si>
  <si>
    <t>a1807de46dfccdc857a541ba48307747</t>
  </si>
  <si>
    <t>454004e3ce41f39124b8d2fc835a9117</t>
  </si>
  <si>
    <t>Alegrete</t>
  </si>
  <si>
    <t>3372398865ef7f00841c6ddeed00230d</t>
  </si>
  <si>
    <t>Casa Branca</t>
  </si>
  <si>
    <t>9f8336f54e26b60f22aa66d469bcf6f4</t>
  </si>
  <si>
    <t>c233a5be39263e6b4d380d2af589ff09</t>
  </si>
  <si>
    <t>9c4d23ed96872c52ce913a212b38a54c</t>
  </si>
  <si>
    <t>11720c3352cc89c305e6211b13e73084</t>
  </si>
  <si>
    <t>a5b39819520d7e72a834f69462af01f9</t>
  </si>
  <si>
    <t>63c0c13581a5bb9483b698f6bda9fce2</t>
  </si>
  <si>
    <t>bf672a8c61b5e33bc9cb66dcfe53eb64</t>
  </si>
  <si>
    <t>70373e9075b8d9c1c57bebf62ba3b59d</t>
  </si>
  <si>
    <t>e1a9073ab42d6cbd16dcf2aa7d695f6d</t>
  </si>
  <si>
    <t>19b8a677a41f55d06c3beda4849717b5</t>
  </si>
  <si>
    <t>Seabra</t>
  </si>
  <si>
    <t>6dcb51857ca646a4809ea67184d43e46</t>
  </si>
  <si>
    <t>8f5a539f581d3e8bbd7ceda637dca43e</t>
  </si>
  <si>
    <t>4134453ac6de03395610be89e3e305c2</t>
  </si>
  <si>
    <t>48755ebcffac911029c4d20f6ac536ac</t>
  </si>
  <si>
    <t>5f416e5874a47fb2ea0cc325530b6e76</t>
  </si>
  <si>
    <t>0f6a05e51088bdf60e8f9b6d753234a9</t>
  </si>
  <si>
    <t>2b92e54af943b80a3cd1863fedfd6496</t>
  </si>
  <si>
    <t>abeeea9fce5636d390a8d462e783ade0</t>
  </si>
  <si>
    <t>Acreuna</t>
  </si>
  <si>
    <t>dcb3d94e55f894b0b78edd5c9a8032fb</t>
  </si>
  <si>
    <t>44a022bf82d92fce7892801d46040e47</t>
  </si>
  <si>
    <t>Aracatuba</t>
  </si>
  <si>
    <t>eda1d5c35a11575cffaa3e0fa9d0cd5e</t>
  </si>
  <si>
    <t>4db12ae1b5826c465cb48c30426fe425</t>
  </si>
  <si>
    <t>925ee6cfbb7a083de5384773197aa9f6</t>
  </si>
  <si>
    <t>01422b2c3c27fa3bc464e72eaed9676b</t>
  </si>
  <si>
    <t>bc73dee75b47199fd9c5c4140ae5b1d9</t>
  </si>
  <si>
    <t>910009939cfb74f3c7bb36e1f8a27a39</t>
  </si>
  <si>
    <t>3ccb100b5c1cdf02d6d178c014e83286</t>
  </si>
  <si>
    <t>b190ee7e167e9e3a721577353fdeea4c</t>
  </si>
  <si>
    <t>1091b52a01d06a2bf1e97ca70cb2d75a</t>
  </si>
  <si>
    <t>Braco Do Rio</t>
  </si>
  <si>
    <t>411cb689d52e7d0468af7071748087b3</t>
  </si>
  <si>
    <t>0410fab6a2d13d2339283e1e2522518f</t>
  </si>
  <si>
    <t>8fc359cc10f3ab99032248ef5f152d4f</t>
  </si>
  <si>
    <t>Nossa Senhora Das Gracas</t>
  </si>
  <si>
    <t>50ba48feadedab8aed970b1ed1d6e058</t>
  </si>
  <si>
    <t>bf810a0d3b86bd83b11f6a426aedd339</t>
  </si>
  <si>
    <t>089b6875058f8f72ecbe2f5afe317910</t>
  </si>
  <si>
    <t>f99892da657d4b8ed6b3dddff8b166e1</t>
  </si>
  <si>
    <t>f8e38590ff083b97342732a847eb3851</t>
  </si>
  <si>
    <t>9cc025093e16276c24f5b98f3dc158a2</t>
  </si>
  <si>
    <t>cf8ace9395d2ee06b4b513df8ba682b3</t>
  </si>
  <si>
    <t>c1fb756587ad36ed1ecea431ea71887e</t>
  </si>
  <si>
    <t>9eefad52e5b37dc3e94fc823d63057b5</t>
  </si>
  <si>
    <t>0cae2524ce4d7c4658153705a054c722</t>
  </si>
  <si>
    <t>5460b7ae3e4318981a10de9300d62d93</t>
  </si>
  <si>
    <t>320663ce04c21d3c2df2e5097f90695a</t>
  </si>
  <si>
    <t>59e6b7178ae983c683bfb1ddec70fa49</t>
  </si>
  <si>
    <t>Itanhandu</t>
  </si>
  <si>
    <t>1ce94e846b53c3ed9a075323a8dbe580</t>
  </si>
  <si>
    <t>293d80b0abbf0b387d7e77eee30599cc</t>
  </si>
  <si>
    <t>Astorga</t>
  </si>
  <si>
    <t>470ceef9068e1385a280703397af31e8</t>
  </si>
  <si>
    <t>Sao Lourenco Do Oeste</t>
  </si>
  <si>
    <t>297a7adc75a9a48c518c7048426b9675</t>
  </si>
  <si>
    <t>52b146f0c6613581ac31bd5c03646865</t>
  </si>
  <si>
    <t>Nova Friburgo</t>
  </si>
  <si>
    <t>5df3ca6f9f8ff2d461a774ae097f9809</t>
  </si>
  <si>
    <t>c37e2b2752a33b18419055e591329f5b</t>
  </si>
  <si>
    <t>25ef8d6057a60c24d6ccd6fe6c5a8633</t>
  </si>
  <si>
    <t>Tres De Maio</t>
  </si>
  <si>
    <t>e6af218ec05996c969d34aa4e2dca436</t>
  </si>
  <si>
    <t>Tatui</t>
  </si>
  <si>
    <t>edc531c3153d23614049077e7e1e6405</t>
  </si>
  <si>
    <t>6b273a63c1e26cdd0d6c8099218fd1ac</t>
  </si>
  <si>
    <t>e2fcc0343a77288cc6461dbf325986bd</t>
  </si>
  <si>
    <t>767aa0b10b16289b3835d60f0984897a</t>
  </si>
  <si>
    <t>cb7a2c6ea8712ab4fcb4f1c66a6ca274</t>
  </si>
  <si>
    <t>Cornelio Procopio</t>
  </si>
  <si>
    <t>07fe18147d98a22e8f8f5e43fc09d831</t>
  </si>
  <si>
    <t>fef894b62a0f41d0511cdb289f554533</t>
  </si>
  <si>
    <t>1b41edd8cc8fe751d98cba50338f8c8b</t>
  </si>
  <si>
    <t>d89b392ad0bd59b8e4aac2471ad29e59</t>
  </si>
  <si>
    <t>d10090be5f75fb89b6817469f0ce1a30</t>
  </si>
  <si>
    <t>Queimados</t>
  </si>
  <si>
    <t>14282bc70be9bdda515182fb1ce62af4</t>
  </si>
  <si>
    <t>209892dc297e6b541a2251e5af9cb07b</t>
  </si>
  <si>
    <t>7416cd841f14bf1c92f1b57253035aef</t>
  </si>
  <si>
    <t>f4c613cbfddb3caad5c28c0d2b6be3c4</t>
  </si>
  <si>
    <t>e93910bafae4cbaa0f18ae0d66959cc5</t>
  </si>
  <si>
    <t>2ba617509989ec173226f6180cb098fe</t>
  </si>
  <si>
    <t>970a70981a389f6826a1e0427823f9fc</t>
  </si>
  <si>
    <t>08921fc98ee1dc54454ae8af90493c44</t>
  </si>
  <si>
    <t>ee3a699807c80432481120cf1deb06c7</t>
  </si>
  <si>
    <t>babc205f9c18c546dd707728767237dd</t>
  </si>
  <si>
    <t>56286095ef8730771df8d223978236ed</t>
  </si>
  <si>
    <t>Saquarema</t>
  </si>
  <si>
    <t>85406138a2e61baa5d9f0a8298bd6c56</t>
  </si>
  <si>
    <t>1e0b82a0da7f09ea9ba1b82dfaf4fa23</t>
  </si>
  <si>
    <t>Barrinha</t>
  </si>
  <si>
    <t>f384f4edb05c390598d9010ea97f7f4e</t>
  </si>
  <si>
    <t>Matao</t>
  </si>
  <si>
    <t>be000eea7b699cb1b93baa620f7ddfa0</t>
  </si>
  <si>
    <t>Ijui</t>
  </si>
  <si>
    <t>4409219388d83b4e077e0537ac46ec0c</t>
  </si>
  <si>
    <t>c01b52b26b2be81e5712a958631d858e</t>
  </si>
  <si>
    <t>6be0e40ad5ed600b9e6b90fb9f58ba3a</t>
  </si>
  <si>
    <t>80759217e6015f8b5a0582f6f216bb09</t>
  </si>
  <si>
    <t>1c62813b18c96c96cbfaefe7588521e2</t>
  </si>
  <si>
    <t>540aa72ba814b34b792f075b2164edd7</t>
  </si>
  <si>
    <t>ffb6d09223ffb2220329254f3f706059</t>
  </si>
  <si>
    <t>547b3596c03dfad1b87305e9c5a554c2</t>
  </si>
  <si>
    <t>25d25cce0abe624c6ab42ad5e9e30820</t>
  </si>
  <si>
    <t>a1ca351ecfd6a7962ae956aeb0c9f96c</t>
  </si>
  <si>
    <t>ff29c7cdeea12d00d7b40d4879cce688</t>
  </si>
  <si>
    <t>Pelotas</t>
  </si>
  <si>
    <t>130d0e27289efce0e9d8d74c3c1d43b8</t>
  </si>
  <si>
    <t>b2e0314790dc44ec6a7d96a62c221a5c</t>
  </si>
  <si>
    <t>Avare</t>
  </si>
  <si>
    <t>eb9d487086fb088d41b254e6985e26e0</t>
  </si>
  <si>
    <t>b42e0c99c693f666761672bdf283eefa</t>
  </si>
  <si>
    <t>Joao Monlevade</t>
  </si>
  <si>
    <t>4abc781b3e88962a7e098bcb42ed44c6</t>
  </si>
  <si>
    <t>fa21f82ef6bb86d2dbc878354e1df49d</t>
  </si>
  <si>
    <t>2ba265d6ef87c9d7e11c3e3b142b3136</t>
  </si>
  <si>
    <t>5bb5e53b117f231e116d1ff1f530c8ce</t>
  </si>
  <si>
    <t>c9501c00fae501ebb1ac842b94bbf192</t>
  </si>
  <si>
    <t>b00bfb424800f2b8208beced23e67c63</t>
  </si>
  <si>
    <t>96404c3575d9bea57012b0210139a1d6</t>
  </si>
  <si>
    <t>ddf67cc31b78ae6a5b969da2158d6bb3</t>
  </si>
  <si>
    <t>312be9a2f296750320ccfc0223531b30</t>
  </si>
  <si>
    <t>2214cc5b55271606e0beb67cc2d09eef</t>
  </si>
  <si>
    <t>Entre Rios Do Oeste</t>
  </si>
  <si>
    <t>e1427e7a68ffc45df4603af512ceb4f1</t>
  </si>
  <si>
    <t>2a6a114fe2292f31891a707ff4731e25</t>
  </si>
  <si>
    <t>Barra Mansa</t>
  </si>
  <si>
    <t>eed5f84919d668737e50dac75a4ebbd4</t>
  </si>
  <si>
    <t>107478e48c13dc0b39a379510464cd9d</t>
  </si>
  <si>
    <t>Ribeira</t>
  </si>
  <si>
    <t>67ff89e045f61cd73790e9866d3dc6ea</t>
  </si>
  <si>
    <t>b6bfb06d57aba458ce3dd894dcdadb11</t>
  </si>
  <si>
    <t>dd2a455f0d35a5d964808c72c38a36fd</t>
  </si>
  <si>
    <t>Muriae</t>
  </si>
  <si>
    <t>603abf924f26183ae2fd9c6b1fe23a80</t>
  </si>
  <si>
    <t>e7ebcedbeffde5b87c32cd5fc5c4542a</t>
  </si>
  <si>
    <t>7a7375f58149053d599aae579288fd96</t>
  </si>
  <si>
    <t>d9d6038fc6b49e88d43af0a6d43f0846</t>
  </si>
  <si>
    <t>7511b74731e2d79ebe5d9ad5d6c55a15</t>
  </si>
  <si>
    <t>3388b4784580beada8469d15e88c0efa</t>
  </si>
  <si>
    <t>5c756faf3b818e64d75e0696758f7755</t>
  </si>
  <si>
    <t>41189ec3ec41a82996b68cb4a6a661fa</t>
  </si>
  <si>
    <t>dbf2c0164b592abca90f6c6817f37a9b</t>
  </si>
  <si>
    <t>6f7167ff12cbdba10fcff1ad215166b7</t>
  </si>
  <si>
    <t>9879f1f661af3ff5f2e4e9e65ee661fa</t>
  </si>
  <si>
    <t>Sales Oliveira</t>
  </si>
  <si>
    <t>798311fa3620844fda6b22131873887a</t>
  </si>
  <si>
    <t>51e0e77bc0b6eb43fc25286a873ceac6</t>
  </si>
  <si>
    <t>d69debc082f137c0a4c9edaddd52b1fd</t>
  </si>
  <si>
    <t>20fcbc7e1a1c0fefaa568769e6f3347f</t>
  </si>
  <si>
    <t>Tutoia</t>
  </si>
  <si>
    <t>1f137a14de43d022802dd2375ff30e87</t>
  </si>
  <si>
    <t>Furniture Bedroom</t>
  </si>
  <si>
    <t>d705acf2afc3dcdc3de7aefa1e0215cd</t>
  </si>
  <si>
    <t>94072af7dce5862d93084c2494df0a38</t>
  </si>
  <si>
    <t>5e2d5a12419379ae165fd3596839a3cb</t>
  </si>
  <si>
    <t>c42acf5422921456e6ca7c15cf515c72</t>
  </si>
  <si>
    <t>bd5de289aee2b10eb505c63fc91df4d7</t>
  </si>
  <si>
    <t>0b4ff1c8f1d6e97ccd8e3ff14b4a663d</t>
  </si>
  <si>
    <t>666361dc35f61cd6ac10ec287d682b88</t>
  </si>
  <si>
    <t>Indiana</t>
  </si>
  <si>
    <t>cb7f0cda95b4c257c28e22496c219f5f</t>
  </si>
  <si>
    <t>666ee8dddb0138c7703e3e2a8bb8919f</t>
  </si>
  <si>
    <t>c919ace1499c5ef88133bf33307ba863</t>
  </si>
  <si>
    <t>Cruz</t>
  </si>
  <si>
    <t>4839cbb2ed51cf281dadeff495e39d6d</t>
  </si>
  <si>
    <t>665d50e18511ae7a38d58eded8c03b60</t>
  </si>
  <si>
    <t>36536e349dc6c5be3197657bf27675da</t>
  </si>
  <si>
    <t>db7f637a76e327e531bc84d186cc4f6a</t>
  </si>
  <si>
    <t>1c6165cd5363fa320f7e1a1245d2f36a</t>
  </si>
  <si>
    <t>b454e4c4cc8948478a19ca36c5e77bee</t>
  </si>
  <si>
    <t>1e6df4ea0f78bcf1e9e1a3abf97f28e1</t>
  </si>
  <si>
    <t>28b877013b30a7b9edf8ce22fe59087f</t>
  </si>
  <si>
    <t>Itauba</t>
  </si>
  <si>
    <t>a5283d6db4848796b9bea944339d2dca</t>
  </si>
  <si>
    <t>Curral De Cima</t>
  </si>
  <si>
    <t>12ca562090f2708ccd57fbbec8f8d975</t>
  </si>
  <si>
    <t>1b48e0e9948536f454c10a2a97426f11</t>
  </si>
  <si>
    <t>b87d022960af41494c2f57c172b5396d</t>
  </si>
  <si>
    <t>47cf7e28d8f434cd6a3f4825953cdbac</t>
  </si>
  <si>
    <t>c81bd857bc1711b4f9cba7c927f16144</t>
  </si>
  <si>
    <t>af5ef0c2ce03a9545b49f818244d759c</t>
  </si>
  <si>
    <t>d3e774a185c0b1b2286ffd6c70abe2e6</t>
  </si>
  <si>
    <t>b82e0c4be79dce9a462c4f875936de33</t>
  </si>
  <si>
    <t>4850125b26ca8977d47c83f60df48401</t>
  </si>
  <si>
    <t>deea84bd5e80bec98688cce040163d4e</t>
  </si>
  <si>
    <t>Caraguatatuba</t>
  </si>
  <si>
    <t>3e7c30293bf4e4c26815e44fa58ff074</t>
  </si>
  <si>
    <t>66fd661e991babfdd0cc2fc1ba977eb5</t>
  </si>
  <si>
    <t>c0029b358d3f226b1a759efa559b61af</t>
  </si>
  <si>
    <t>f6a14749cdfa97ee01f2fed27c0c8b3a</t>
  </si>
  <si>
    <t>5e3b1fdfb3471cc5fcbeaa63de769fc0</t>
  </si>
  <si>
    <t>b237f95fe1b25147f47f26e69b4214fe</t>
  </si>
  <si>
    <t>2f6c8229bb3fdf4119d15ce35c9adbd4</t>
  </si>
  <si>
    <t>e2c5cdd2687cb2f0efe991ed155c8653</t>
  </si>
  <si>
    <t>9cb8098ab14d7f21e32786b85f62f5e2</t>
  </si>
  <si>
    <t>Itambe</t>
  </si>
  <si>
    <t>65bc13ce9ce9abd1fb01560e41e0afa3</t>
  </si>
  <si>
    <t>7170daec36d1a1d42734374aff679a47</t>
  </si>
  <si>
    <t>c46c54fce26cfc332abf6dc199edb7d0</t>
  </si>
  <si>
    <t>d7a5df2b74a2d987597e7689cc22b07b</t>
  </si>
  <si>
    <t>Alto Taquari</t>
  </si>
  <si>
    <t>34fdc362961364d3ff08986ccff2212d</t>
  </si>
  <si>
    <t>e9200408a4afe99643102fe5ef8c66d5</t>
  </si>
  <si>
    <t>560d3fab356e794f6cae1c03cff6466e</t>
  </si>
  <si>
    <t>00a12754417a49a9dec20361849aa917</t>
  </si>
  <si>
    <t>e04d4af0a4a1090bf68ccfee2dd809ef</t>
  </si>
  <si>
    <t>ba780148e634afd811153d5362fe6261</t>
  </si>
  <si>
    <t>60f6e33dc906f7b5b4f5096f979ab9f6</t>
  </si>
  <si>
    <t>Sao Francisco De Itabapoana</t>
  </si>
  <si>
    <t>fd547f0ce35c6569138b865f900cf8fb</t>
  </si>
  <si>
    <t>e32ca528936e670ce37f0404d59ff5a1</t>
  </si>
  <si>
    <t>14aa8f56b7d871b721f38b3e355dfb94</t>
  </si>
  <si>
    <t>66cc026722b3407facaaa00f34cfef52</t>
  </si>
  <si>
    <t>0332e2e8114f5904403029875ac75329</t>
  </si>
  <si>
    <t>3fff175860497ca456d60c90b1f2b797</t>
  </si>
  <si>
    <t>Itapetim</t>
  </si>
  <si>
    <t>c4b90fb525d93e4746a762fd136acdd8</t>
  </si>
  <si>
    <t>e8fd4720a1fd3b72cadc05313036fe78</t>
  </si>
  <si>
    <t>dcb965b6963d2375946c5b2eeb316e6a</t>
  </si>
  <si>
    <t>a21b149df8e6239ec1b4da7bb48f4deb</t>
  </si>
  <si>
    <t>c1c2ca16c60c1904fe27ba8b0f864855</t>
  </si>
  <si>
    <t>e67519acd1370f173550a6cb2b994ca6</t>
  </si>
  <si>
    <t>80ab91a3eb74b9f60c88ccb65e86197d</t>
  </si>
  <si>
    <t>efc7354b6901a8603031e2dfeb54926d</t>
  </si>
  <si>
    <t>fb7e7ba8f47d0f1f90ef27989696d503</t>
  </si>
  <si>
    <t>ca575ea0d8cb38ef5d4d3bdded6ee535</t>
  </si>
  <si>
    <t>33a8bfc8305e6f0805566fbe433ad880</t>
  </si>
  <si>
    <t>Porto Ferreira</t>
  </si>
  <si>
    <t>2cba3cbb6058bc3efbf3531e9dcafeb5</t>
  </si>
  <si>
    <t>c32e3ab33d96cb52eb3981e6dfc3f9c4</t>
  </si>
  <si>
    <t>aa8c7fad85e2310540569bdf67fb25b1</t>
  </si>
  <si>
    <t>Peruibe</t>
  </si>
  <si>
    <t>66cbf9f31647802b60c0db44f2924ecb</t>
  </si>
  <si>
    <t>9069cf8008a940efbe703ea943d271a5</t>
  </si>
  <si>
    <t>def6322635f4afb3da8756ad712957c0</t>
  </si>
  <si>
    <t>a8dbaf4197af2f96f35fb65ad457c912</t>
  </si>
  <si>
    <t>889ea351c8a3773acec1c4652d87a9c1</t>
  </si>
  <si>
    <t>50bbd6f58e1641ea899a67a31871cc73</t>
  </si>
  <si>
    <t>Palmital</t>
  </si>
  <si>
    <t>55d31aada518f8198b01470b36eda8f2</t>
  </si>
  <si>
    <t>a493d659436f51198ebdd0ced8ec7d7c</t>
  </si>
  <si>
    <t>b3f4315fb36e8dee48aee5a92e674f64</t>
  </si>
  <si>
    <t>1a6a57642cf324ac86f14bcba484cb32</t>
  </si>
  <si>
    <t>0283a5f1680cc866884c09960d2462e3</t>
  </si>
  <si>
    <t>Pato Branco</t>
  </si>
  <si>
    <t>b2206d0ce2ecabdb39fcd5ce941805ad</t>
  </si>
  <si>
    <t>52c50c7534490a8391f8f6fd7115405a</t>
  </si>
  <si>
    <t>d47e5fbb24cade152dd968c93b0f0c66</t>
  </si>
  <si>
    <t>1c215cc70a409c7297e2f0f228fd6801</t>
  </si>
  <si>
    <t>5e4264d346083d24d1dc20b9f656a728</t>
  </si>
  <si>
    <t>Caratinga</t>
  </si>
  <si>
    <t>d41226bc535a19fd17ad5798958ec1d1</t>
  </si>
  <si>
    <t>2865f21ecfed100829d47451fbff2ec5</t>
  </si>
  <si>
    <t>02b8fcdd1bd75d7d5861f407dde29768</t>
  </si>
  <si>
    <t>271f637085c45e7e58268625604724a9</t>
  </si>
  <si>
    <t>778c4b126dadc4564077343c319a97e7</t>
  </si>
  <si>
    <t>ed274ecbd297951203b23b1e071eb593</t>
  </si>
  <si>
    <t>Louveira</t>
  </si>
  <si>
    <t>54c2fa26d524b90f034358bd9d333207</t>
  </si>
  <si>
    <t>69933502bb7f9b4aaac818858f964553</t>
  </si>
  <si>
    <t>cdb4c1d38fee4e877cf3102aa0c5b814</t>
  </si>
  <si>
    <t>Candido Mota</t>
  </si>
  <si>
    <t>9c5e0415bc4c4c089aa772c9387e0f8e</t>
  </si>
  <si>
    <t>d34b43bca6cc1cb6d49c06d6090770eb</t>
  </si>
  <si>
    <t>217bf2a8e5504add2b381326f7582a24</t>
  </si>
  <si>
    <t>4c30ca1b003a7fb3999df965167d492d</t>
  </si>
  <si>
    <t>4836de5d09ae58d55773d2e0179dccba</t>
  </si>
  <si>
    <t>Salto</t>
  </si>
  <si>
    <t>a103ca0d5926c0afb6a2892545f93a7c</t>
  </si>
  <si>
    <t>626c03cf0cb3efae944d6ac6c75c4a10</t>
  </si>
  <si>
    <t>a3309e7ee5cbc991563c83bc0c41d694</t>
  </si>
  <si>
    <t>64a364c5de0cfda3d0621b433b516203</t>
  </si>
  <si>
    <t>fbf3da6fe82010412982890b0c57e532</t>
  </si>
  <si>
    <t>1d4eedab93656360bfea837a37784384</t>
  </si>
  <si>
    <t>71f28f100b9563aab8eeba751790d889</t>
  </si>
  <si>
    <t>5001ef7f5cc08023f39a4f6b7c09b5f5</t>
  </si>
  <si>
    <t>Votuporanga</t>
  </si>
  <si>
    <t>480295bd3b66aeb4f624e16dc17a7412</t>
  </si>
  <si>
    <t>4439ae87a236a720d52416f0f5b816e7</t>
  </si>
  <si>
    <t>2063f9d50e384c34de535da7619f8aa6</t>
  </si>
  <si>
    <t>Sananduva</t>
  </si>
  <si>
    <t>6d45b70444c5898d019ee65973019ef7</t>
  </si>
  <si>
    <t>5fc9337527e54e6906760a44b78d3df9</t>
  </si>
  <si>
    <t>ad443601986ce3f657edcfd5069f6bcd</t>
  </si>
  <si>
    <t>Mococa</t>
  </si>
  <si>
    <t>9868f5a30b6f4fcd1ada68cdb1e5bf5d</t>
  </si>
  <si>
    <t>6cc093e3a5432dd810b3160fd965e76c</t>
  </si>
  <si>
    <t>e7d112a19f81eb693360bd433f03625f</t>
  </si>
  <si>
    <t>27de70aab873d2512659020719964c2a</t>
  </si>
  <si>
    <t>e15ea1f7534d809bdc05d3c5ecedf24c</t>
  </si>
  <si>
    <t>6f0a7c01d397ce3f7c6df65823350890</t>
  </si>
  <si>
    <t>4b160ae84bf86ca95ce56c7c83c0c5eb</t>
  </si>
  <si>
    <t>f8b1fd93645bdb65f94169a8815da211</t>
  </si>
  <si>
    <t>d57bfb04ec74aabf320e6e62442a28cb</t>
  </si>
  <si>
    <t>Small Appliances Home Oven And Coffee</t>
  </si>
  <si>
    <t>d978c11617c8cb9394b09ecf7c7ff182</t>
  </si>
  <si>
    <t>Cianorte</t>
  </si>
  <si>
    <t>Construction Tools Safety</t>
  </si>
  <si>
    <t>344aec04212ff4fb3b73f86f50ad49b9</t>
  </si>
  <si>
    <t>7d7b09adc383ca37307f36118c8dc856</t>
  </si>
  <si>
    <t>5e41372dfed214a973d082c2ba36e9a1</t>
  </si>
  <si>
    <t>008ce8764db2e397e153000e017475b6</t>
  </si>
  <si>
    <t>67181f4e71a741e7693f8546045a40f9</t>
  </si>
  <si>
    <t>0753ba0519dd531e78e0abdedb16be35</t>
  </si>
  <si>
    <t>425db79ac88bce97ec9884db3be0e019</t>
  </si>
  <si>
    <t>f67026e78b00cb23af0f2ccdb5ee8245</t>
  </si>
  <si>
    <t>501e09201e883a7018d34ba1a20e903b</t>
  </si>
  <si>
    <t>d3a543aebcdb10da36e411d1b65a7493</t>
  </si>
  <si>
    <t>8c852623da2a9eea1c1aab41baa78a43</t>
  </si>
  <si>
    <t>d5e6b060ecc28faa0d97b0202f739106</t>
  </si>
  <si>
    <t>Sao Jose Do Inhacora</t>
  </si>
  <si>
    <t>a8214c9e03a43c854489256848d39323</t>
  </si>
  <si>
    <t>4884bd0f5624b0b791920965686cf6ff</t>
  </si>
  <si>
    <t>ebee038c5993647eb1defc78207cd187</t>
  </si>
  <si>
    <t>1cc4c099fe24689266163670a36d04d7</t>
  </si>
  <si>
    <t>2e69009ed3ebd65c2e8188a8d7e8c0eb</t>
  </si>
  <si>
    <t>b69a71531e8579d2989792e5fcff085f</t>
  </si>
  <si>
    <t>f712d6b3989692ceb30fb3cefe2a3593</t>
  </si>
  <si>
    <t>b0247f256d2486d4cb5f3bf93dd84eb4</t>
  </si>
  <si>
    <t>9b154f568f003a7bb924121e0f6bec40</t>
  </si>
  <si>
    <t>f6c8d57f0ca0ee7b2f2fd5d967ce4b4f</t>
  </si>
  <si>
    <t>7002f5420d7a37aebd4c740b01b2fd5f</t>
  </si>
  <si>
    <t>96b7f5a470ca6a58f261be1af286e4d9</t>
  </si>
  <si>
    <t>Olinda</t>
  </si>
  <si>
    <t>dbbb8658d9a27d2be4cefb9a9a5d9e33</t>
  </si>
  <si>
    <t>12f3eaf92da599fd1abd3dc8e21bff0d</t>
  </si>
  <si>
    <t>4044d99051c9cd7f9f00188ac0c829f2</t>
  </si>
  <si>
    <t>c4e6c7d111d17798aa897ace9fdb33f3</t>
  </si>
  <si>
    <t>Tangara Da Serra</t>
  </si>
  <si>
    <t>cc812bc2c7f8350a08add17abe7bcc84</t>
  </si>
  <si>
    <t>09475a764868b0fa004ced42388fe6c6</t>
  </si>
  <si>
    <t>82c1d5e96ea750adc1f2c2011af5b0e6</t>
  </si>
  <si>
    <t>c1642f56f39a87a53527bc120e231299</t>
  </si>
  <si>
    <t>6002f27b7795af4f2bd4da90aca5a958</t>
  </si>
  <si>
    <t>f119f2d71c96714540bb893bff51e122</t>
  </si>
  <si>
    <t>f256f9e290a782032234f9bb030d2fb3</t>
  </si>
  <si>
    <t>13100b3a31729e96b34e7eeaf3cadb2c</t>
  </si>
  <si>
    <t>62208055aa533094c967cc9536ecd5a7</t>
  </si>
  <si>
    <t>45287af4d4d9504d6569383cbf95c764</t>
  </si>
  <si>
    <t>6ded814a50d02c15369b8b7fdff6a3e5</t>
  </si>
  <si>
    <t>Maragogi</t>
  </si>
  <si>
    <t>eb0055f08e77f2000bff9a54e9d1b6fe</t>
  </si>
  <si>
    <t>5308fdab519f7478ef64894128fbbee4</t>
  </si>
  <si>
    <t>bbfb6afc6b09bb994e0093a008ec7675</t>
  </si>
  <si>
    <t>5c458a0a24c83bb972feb57ab32e38a6</t>
  </si>
  <si>
    <t>2112c4e4b32f421f701b405f05242c3b</t>
  </si>
  <si>
    <t>4b1609677539e847e9d15f655ca4fcd0</t>
  </si>
  <si>
    <t>c3fea8c95a1b94af7d629c3c2952334b</t>
  </si>
  <si>
    <t>4becfda49755e3759f3bef6ebb43e88d</t>
  </si>
  <si>
    <t>17229fc3b255deaf774bd892c1673951</t>
  </si>
  <si>
    <t>846b560326bf3574c22964443fe7c5f1</t>
  </si>
  <si>
    <t>f2d4c5e2504657f6ee0b76fb979dd01d</t>
  </si>
  <si>
    <t>7e047f26cecb3f6373facac7ded4924c</t>
  </si>
  <si>
    <t>58e4f337e6222b76df3642affa8a0605</t>
  </si>
  <si>
    <t>f930a1f6247ed00d6fa9d8a09782c7b4</t>
  </si>
  <si>
    <t>27f34f7957260b0d9e561139a5752836</t>
  </si>
  <si>
    <t>15fdda39515f8ebe0bc8d067fa136a83</t>
  </si>
  <si>
    <t>0a11e1f5811dda6f2921ea5b87f67475</t>
  </si>
  <si>
    <t>Xexeu</t>
  </si>
  <si>
    <t>f1147937e588f3e556bf8b1d57bf4881</t>
  </si>
  <si>
    <t>0e8af1a05e9022734d9794c079ebdcf5</t>
  </si>
  <si>
    <t>Perdizes</t>
  </si>
  <si>
    <t>d9c24e4449ffb647e94f0bf23388e4aa</t>
  </si>
  <si>
    <t>bb91c3b36fbe9aa9873d12ffb7371942</t>
  </si>
  <si>
    <t>b867ed36fe57004358a5c654d886d389</t>
  </si>
  <si>
    <t>f6ffb29c9fc11f94687426f77bfb45b4</t>
  </si>
  <si>
    <t>9b3aaef8e7908ab350a9de73399ca846</t>
  </si>
  <si>
    <t>b14b0dde0afd46bc7023f812bccb6abe</t>
  </si>
  <si>
    <t>b8615aa7e6248212cab23e120279acf2</t>
  </si>
  <si>
    <t>Itatiba</t>
  </si>
  <si>
    <t>4888eb67727162d62e275521e8d6bf41</t>
  </si>
  <si>
    <t>c962dcc5dbea32a63325a3f4a0c271ed</t>
  </si>
  <si>
    <t>de34a09fbecb667119c64e23d1232966</t>
  </si>
  <si>
    <t>32f4f0673547f9e7bef5c7d24d8f3a87</t>
  </si>
  <si>
    <t>Oeiras</t>
  </si>
  <si>
    <t>Dvds Blu Ray</t>
  </si>
  <si>
    <t>916fdcba975b61d1b124bc2e79b2bf87</t>
  </si>
  <si>
    <t>Tupaciguara</t>
  </si>
  <si>
    <t>114b047e7bac7728e93bdf39f7031875</t>
  </si>
  <si>
    <t>5dee4f20dad15577d54e207b68b96be7</t>
  </si>
  <si>
    <t>a027e89cd6295407d6e1f2d2a8f73523</t>
  </si>
  <si>
    <t>Registro</t>
  </si>
  <si>
    <t>fffe41c64501cc87c801fd61db3f6244</t>
  </si>
  <si>
    <t>b5ffba2e8295cec77424fe5dc22f2dd7</t>
  </si>
  <si>
    <t>7263a9488004df94487b7f970be3b91e</t>
  </si>
  <si>
    <t>3549d4f44bac42a299415349e0fcad15</t>
  </si>
  <si>
    <t>0aee3a9d7c585888c61c307c40df0c0b</t>
  </si>
  <si>
    <t>Viana</t>
  </si>
  <si>
    <t>5c3c5fb92600fb7f21312551fc1ee21e</t>
  </si>
  <si>
    <t>40c5e18f7d112b59b3e5113a59a905b3</t>
  </si>
  <si>
    <t>4d9e31ff85efba399f614db862300f50</t>
  </si>
  <si>
    <t>03ecec245220b63fd7f68c1737ba99ba</t>
  </si>
  <si>
    <t>Gurupi</t>
  </si>
  <si>
    <t>983de0fdf98ff06d6cf1c379f7540f7f</t>
  </si>
  <si>
    <t>Queimadas</t>
  </si>
  <si>
    <t>0cf68e3d525fbc20d4080a496006a8d7</t>
  </si>
  <si>
    <t>0c4284c2b4798ef2f308a6748fa63dc3</t>
  </si>
  <si>
    <t>Extrema</t>
  </si>
  <si>
    <t>e3618dffd8f8f787a12ad38ce9b342b3</t>
  </si>
  <si>
    <t>6b2e6953c172b21f54050c74b8b86250</t>
  </si>
  <si>
    <t>a2ef683013be03a1d7903ecc7d17d48d</t>
  </si>
  <si>
    <t>fd2f3b1ef3f5448ff37c4e0fea64c1cd</t>
  </si>
  <si>
    <t>2fd0c89b7b2becc09655a9e060a885bd</t>
  </si>
  <si>
    <t>e55ccf4e8ae6aa77431729b1bf96d741</t>
  </si>
  <si>
    <t>7349428ccc1c563f452b351a461aeb09</t>
  </si>
  <si>
    <t>Capinzal</t>
  </si>
  <si>
    <t>28fef81ab1df2696fb04a5353d4ad79b</t>
  </si>
  <si>
    <t>3a5fc5a4374b66b42bae2135cfcdf9e2</t>
  </si>
  <si>
    <t>705e297aabac0f1fae1db3971e90952d</t>
  </si>
  <si>
    <t>82acba16fc9b8ae5c09fc512b425ea04</t>
  </si>
  <si>
    <t>6225935944047d4d3aa8d938a2988c61</t>
  </si>
  <si>
    <t>a8998c981964bf8bac216e296e00b309</t>
  </si>
  <si>
    <t>f0ad79b0aabc7f8793cee5df723fcda9</t>
  </si>
  <si>
    <t>801fd091fe53f9ce56198949aee82afb</t>
  </si>
  <si>
    <t>cc46818e210f019a0a7c59b03fc43c8e</t>
  </si>
  <si>
    <t>Sao Goncalo Do Para</t>
  </si>
  <si>
    <t>83e7d6f02761a2c17b9e5661a1666885</t>
  </si>
  <si>
    <t>Forquilha</t>
  </si>
  <si>
    <t>e65d919c8e10d902b34ae4c8aeb57ae9</t>
  </si>
  <si>
    <t>Cunha Pora</t>
  </si>
  <si>
    <t>0a8b3b277ffe67981af7d4a14e7f98d5</t>
  </si>
  <si>
    <t>5b33244d158adb23abb0d481fa052af8</t>
  </si>
  <si>
    <t>098e78dea9fc1a1e1e49c220f27dcea4</t>
  </si>
  <si>
    <t>90067425f10c56b57afe862b51284a29</t>
  </si>
  <si>
    <t>ba58944fed9eea8a43f9fc3b2cdca75f</t>
  </si>
  <si>
    <t>Curvelo</t>
  </si>
  <si>
    <t>073632ef894dcb45601e326b8d97cd11</t>
  </si>
  <si>
    <t>Tres Rios</t>
  </si>
  <si>
    <t>b55f0a21f464a77eddb6a1b485795406</t>
  </si>
  <si>
    <t>6e3224c4911f8c73424e7c2c7678c01e</t>
  </si>
  <si>
    <t>Medina</t>
  </si>
  <si>
    <t>4921567919029aa0950f3ebec0f91169</t>
  </si>
  <si>
    <t>Aguas Da Prata</t>
  </si>
  <si>
    <t>67295f84fa8af9e57a89d851ccd9cec9</t>
  </si>
  <si>
    <t>714d72a98db4e167095c024702d7422a</t>
  </si>
  <si>
    <t>44ca3a6e88412fa58bacabe95656aa63</t>
  </si>
  <si>
    <t>Belo Oriente</t>
  </si>
  <si>
    <t>092a7de4b983f4ee3e77af64e2f8c9e8</t>
  </si>
  <si>
    <t>cbb54b440099b6c4994d1109f3968b97</t>
  </si>
  <si>
    <t>d7883101fd4d6a5b0dd411c2ec79d5ed</t>
  </si>
  <si>
    <t>c9af854c75c421e3b6f3de0336c7fe65</t>
  </si>
  <si>
    <t>7ada2c142f3ce316bba23245026e5807</t>
  </si>
  <si>
    <t>8e74025444ac9b16544fc2fc74c39b48</t>
  </si>
  <si>
    <t>eb37544121736af22008931c8e3c30c8</t>
  </si>
  <si>
    <t>Santo Antonio De Jesus</t>
  </si>
  <si>
    <t>f4a9268b9d93be241636096dc063596c</t>
  </si>
  <si>
    <t>15be0c9cf56bcf3cfe7c453ca50f7c38</t>
  </si>
  <si>
    <t>51f0c74a5a4bb9d033837707f629b9b9</t>
  </si>
  <si>
    <t>fab81f2fc065871a42ac06b9bedc78b5</t>
  </si>
  <si>
    <t>Nova Russas</t>
  </si>
  <si>
    <t>5659543f2c384877607595dab0690d5d</t>
  </si>
  <si>
    <t>e23252bcb975a2302c451aedc2e24ab9</t>
  </si>
  <si>
    <t>b7705b2fe11703e8b7e9cf02ddea50f9</t>
  </si>
  <si>
    <t>4b71d0c2069bff9ed09d410833e104c0</t>
  </si>
  <si>
    <t>715d1b25b622ce303939e77c3aaa03f1</t>
  </si>
  <si>
    <t>d12a47d442a17b323b1a2cc05b2c217b</t>
  </si>
  <si>
    <t>add85850d87ec9b2926443c2310561dc</t>
  </si>
  <si>
    <t>26792a0dac4a86edaee496f4690de6a5</t>
  </si>
  <si>
    <t>3ba7bbd7b7686df219611578ece6918c</t>
  </si>
  <si>
    <t>dd25b9c9ad6b58c1431edea24eeca196</t>
  </si>
  <si>
    <t>cd9b48fbcef64e5b838f5026ac43c776</t>
  </si>
  <si>
    <t>ae103e0dfaa3fc6e8b8c9cf179c7a94d</t>
  </si>
  <si>
    <t>61d903b9af9181717baf3abd115fbd71</t>
  </si>
  <si>
    <t>bc9bd5e4ac265b0e6cac08b3019798eb</t>
  </si>
  <si>
    <t>991bf1c6e96eaac9da55927eda155d99</t>
  </si>
  <si>
    <t>04dbc8d27bc4a29787bbaf068607aa76</t>
  </si>
  <si>
    <t>68354b9bbb79df0863b0138440c9e1b1</t>
  </si>
  <si>
    <t>586beaa2e8ffefdedcba61bfabb0c9d4</t>
  </si>
  <si>
    <t>877e77fa066905d1dc21d9677a649b85</t>
  </si>
  <si>
    <t>ac0804adece431f14e99d82ab558c3c0</t>
  </si>
  <si>
    <t>57877cee20b0b56f383bcec5069c48c8</t>
  </si>
  <si>
    <t>Carmo</t>
  </si>
  <si>
    <t>2e25edce866b2fcb977f54d25a294b09</t>
  </si>
  <si>
    <t>7f7b3e8f848e23fbcd3d2e096d12ef94</t>
  </si>
  <si>
    <t>Baependi</t>
  </si>
  <si>
    <t>36b8a8489ea76d561b88cf2d22bd965b</t>
  </si>
  <si>
    <t>d73ddd98199cde252b1c0ee783374da9</t>
  </si>
  <si>
    <t>f9ac6a2ab423a15620d4ae10b33ce854</t>
  </si>
  <si>
    <t>d266e87fb98640ecbbe91425c76e72f3</t>
  </si>
  <si>
    <t>3dc295e279315e7e81cfed73795c77a6</t>
  </si>
  <si>
    <t>552c8124ce312cfc961d6ea0ca4387e2</t>
  </si>
  <si>
    <t>8b834cd52afbdf1c2837ce5b7e9c6f21</t>
  </si>
  <si>
    <t>b70c2a4797319570dbecddc366fb25c0</t>
  </si>
  <si>
    <t>f3eb66a4129d33fbc7c1077f39dffe65</t>
  </si>
  <si>
    <t>ef6f8412396e4df61ff53a81e1c6a4a1</t>
  </si>
  <si>
    <t>0a84606bdb8331708400882d2e921524</t>
  </si>
  <si>
    <t>069448c08929653f9280f77f9d746ee1</t>
  </si>
  <si>
    <t>0b3f84ce012f341897587c6e4e73f68e</t>
  </si>
  <si>
    <t>Rio Das Ostras</t>
  </si>
  <si>
    <t>d47275f7c8f1c128471944cf03903a2e</t>
  </si>
  <si>
    <t>0dbcaa88e213607d3795e96eda505c73</t>
  </si>
  <si>
    <t>188e0ceeddc1fff39d55d96545c912c2</t>
  </si>
  <si>
    <t>e02e028e7d2ce34852594cbb87cb7629</t>
  </si>
  <si>
    <t>890e7120b669f8e79df87610b80b3b91</t>
  </si>
  <si>
    <t>fbd969aaf28de4524d590d37fd10b894</t>
  </si>
  <si>
    <t>8fa4c1bf3c1b27d1349e2aa934aed53f</t>
  </si>
  <si>
    <t>9b1e6dedd7de3097acb7948dfd8cc359</t>
  </si>
  <si>
    <t>3f4cc91bbcf1a05dbef15d8f976588bf</t>
  </si>
  <si>
    <t>32e4fa9bb468884309b58b9348de70c3</t>
  </si>
  <si>
    <t>3c8c8b2ae428da4a2bd9c4547354630c</t>
  </si>
  <si>
    <t>Santa Rita De Caldas</t>
  </si>
  <si>
    <t>ad716a0d2ae795dfccfb3afc5d40a6e9</t>
  </si>
  <si>
    <t>1257e20a360aff14dfaa811bc8e50e09</t>
  </si>
  <si>
    <t>Treze Tilias</t>
  </si>
  <si>
    <t>89ca163ca854eaee18b4ba6110f524fe</t>
  </si>
  <si>
    <t>Concordia</t>
  </si>
  <si>
    <t>838f8e96cf584a1d8d22eaf7143c7772</t>
  </si>
  <si>
    <t>1dc839387052269a40a3e539aa949980</t>
  </si>
  <si>
    <t>c50a61769f40b372bbbd80499c805d9a</t>
  </si>
  <si>
    <t>9e85367165bb242141b1f2638d6fc239</t>
  </si>
  <si>
    <t>eb5775c404ef8a8dd4526d6c75db4142</t>
  </si>
  <si>
    <t>172f9fee6f5a8b311968d1c27b336438</t>
  </si>
  <si>
    <t>270405232941d7da4e2b02fb8580f571</t>
  </si>
  <si>
    <t>AP</t>
  </si>
  <si>
    <t>Macapa</t>
  </si>
  <si>
    <t>fa2e9a883be0ffdb96cd579ee1c935fa</t>
  </si>
  <si>
    <t>Avanhandava</t>
  </si>
  <si>
    <t>62310e6941dd333f0a8bfde5ec77d8c6</t>
  </si>
  <si>
    <t>003edccf16bc5ec447f592913b3df2b4</t>
  </si>
  <si>
    <t>Vitoria Do Mearim</t>
  </si>
  <si>
    <t>530b947c3a33112e9d1b807557aabe41</t>
  </si>
  <si>
    <t>27bb59120b021cf6ebad6ea92f289d53</t>
  </si>
  <si>
    <t>fa12564d7462c9a851c79c301bcb97de</t>
  </si>
  <si>
    <t>d935a08ef5c50d36476868e9413cccea</t>
  </si>
  <si>
    <t>50325859f3cbe1386e11e8a253ac1068</t>
  </si>
  <si>
    <t>813806934fb64463e4a78ff2cfef2941</t>
  </si>
  <si>
    <t>a9c74f167b0d8af61d6487fc21934f7e</t>
  </si>
  <si>
    <t>75518a45c276d9863de563ed245edfc5</t>
  </si>
  <si>
    <t>c2a0804ce9caec169b2c41564fd7f9e0</t>
  </si>
  <si>
    <t>a4bab2081e615128b48cf3e4e7d8be97</t>
  </si>
  <si>
    <t>67a0536ff5532b7d6ed0c62f8a3a5ccd</t>
  </si>
  <si>
    <t>Piquete</t>
  </si>
  <si>
    <t>fa4646aff1ebffa86487953e4143125b</t>
  </si>
  <si>
    <t>b9d42d3c4b0b357f92488c43be786520</t>
  </si>
  <si>
    <t>053060b606af02b5ea4b079dd492ec5b</t>
  </si>
  <si>
    <t>6538c9e08179995c8f73f5ab8ce6e9f8</t>
  </si>
  <si>
    <t>77a4cc7b685fb19e55b78931185be0eb</t>
  </si>
  <si>
    <t>68c7e05efd75f44bc692682d695a480d</t>
  </si>
  <si>
    <t>4cc2340048994d76ad8665b2ed98e19e</t>
  </si>
  <si>
    <t>c1ba2eff47cfb7e4dc93b12ee08f21ed</t>
  </si>
  <si>
    <t>fca2d3cd8d197a721028480baceb995a</t>
  </si>
  <si>
    <t>1fea99244761fe0359d759672fdbcf4a</t>
  </si>
  <si>
    <t>be597ae2dfc955f581832e7430e7e293</t>
  </si>
  <si>
    <t>78d197a2bfdde2a4c64cf3e58ab2b7a3</t>
  </si>
  <si>
    <t>c375be2afa9340cae31b6c25a09449be</t>
  </si>
  <si>
    <t>Santa Luzia</t>
  </si>
  <si>
    <t>6c825e27cef5e047f570be83dd1feaba</t>
  </si>
  <si>
    <t>Promissao</t>
  </si>
  <si>
    <t>da57afb5411cc92dfeca3968e90860f7</t>
  </si>
  <si>
    <t>Brumadinho</t>
  </si>
  <si>
    <t>1f7ca128c2e0034d8ebe8a38824c0db1</t>
  </si>
  <si>
    <t>Dom Feliciano</t>
  </si>
  <si>
    <t>21996e7c744554c7c4fac8896bbdf0ea</t>
  </si>
  <si>
    <t>02521a906b13fc8ff9314bf88adc31ed</t>
  </si>
  <si>
    <t>8d99d2f6f573a9d674fd19d2c0f9a70c</t>
  </si>
  <si>
    <t>9645ec392b0691767c5d0e2fabca23d7</t>
  </si>
  <si>
    <t>6ffc78c9003aa616f58b4de610bcce29</t>
  </si>
  <si>
    <t>b67ec1ba150cc097d3ab518272e6cf3f</t>
  </si>
  <si>
    <t>d4361586dbdf3e45c6de2faac0714711</t>
  </si>
  <si>
    <t>907d60e687ca48a571844a50f21ac995</t>
  </si>
  <si>
    <t>7d5f9657103294db1e017f49a5e06c50</t>
  </si>
  <si>
    <t>363f8154ce0860b9c0c5a4c09e9f619c</t>
  </si>
  <si>
    <t>18eff6d147d508df0b175851df5ab20f</t>
  </si>
  <si>
    <t>fb49153a4f9a8b019b1a7a058ba8f3e7</t>
  </si>
  <si>
    <t>da46439d7d06cf02cb44d0908ecc3575</t>
  </si>
  <si>
    <t>Nova Granada</t>
  </si>
  <si>
    <t>1a4514c5462bbdb806d15e6b241c7a70</t>
  </si>
  <si>
    <t>aff6ce4c3564b24d8ecfa5f9d9c62fb1</t>
  </si>
  <si>
    <t>232efaeba12fd576e70a88f09d6583b6</t>
  </si>
  <si>
    <t>70a1ce56d693a1a8142d48883989f08f</t>
  </si>
  <si>
    <t>01b1800f51715ab76f67caf732206437</t>
  </si>
  <si>
    <t>bf1b064ac1b222c3d923f782e5ca8a04</t>
  </si>
  <si>
    <t>fc504e55e65297119164294412b4635a</t>
  </si>
  <si>
    <t>Sooretama</t>
  </si>
  <si>
    <t>466d522fb7208d4e9df25324ed81dd7c</t>
  </si>
  <si>
    <t>Camacari</t>
  </si>
  <si>
    <t>50987c164be26b0ad4ab868bdecbd6bf</t>
  </si>
  <si>
    <t>d5c93f9528b5b9869e4c761fcde5a834</t>
  </si>
  <si>
    <t>a0ac0049119c70e88509f0c8e30564e8</t>
  </si>
  <si>
    <t>b869d5e47a11e0ef5dda1edf492e8c69</t>
  </si>
  <si>
    <t>eeb5ef8a49a1f7a19a3da46d6d968e4d</t>
  </si>
  <si>
    <t>db2591092d4d4eefdacc5957508a3af3</t>
  </si>
  <si>
    <t>56b63c7382a444bc8eac58cd4d161da0</t>
  </si>
  <si>
    <t>Cataguases</t>
  </si>
  <si>
    <t>b776d14b6ced11d944e2a04f0fb06376</t>
  </si>
  <si>
    <t>Costruction Tools Tools</t>
  </si>
  <si>
    <t>f98fd69be8fcd65fd0c873c48e21bc44</t>
  </si>
  <si>
    <t>d793a2f7a07ce993cbdd2d6ffac8972e</t>
  </si>
  <si>
    <t>Japeri</t>
  </si>
  <si>
    <t>a2f11c7013b28222f6c33526257ce2bf</t>
  </si>
  <si>
    <t>7e439a3cffba90d9a5d684e4033d66a9</t>
  </si>
  <si>
    <t>da61998714e3b9c6399161f0225b63d8</t>
  </si>
  <si>
    <t>d9952ada4955694cae66806b7d5ac6ca</t>
  </si>
  <si>
    <t>c410d85093b93e495da87d8041af5ffa</t>
  </si>
  <si>
    <t>14dca2543b44a6699edcca2bd49b261a</t>
  </si>
  <si>
    <t>d84dce79fd962faab40bc1d4b084d9d7</t>
  </si>
  <si>
    <t>b00e398b9fedc8b818679422af47d3ad</t>
  </si>
  <si>
    <t>2296fa4ebace1edacb9f91509766eb18</t>
  </si>
  <si>
    <t>9e47bdda0d32604c18e587c151278314</t>
  </si>
  <si>
    <t>0d7ef227c3cb5f6a3fc62c0beb5e11cd</t>
  </si>
  <si>
    <t>Taguai</t>
  </si>
  <si>
    <t>279a3bc53e370f1614e3205bf4946041</t>
  </si>
  <si>
    <t>a6325795dfacc6b956a81ab35de34506</t>
  </si>
  <si>
    <t>d089c57c3f1314fa5bb23b8416231e81</t>
  </si>
  <si>
    <t>d8c2d5ded5aae20ac6a6e9ef34d9c3dd</t>
  </si>
  <si>
    <t>c1872cd219ab83c3a9a63cdc2f75a518</t>
  </si>
  <si>
    <t>1d767ef13195f2cb3337b6b077e1f752</t>
  </si>
  <si>
    <t>cf68118a73d946c12f379bfcaa85e9f0</t>
  </si>
  <si>
    <t>d10471750e335e783fff1bc755988a86</t>
  </si>
  <si>
    <t>6f078a846f0427e42e068e545b56efdf</t>
  </si>
  <si>
    <t>2ae00ff32b724a74e37b8264ac4fb85e</t>
  </si>
  <si>
    <t>13188f2e3cfdae1480d1552e58d19d7d</t>
  </si>
  <si>
    <t>63cd4c6c97737eb374e4b09ed5c1379a</t>
  </si>
  <si>
    <t>Teixeira De Freitas</t>
  </si>
  <si>
    <t>f7d991e51703014752000a5a1dabc152</t>
  </si>
  <si>
    <t>6acf2b0f288195a72858fa65ff2c43c7</t>
  </si>
  <si>
    <t>c7dc7be67e857a6c64557d42383dec8c</t>
  </si>
  <si>
    <t>f25fb554c12314110c2c14a22b7eba65</t>
  </si>
  <si>
    <t>594d1d0caf1a2bb2d2d95058d9e318cc</t>
  </si>
  <si>
    <t>22e4add79c3efc7828d1119a222b76da</t>
  </si>
  <si>
    <t>Bertioga</t>
  </si>
  <si>
    <t>c7649c79ea8177e6ff2817c7dac6343f</t>
  </si>
  <si>
    <t>2acb8c7bef9b70c1fdcf3925c04bedd1</t>
  </si>
  <si>
    <t>f6c24edf013157aee2faf5ede22cf0b1</t>
  </si>
  <si>
    <t>b3e8dcfb9aeb7215dd9f011e8c7668c7</t>
  </si>
  <si>
    <t>8514ad13664259c7e1bc7cbaa34826f0</t>
  </si>
  <si>
    <t>a6ba8648e5a290ca5c5d01adb610e447</t>
  </si>
  <si>
    <t>Itaoca</t>
  </si>
  <si>
    <t>667a47b3d52c6e88390b50708a061561</t>
  </si>
  <si>
    <t>50ef6a06a587a4f97f8483946c692e70</t>
  </si>
  <si>
    <t>bd4bd0194d6d29f83b8557d4b89b572a</t>
  </si>
  <si>
    <t>372eb74837659ae6a3bc25f662bfa2ff</t>
  </si>
  <si>
    <t>5f0204c837c9b96a76c8da513f40ab17</t>
  </si>
  <si>
    <t>Teresopolis</t>
  </si>
  <si>
    <t>6e6ba99ba306b937fc7730f3e06cc1a6</t>
  </si>
  <si>
    <t>2f3421276983f8f73c05e988a95991ba</t>
  </si>
  <si>
    <t>5a97cb85d8737c11775451e5bcf67286</t>
  </si>
  <si>
    <t>5bab7c41f1405d62a214dc3648c37e1c</t>
  </si>
  <si>
    <t>97445d49acef660b9217b07d0fc1ce3a</t>
  </si>
  <si>
    <t>7e27277184720891692df939d3a7b048</t>
  </si>
  <si>
    <t>e269ca84795620d3adb86146ff38ad62</t>
  </si>
  <si>
    <t>f0c1fadfe3832d32c7a44b37530c9e2c</t>
  </si>
  <si>
    <t>1a46a59c4c13f2c52e453f8f490b7840</t>
  </si>
  <si>
    <t>70ee631a6eb795832e5318331fdf56d3</t>
  </si>
  <si>
    <t>4d0b1ea51ea051ef9f4765df8148c0cd</t>
  </si>
  <si>
    <t>c4e471ceef59a7434978cda5d4ab9d4a</t>
  </si>
  <si>
    <t>0759c200a1d9ec728ba380676bccb583</t>
  </si>
  <si>
    <t>ab2e481b1ef043b41c202628100f6b4b</t>
  </si>
  <si>
    <t>0b3e1c68302779e0c67d97c5b8ed17f7</t>
  </si>
  <si>
    <t>3c75574b6ba7015391e4755c6c03bd12</t>
  </si>
  <si>
    <t>733abca4b3372182a6c955ed064b0929</t>
  </si>
  <si>
    <t>Caete</t>
  </si>
  <si>
    <t>a8ad75728836e5b2103463b917d0e6f4</t>
  </si>
  <si>
    <t>aba560ab127e5b68433f34376747f9aa</t>
  </si>
  <si>
    <t>36c68e2e8ad21203f7f149a315550bb7</t>
  </si>
  <si>
    <t>7a2f802f8cd01aa62fb904b952932edf</t>
  </si>
  <si>
    <t>b3c763d35ce46cf0a205b217814323ee</t>
  </si>
  <si>
    <t>c89a29cbd8db5a3dc5750a3748985526</t>
  </si>
  <si>
    <t>Claudio</t>
  </si>
  <si>
    <t>fa3cc6b1b48c7b730f6c4c43e423c5aa</t>
  </si>
  <si>
    <t>Cajazeiras</t>
  </si>
  <si>
    <t>cc7bd0bcbb309edb2cd6fd9e87e70fcf</t>
  </si>
  <si>
    <t>Mateus Leme</t>
  </si>
  <si>
    <t>b653d11a2d36e5f0ef423e03e28e7682</t>
  </si>
  <si>
    <t>b43889e8181d41782f7b8489b1500fef</t>
  </si>
  <si>
    <t>d310b57747a742fc3a54a009114a77db</t>
  </si>
  <si>
    <t>1d5f437b878f76103ac129b13e81bbbb</t>
  </si>
  <si>
    <t>9b0608ab7dcbc73db0b62291f23c55bf</t>
  </si>
  <si>
    <t>f0dabde4fd77bc24990f7107e4c46474</t>
  </si>
  <si>
    <t>914a491b0919b0205dc6fe31c052ac49</t>
  </si>
  <si>
    <t>Palmeira Dos Indios</t>
  </si>
  <si>
    <t>145b75a554e404852b520d70c50c9f9c</t>
  </si>
  <si>
    <t>254496381e0184650717e8cf8e456d50</t>
  </si>
  <si>
    <t>73efca6402c1b6108195348448d76147</t>
  </si>
  <si>
    <t>b319c42146aa1548b1e415a91dd13789</t>
  </si>
  <si>
    <t>24b2d434709c901b14bca606ef51cecd</t>
  </si>
  <si>
    <t>ed525f27dd4e72335596c7964f887dc5</t>
  </si>
  <si>
    <t>c9359e6f27fbe7d1397c40031341540c</t>
  </si>
  <si>
    <t>Jaboticabal</t>
  </si>
  <si>
    <t>8101f323f454f972d5f4773094d2c5e4</t>
  </si>
  <si>
    <t>b9eaa4a76558ca828580d82dec38cca9</t>
  </si>
  <si>
    <t>861135e965db93780ab935ee79c6a68a</t>
  </si>
  <si>
    <t>ed4bfa707956ab491448f8f28a48f6c6</t>
  </si>
  <si>
    <t>bf17a7202282460d2e5bdb15bfc64373</t>
  </si>
  <si>
    <t>c161187ab4f2133d752f8a028b51f74e</t>
  </si>
  <si>
    <t>17be7ed9263bf0ea1f2e8ad91f699dac</t>
  </si>
  <si>
    <t>63b560062bb9ccde4a2b9e9d26b39486</t>
  </si>
  <si>
    <t>1778680c0dd08f2bcd27642d236a91f0</t>
  </si>
  <si>
    <t>Guzolandia</t>
  </si>
  <si>
    <t>968f909d3fba4660b8936a2d6041a917</t>
  </si>
  <si>
    <t>d65e0d373069ac61e2aa3f9212451d44</t>
  </si>
  <si>
    <t>d3b0d8353eadc4ba7ff0b60f87949a02</t>
  </si>
  <si>
    <t>d888f4591d9dd27281a58331a6a9db93</t>
  </si>
  <si>
    <t>Valparaiso De Goias</t>
  </si>
  <si>
    <t>c5a2f330a53172144cc43fba697c2e8f</t>
  </si>
  <si>
    <t>9d933ce196b732edb1fdfe89094d4ddd</t>
  </si>
  <si>
    <t>Goianira</t>
  </si>
  <si>
    <t>df0036e685fb491dbb08531f082ddbb6</t>
  </si>
  <si>
    <t>35133d30b32f389949394cf5ce8ab03e</t>
  </si>
  <si>
    <t>Itajobi</t>
  </si>
  <si>
    <t>f57b38cc7b69f8d5e9b3d61c9745fbf0</t>
  </si>
  <si>
    <t>a1304e530c9b94c0ad55e2229b689318</t>
  </si>
  <si>
    <t>7b4405df446ea40525ecd10212e28f2a</t>
  </si>
  <si>
    <t>2155f2ca8e14d8b4136fdc215fb53bb7</t>
  </si>
  <si>
    <t>9bcd315f2d8687500366d9b2fb0e8add</t>
  </si>
  <si>
    <t>c0cf146482b7d822885b26755491195b</t>
  </si>
  <si>
    <t>6d0940a8f5fba47562bb14cd97dfd6da</t>
  </si>
  <si>
    <t>2d89599c5c8a739bf6d061f82bd09032</t>
  </si>
  <si>
    <t>3aba44d8e554ab4bb8c09f6f78032ca8</t>
  </si>
  <si>
    <t>Farroupilha</t>
  </si>
  <si>
    <t>ec533ae9aa5bd7c370f7da7f9dbd6f64</t>
  </si>
  <si>
    <t>cfa5771f3bebddd9dac8172a9305b820</t>
  </si>
  <si>
    <t>361153d26935f66999c5164b09c19710</t>
  </si>
  <si>
    <t>6ea09ab8953f7fda1f69d387c9d252eb</t>
  </si>
  <si>
    <t>2ff04f721a0ccf086506b4ba443d924a</t>
  </si>
  <si>
    <t>1a785632cbf5301f146c5b3c67268911</t>
  </si>
  <si>
    <t>db29e664063fa3557cde395e02920f42</t>
  </si>
  <si>
    <t>3b0353c6b736cdf2d363f3ab39356b55</t>
  </si>
  <si>
    <t>569cb3533c4e55e00e6194974c746ec0</t>
  </si>
  <si>
    <t>4d14cee530bddf889464f788f5cde498</t>
  </si>
  <si>
    <t>6bdc8831f7f05d0765b0d07c612b731e</t>
  </si>
  <si>
    <t>da0b8ba8e2730558871c2f9eb672e787</t>
  </si>
  <si>
    <t>de2acf01121628d8ca0b8c36ef103bd5</t>
  </si>
  <si>
    <t>e1716f3b568b31f585d5c531d45612d7</t>
  </si>
  <si>
    <t>2ad2d3393253922f6f46941e23089bf0</t>
  </si>
  <si>
    <t>dcafc8a38571b2f390004e0d85867df8</t>
  </si>
  <si>
    <t>9c27c0e9a3ff1c62ceecc6b160ae7c63</t>
  </si>
  <si>
    <t>Sertao</t>
  </si>
  <si>
    <t>f4a2e4ba8b38d477a33e67c8a7840352</t>
  </si>
  <si>
    <t>3fd0d04de88c8b59a53bc56703895c20</t>
  </si>
  <si>
    <t>a498cd320a4937e66cb7b1013909a271</t>
  </si>
  <si>
    <t>109dfb5756c526e783783356f4384b4e</t>
  </si>
  <si>
    <t>495f50370bfcd6d6d0b950516842799e</t>
  </si>
  <si>
    <t>e0e56ee9a26b56fbc06c26bdfd061f2b</t>
  </si>
  <si>
    <t>Borrazopolis</t>
  </si>
  <si>
    <t>7312e901d22a5fa199104da9e0996c2d</t>
  </si>
  <si>
    <t>bc3053323265f6f77fe8744affba5e8e</t>
  </si>
  <si>
    <t>Catalao</t>
  </si>
  <si>
    <t>22ebcb475dab511f6c74d7118d1e5f3f</t>
  </si>
  <si>
    <t>a8e5aabb9432e7bedd2907661abb81d9</t>
  </si>
  <si>
    <t>ba2a82359a00bf0bd1f5ae32527a5a40</t>
  </si>
  <si>
    <t>7bfa5cf288b9dab1fe987fdde74c14fd</t>
  </si>
  <si>
    <t>8cf765eeef8f04ca929a1cf64ffa2584</t>
  </si>
  <si>
    <t>f15028028ff1a3ccfd539531e3321975</t>
  </si>
  <si>
    <t>476b812a7e4fc972646eb390517bddcb</t>
  </si>
  <si>
    <t>6d415687ad03111662fbfc54c811414e</t>
  </si>
  <si>
    <t>c14178abafd6865eecec624f9dcc8e4d</t>
  </si>
  <si>
    <t>96d89a80126756983acb2d1bfbd97117</t>
  </si>
  <si>
    <t>4f9a350ccfff326b528a0d7e24ca8743</t>
  </si>
  <si>
    <t>260e68b2fc1a2d642a00af60af19b0aa</t>
  </si>
  <si>
    <t>2d5acf84910c01604545f999c9188e5a</t>
  </si>
  <si>
    <t>Santa Monica</t>
  </si>
  <si>
    <t>48972775375677a6b44d8733e4f8c812</t>
  </si>
  <si>
    <t>bd158f500dead88056547802d8fba362</t>
  </si>
  <si>
    <t>bd0b62b8a0ca7bb988f6873cf9c4c4cf</t>
  </si>
  <si>
    <t>d37f6eeb2d27fc449e65051940060719</t>
  </si>
  <si>
    <t>ba7da6649755130f12897371beb31272</t>
  </si>
  <si>
    <t>ca186afb25218627f21f78bcb9a5ea08</t>
  </si>
  <si>
    <t>b10b1c5fd2464a235e121d6ff79280d1</t>
  </si>
  <si>
    <t>b9885c0bcf45df857434c48dccfcd3fc</t>
  </si>
  <si>
    <t>Alagoinhas</t>
  </si>
  <si>
    <t>bd5a4522a820fc4932b422d462bd8195</t>
  </si>
  <si>
    <t>1800047130a05e584deadf5893a3c74b</t>
  </si>
  <si>
    <t>b54d41998c16a54f3d93eda0940d1cb8</t>
  </si>
  <si>
    <t>724074e91e873f7bba4b3548c59e5f92</t>
  </si>
  <si>
    <t>7085a588f3bd2d50f30fa90ef4265f3c</t>
  </si>
  <si>
    <t>4d4ef6cd8147028ffd8c18dc0f6e3050</t>
  </si>
  <si>
    <t>Santa Rita Do Sapucai</t>
  </si>
  <si>
    <t>d02b32c3bcfb76481817b2222b990e84</t>
  </si>
  <si>
    <t>499a762fa72fde835e39b03db3b95cbf</t>
  </si>
  <si>
    <t>d2ce9688abb199cda1a106b293847827</t>
  </si>
  <si>
    <t>35a972d7f8436f405b56e36add1a7140</t>
  </si>
  <si>
    <t>Monthly Delivery Performance Analysis</t>
  </si>
  <si>
    <t>Analysis calculated from the full delivered-order dataset. Sparse launch months are flagged in Operational_Note.</t>
  </si>
  <si>
    <t>Delivered_Orders</t>
  </si>
  <si>
    <t>On_Time_Orders</t>
  </si>
  <si>
    <t>Delayed_Orders</t>
  </si>
  <si>
    <t>Delay_Rate</t>
  </si>
  <si>
    <t>Avg_Delivery_Days</t>
  </si>
  <si>
    <t>Avg_Delay_Days</t>
  </si>
  <si>
    <t>Avg_Review_Score</t>
  </si>
  <si>
    <t>Avg_Freight</t>
  </si>
  <si>
    <t>Avg_Items</t>
  </si>
  <si>
    <t>Operational_Note</t>
  </si>
  <si>
    <t>2016-09</t>
  </si>
  <si>
    <t>Low-volume launch month, interpret carefully</t>
  </si>
  <si>
    <t>Stable on-time performance</t>
  </si>
  <si>
    <t>2016-12</t>
  </si>
  <si>
    <t>Monitor trend</t>
  </si>
  <si>
    <t>Delay spike: investigate capacity/carrier issues</t>
  </si>
  <si>
    <t>State-Level Delay Hotspots</t>
  </si>
  <si>
    <t>Top 15 states ranked by delayed order count, with priority based on delay rate and volume.</t>
  </si>
  <si>
    <t>Priority</t>
  </si>
  <si>
    <t>Recommended_Action</t>
  </si>
  <si>
    <t>High</t>
  </si>
  <si>
    <t>Review carrier SLAs and escalation rules</t>
  </si>
  <si>
    <t>Medium</t>
  </si>
  <si>
    <t>Monitor weekly and check peak periods</t>
  </si>
  <si>
    <t>Low</t>
  </si>
  <si>
    <t>Maintain current process</t>
  </si>
  <si>
    <t>Product Category Delay Risk Analysis</t>
  </si>
  <si>
    <t>Top 15 product categories among categories with at least 200 delivered orders, ranked by delay rate.</t>
  </si>
  <si>
    <t>Audit category packaging, supplier readiness, and carrier handoff</t>
  </si>
  <si>
    <t>Monitor during high-volume weeks</t>
  </si>
  <si>
    <t>Data Source and Methodology</t>
  </si>
  <si>
    <t>Section</t>
  </si>
  <si>
    <t>Details</t>
  </si>
  <si>
    <t>Project objective</t>
  </si>
  <si>
    <t>Analyze operational delivery performance using public e-commerce data, identify delay patterns, and recommend practical process improvements.</t>
  </si>
  <si>
    <t>Primary public dataset</t>
  </si>
  <si>
    <t>Olist Brazilian E-Commerce Public Dataset by Olist. The dataset contains anonymized e-commerce orders from Brazil across orders, items, customers, products, reviews, payments, sellers, and geolocation tables.</t>
  </si>
  <si>
    <t>Source URL</t>
  </si>
  <si>
    <t>GitHub mirror used for CSV access</t>
  </si>
  <si>
    <t>https://github.com/Ganesh7699/Brazilian-E-Commerce-OList</t>
  </si>
  <si>
    <t>Tables used</t>
  </si>
  <si>
    <t>olist_orders_dataset.csv, olist_customers_dataset.csv, olist_order_items_dataset.csv, olist_order_reviews_dataset.csv, olist_products_dataset.csv, product_category_name_translation.csv</t>
  </si>
  <si>
    <t>Data cleaning steps</t>
  </si>
  <si>
    <t>Filtered delivered orders with valid purchase, estimated delivery, and actual delivery dates; joined customers for location; joined order items for product value, freight, item count, and category; joined reviews for review score; translated product categories into English.</t>
  </si>
  <si>
    <t>KPI definitions</t>
  </si>
  <si>
    <t>Delay Days = max(0, Delivered Date - Estimated Date). Delay Rate = Delayed Orders / Delivered Orders. Delivery Days = Delivered Date - Purchase Date. On-Time Orders = delivered on or before estimated date.</t>
  </si>
  <si>
    <t>Analysis methods</t>
  </si>
  <si>
    <t>Monthly trend analysis, state-level delay hotspot analysis, category risk analysis, delivery duration calculations, SLA bucket classification, review-score comparison, and chart-based dashboarding.</t>
  </si>
  <si>
    <t>Interpretation note</t>
  </si>
  <si>
    <t>Raw_Data_Sample contains a representative sample of 2,000 joined delivered orders for transparency and editable formulas. The summary analysis tables were calculated from the full delivered-order dataset.</t>
  </si>
  <si>
    <t>Recommended tools</t>
  </si>
  <si>
    <t>Excel or Google Sheets for filtering, formulas, charts, and dashboard review. Power BI can also be used if a more interactive version is needed.</t>
  </si>
  <si>
    <t>Operational Recommendations and Action Plan</t>
  </si>
  <si>
    <t>Recommendation</t>
  </si>
  <si>
    <t>Evidence</t>
  </si>
  <si>
    <t>Expected Operational Benefit</t>
  </si>
  <si>
    <t>Owner</t>
  </si>
  <si>
    <t>Suggested KPI</t>
  </si>
  <si>
    <t>Timeframe</t>
  </si>
  <si>
    <t>Create a weekly delivery delay dashboard by state.</t>
  </si>
  <si>
    <t>RJ and BA show higher delay rates than the overall average.</t>
  </si>
  <si>
    <t>Faster visibility of late delivery risk and better escalation before customer complaints.</t>
  </si>
  <si>
    <t>Operations Analyst / Logistics Lead</t>
  </si>
  <si>
    <t>Delay Rate by State</t>
  </si>
  <si>
    <t>2 weeks</t>
  </si>
  <si>
    <t>Ready</t>
  </si>
  <si>
    <t>Introduce exception alerts for orders at risk of missing estimated delivery dates.</t>
  </si>
  <si>
    <t>Delayed orders are concentrated in specific periods and regions.</t>
  </si>
  <si>
    <t>Reduces reactive follow-up and improves customer communication.</t>
  </si>
  <si>
    <t>Operations Specialist</t>
  </si>
  <si>
    <t>Orders At Risk</t>
  </si>
  <si>
    <t>2-4 weeks</t>
  </si>
  <si>
    <t>Review carrier SLA performance in high-delay states.</t>
  </si>
  <si>
    <t>States with higher average delivery days also show higher delay rates.</t>
  </si>
  <si>
    <t>Better route planning, carrier accountability, and escalation.</t>
  </si>
  <si>
    <t>Logistics Coordinator</t>
  </si>
  <si>
    <t>Carrier On-Time Rate</t>
  </si>
  <si>
    <t>1 month</t>
  </si>
  <si>
    <t>Audit categories with high delay rates for packaging and handling complexity.</t>
  </si>
  <si>
    <t>Audio, Home Comfort, Food, and Electronics have elevated delay rates in this analysis.</t>
  </si>
  <si>
    <t>Reduces category-specific bottlenecks and improves fulfillment consistency.</t>
  </si>
  <si>
    <t>Warehouse / Fulfillment Team</t>
  </si>
  <si>
    <t>Category Delay Rate</t>
  </si>
  <si>
    <t>Track customer review score beside delivery KPIs.</t>
  </si>
  <si>
    <t>Review scores are a useful customer experience signal after delivery.</t>
  </si>
  <si>
    <t>Connects operational performance with customer satisfaction outcomes.</t>
  </si>
  <si>
    <t>Customer Success + Operations</t>
  </si>
  <si>
    <t>Review Score by Delay Status</t>
  </si>
  <si>
    <t>Standardize a monthly operations report template.</t>
  </si>
  <si>
    <t>Monthly delay rates show useful trends for decision-making.</t>
  </si>
  <si>
    <t>Creates repeatable reporting and supports better management communication.</t>
  </si>
  <si>
    <t>Operations Assistant</t>
  </si>
  <si>
    <t>Monthly KPI Completion</t>
  </si>
  <si>
    <t>Ongoing</t>
  </si>
  <si>
    <t>Operational Data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</si>
</sst>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\$0.00"/>
    <numFmt numFmtId="167" formatCode="yyyy\-mm\-dd\ hh:mm"/>
  </numFmts>
  <fonts count="8">
    <font>
      <sz val="11"/>
      <name val="Carlito"/>
    </font>
    <font>
      <b/>
      <sz val="16"/>
      <color rgb="FFFFFFFF"/>
      <name val="Carlito"/>
    </font>
    <font>
      <i/>
      <sz val="10"/>
      <color rgb="FF666666"/>
      <name val="Carlito"/>
    </font>
    <font>
      <b/>
      <sz val="11"/>
      <color rgb="FF1F4E78"/>
      <name val="Carlito"/>
    </font>
    <font>
      <b/>
      <sz val="13"/>
      <name val="Carlito"/>
    </font>
    <font>
      <i/>
      <sz val="11"/>
      <color rgb="FF666666"/>
      <name val="Carlito"/>
    </font>
    <font>
      <b/>
      <sz val="11"/>
      <color rgb="FF000000"/>
      <name val="Carlito"/>
    </font>
    <font>
      <sz val="11"/>
      <color rgb="FF00000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F8FBFD"/>
      </patternFill>
    </fill>
    <fill>
      <patternFill patternType="solid">
        <fgColor rgb="FFD9EAF7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3" borderId="0" xfId="0" applyFont="1" applyFill="1" applyAlignment="1">
      <alignment wrapText="1"/>
    </xf>
    <xf numFmtId="3" fontId="4" fillId="4" borderId="0" xfId="0" applyNumberFormat="1" applyFont="1" applyFill="1" applyAlignment="1">
      <alignment horizontal="center"/>
    </xf>
    <xf numFmtId="164" fontId="4" fillId="4" borderId="0" xfId="0" applyNumberFormat="1" applyFont="1" applyFill="1" applyAlignment="1">
      <alignment horizontal="center"/>
    </xf>
    <xf numFmtId="165" fontId="4" fillId="4" borderId="0" xfId="0" applyNumberFormat="1" applyFont="1" applyFill="1" applyAlignment="1">
      <alignment horizontal="center"/>
    </xf>
    <xf numFmtId="2" fontId="4" fillId="4" borderId="0" xfId="0" applyNumberFormat="1" applyFont="1" applyFill="1" applyAlignment="1">
      <alignment horizontal="center"/>
    </xf>
    <xf numFmtId="166" fontId="4" fillId="4" borderId="0" xfId="0" applyNumberFormat="1" applyFont="1" applyFill="1" applyAlignment="1">
      <alignment horizontal="center"/>
    </xf>
    <xf numFmtId="0" fontId="3" fillId="5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167" fontId="0" fillId="0" borderId="0" xfId="0" applyNumberFormat="1"/>
    <xf numFmtId="1" fontId="0" fillId="0" borderId="0" xfId="0" applyNumberFormat="1"/>
    <xf numFmtId="166" fontId="0" fillId="0" borderId="0" xfId="0" applyNumberFormat="1"/>
    <xf numFmtId="2" fontId="0" fillId="0" borderId="0" xfId="0" applyNumberFormat="1"/>
    <xf numFmtId="0" fontId="3" fillId="5" borderId="0" xfId="0" applyFont="1" applyFill="1" applyAlignment="1">
      <alignment horizontal="center" vertical="center"/>
    </xf>
    <xf numFmtId="0" fontId="5" fillId="0" borderId="0" xfId="0" applyFont="1" applyAlignment="1">
      <alignment wrapText="1"/>
    </xf>
    <xf numFmtId="164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0" fontId="6" fillId="6" borderId="0" xfId="0" applyFont="1" applyFill="1"/>
    <xf numFmtId="0" fontId="7" fillId="6" borderId="0" xfId="0" applyFont="1" applyFill="1"/>
    <xf numFmtId="0" fontId="6" fillId="6" borderId="0" xfId="0" applyFont="1" applyFill="1" applyAlignment="1">
      <alignment horizontal="center" vertical="center" wrapText="1"/>
    </xf>
    <xf numFmtId="164" fontId="7" fillId="6" borderId="0" xfId="0" applyNumberFormat="1" applyFont="1" applyFill="1"/>
    <xf numFmtId="164" fontId="6" fillId="6" borderId="0" xfId="0" applyNumberFormat="1" applyFont="1" applyFill="1" applyAlignment="1">
      <alignment horizontal="center" vertical="center" wrapText="1"/>
    </xf>
    <xf numFmtId="165" fontId="0" fillId="0" borderId="0" xfId="0" applyNumberFormat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Monthly Delivery Delay Rate (%)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Delay Rate (%)</c:v>
          </c:tx>
          <c:cat>
            <c:strRef>
              <c:f>Dashboard!$R$3:$R$23</c:f>
              <c:strCache>
                <c:ptCount val="21"/>
                <c:pt idx="0">
                  <c:v>2016-10</c:v>
                </c:pt>
                <c:pt idx="1">
                  <c:v>2017-01</c:v>
                </c:pt>
                <c:pt idx="2">
                  <c:v>2017-02</c:v>
                </c:pt>
                <c:pt idx="3">
                  <c:v>2017-03</c:v>
                </c:pt>
                <c:pt idx="4">
                  <c:v>2017-04</c:v>
                </c:pt>
                <c:pt idx="5">
                  <c:v>2017-05</c:v>
                </c:pt>
                <c:pt idx="6">
                  <c:v>2017-06</c:v>
                </c:pt>
                <c:pt idx="7">
                  <c:v>2017-07</c:v>
                </c:pt>
                <c:pt idx="8">
                  <c:v>2017-08</c:v>
                </c:pt>
                <c:pt idx="9">
                  <c:v>2017-09</c:v>
                </c:pt>
                <c:pt idx="10">
                  <c:v>2017-10</c:v>
                </c:pt>
                <c:pt idx="11">
                  <c:v>2017-11</c:v>
                </c:pt>
                <c:pt idx="12">
                  <c:v>2017-12</c:v>
                </c:pt>
                <c:pt idx="13">
                  <c:v>2018-01</c:v>
                </c:pt>
                <c:pt idx="14">
                  <c:v>2018-02</c:v>
                </c:pt>
                <c:pt idx="15">
                  <c:v>2018-03</c:v>
                </c:pt>
                <c:pt idx="16">
                  <c:v>2018-04</c:v>
                </c:pt>
                <c:pt idx="17">
                  <c:v>2018-05</c:v>
                </c:pt>
                <c:pt idx="18">
                  <c:v>2018-06</c:v>
                </c:pt>
                <c:pt idx="19">
                  <c:v>2018-07</c:v>
                </c:pt>
                <c:pt idx="20">
                  <c:v>2018-08</c:v>
                </c:pt>
              </c:strCache>
            </c:strRef>
          </c:cat>
          <c:val>
            <c:numRef>
              <c:f>Dashboard!$S$3:$S$23</c:f>
              <c:numCache>
                <c:formatCode>0.0</c:formatCode>
                <c:ptCount val="21"/>
                <c:pt idx="0">
                  <c:v>1.1320754716981132</c:v>
                </c:pt>
                <c:pt idx="1">
                  <c:v>3.0666666666666664</c:v>
                </c:pt>
                <c:pt idx="2">
                  <c:v>3.2062915910465817</c:v>
                </c:pt>
                <c:pt idx="3">
                  <c:v>5.5773762765121759</c:v>
                </c:pt>
                <c:pt idx="4">
                  <c:v>7.8593139383412929</c:v>
                </c:pt>
                <c:pt idx="5">
                  <c:v>3.6107193229901267</c:v>
                </c:pt>
                <c:pt idx="6">
                  <c:v>3.8596491228070176</c:v>
                </c:pt>
                <c:pt idx="7">
                  <c:v>3.4349173553719003</c:v>
                </c:pt>
                <c:pt idx="8">
                  <c:v>3.3150488910088241</c:v>
                </c:pt>
                <c:pt idx="9">
                  <c:v>5.2048192771084336</c:v>
                </c:pt>
                <c:pt idx="10">
                  <c:v>5.2925413130861996</c:v>
                </c:pt>
                <c:pt idx="11">
                  <c:v>14.31119648737651</c:v>
                </c:pt>
                <c:pt idx="12">
                  <c:v>8.3801922728097225</c:v>
                </c:pt>
                <c:pt idx="13">
                  <c:v>6.5638704201442923</c:v>
                </c:pt>
                <c:pt idx="14">
                  <c:v>15.987795575896262</c:v>
                </c:pt>
                <c:pt idx="15">
                  <c:v>21.362273311437953</c:v>
                </c:pt>
                <c:pt idx="16">
                  <c:v>5.3103854074727863</c:v>
                </c:pt>
                <c:pt idx="17">
                  <c:v>8.2382575196325387</c:v>
                </c:pt>
                <c:pt idx="18">
                  <c:v>1.3615485564304464</c:v>
                </c:pt>
                <c:pt idx="19">
                  <c:v>4.4834307992202724</c:v>
                </c:pt>
                <c:pt idx="20">
                  <c:v>10.392064241851678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80-44BC-8232-5D7DE9DC6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Top States by Delay Rate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Delay Rate (%)</c:v>
          </c:tx>
          <c:invertIfNegative val="1"/>
          <c:cat>
            <c:strRef>
              <c:f>Dashboard!$T$3:$T$12</c:f>
              <c:strCache>
                <c:ptCount val="10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BA</c:v>
                </c:pt>
                <c:pt idx="4">
                  <c:v>RS</c:v>
                </c:pt>
                <c:pt idx="5">
                  <c:v>SC</c:v>
                </c:pt>
                <c:pt idx="6">
                  <c:v>PR</c:v>
                </c:pt>
                <c:pt idx="7">
                  <c:v>ES</c:v>
                </c:pt>
                <c:pt idx="8">
                  <c:v>CE</c:v>
                </c:pt>
                <c:pt idx="9">
                  <c:v>PE</c:v>
                </c:pt>
              </c:strCache>
            </c:strRef>
          </c:cat>
          <c:val>
            <c:numRef>
              <c:f>Dashboard!$U$3:$U$12</c:f>
              <c:numCache>
                <c:formatCode>0.0</c:formatCode>
                <c:ptCount val="10"/>
                <c:pt idx="0">
                  <c:v>5.8947004494493012</c:v>
                </c:pt>
                <c:pt idx="1">
                  <c:v>13.473684210526315</c:v>
                </c:pt>
                <c:pt idx="2">
                  <c:v>5.6103575832305799</c:v>
                </c:pt>
                <c:pt idx="3">
                  <c:v>14.035626535626536</c:v>
                </c:pt>
                <c:pt idx="4">
                  <c:v>7.1482035928143715</c:v>
                </c:pt>
                <c:pt idx="5">
                  <c:v>9.7574732092498593</c:v>
                </c:pt>
                <c:pt idx="6">
                  <c:v>4.9969530773918347</c:v>
                </c:pt>
                <c:pt idx="7">
                  <c:v>12.230576441102757</c:v>
                </c:pt>
                <c:pt idx="8">
                  <c:v>15.32447224394058</c:v>
                </c:pt>
                <c:pt idx="9">
                  <c:v>10.797237915881984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DA-49A2-98F8-216FA4C86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Highest-Risk Product Categories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Delay Rate (%)</c:v>
          </c:tx>
          <c:invertIfNegative val="1"/>
          <c:cat>
            <c:strRef>
              <c:f>Dashboard!$V$3:$V$12</c:f>
              <c:strCache>
                <c:ptCount val="10"/>
                <c:pt idx="0">
                  <c:v>Audio</c:v>
                </c:pt>
                <c:pt idx="1">
                  <c:v>Books Technical</c:v>
                </c:pt>
                <c:pt idx="2">
                  <c:v>Home Confort</c:v>
                </c:pt>
                <c:pt idx="3">
                  <c:v>Food</c:v>
                </c:pt>
                <c:pt idx="4">
                  <c:v>Electronics</c:v>
                </c:pt>
                <c:pt idx="5">
                  <c:v>Baby</c:v>
                </c:pt>
                <c:pt idx="6">
                  <c:v>Office Furniture</c:v>
                </c:pt>
                <c:pt idx="7">
                  <c:v>Construction Tools Construction</c:v>
                </c:pt>
                <c:pt idx="8">
                  <c:v>Construction Tools Lights</c:v>
                </c:pt>
                <c:pt idx="9">
                  <c:v>Health Beauty</c:v>
                </c:pt>
              </c:strCache>
            </c:strRef>
          </c:cat>
          <c:val>
            <c:numRef>
              <c:f>Dashboard!$W$3:$W$12</c:f>
              <c:numCache>
                <c:formatCode>0.0</c:formatCode>
                <c:ptCount val="10"/>
                <c:pt idx="0">
                  <c:v>13.08139534883721</c:v>
                </c:pt>
                <c:pt idx="1">
                  <c:v>10.980392156862745</c:v>
                </c:pt>
                <c:pt idx="2">
                  <c:v>10.354223433242508</c:v>
                </c:pt>
                <c:pt idx="3">
                  <c:v>10.091743119266056</c:v>
                </c:pt>
                <c:pt idx="4">
                  <c:v>9.852413242919825</c:v>
                </c:pt>
                <c:pt idx="5">
                  <c:v>9.3342981186685972</c:v>
                </c:pt>
                <c:pt idx="6">
                  <c:v>9.2295345104333855</c:v>
                </c:pt>
                <c:pt idx="7">
                  <c:v>9.2159559834938101</c:v>
                </c:pt>
                <c:pt idx="8">
                  <c:v>9.0517241379310338</c:v>
                </c:pt>
                <c:pt idx="9">
                  <c:v>8.989547038327526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EF-4A57-B6B2-283F04FD2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On-Time vs Delayed Orders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Orders</c:v>
          </c:tx>
          <c:invertIfNegative val="1"/>
          <c:cat>
            <c:strRef>
              <c:f>Dashboard!$X$3:$X$4</c:f>
              <c:strCache>
                <c:ptCount val="2"/>
                <c:pt idx="0">
                  <c:v>On Time</c:v>
                </c:pt>
                <c:pt idx="1">
                  <c:v>Delayed</c:v>
                </c:pt>
              </c:strCache>
            </c:strRef>
          </c:cat>
          <c:val>
            <c:numRef>
              <c:f>Dashboard!$Y$3:$Y$4</c:f>
              <c:numCache>
                <c:formatCode>General</c:formatCode>
                <c:ptCount val="2"/>
                <c:pt idx="0">
                  <c:v>88644</c:v>
                </c:pt>
                <c:pt idx="1">
                  <c:v>7826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2E-47EB-838F-59D63D578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0</xdr:rowOff>
    </xdr:from>
    <xdr:to>
      <xdr:col>8</xdr:col>
      <xdr:colOff>0</xdr:colOff>
      <xdr:row>32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16</xdr:col>
      <xdr:colOff>0</xdr:colOff>
      <xdr:row>32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8</xdr:col>
      <xdr:colOff>0</xdr:colOff>
      <xdr:row>49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33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SampleTable" displayName="RawSampleTable" ref="A1:V2001">
  <tableColumns count="22">
    <tableColumn id="1" xr3:uid="{00000000-0010-0000-0000-000001000000}" name="Order_ID"/>
    <tableColumn id="2" xr3:uid="{00000000-0010-0000-0000-000002000000}" name="Purchase_Date"/>
    <tableColumn id="3" xr3:uid="{00000000-0010-0000-0000-000003000000}" name="Approved_Date"/>
    <tableColumn id="4" xr3:uid="{00000000-0010-0000-0000-000004000000}" name="Carrier_Date"/>
    <tableColumn id="5" xr3:uid="{00000000-0010-0000-0000-000005000000}" name="Delivered_Date"/>
    <tableColumn id="6" xr3:uid="{00000000-0010-0000-0000-000006000000}" name="Estimated_Date"/>
    <tableColumn id="7" xr3:uid="{00000000-0010-0000-0000-000007000000}" name="State"/>
    <tableColumn id="8" xr3:uid="{00000000-0010-0000-0000-000008000000}" name="City"/>
    <tableColumn id="9" xr3:uid="{00000000-0010-0000-0000-000009000000}" name="Product_Category"/>
    <tableColumn id="10" xr3:uid="{00000000-0010-0000-0000-00000A000000}" name="Items"/>
    <tableColumn id="11" xr3:uid="{00000000-0010-0000-0000-00000B000000}" name="Product_Value"/>
    <tableColumn id="12" xr3:uid="{00000000-0010-0000-0000-00000C000000}" name="Freight_Value"/>
    <tableColumn id="13" xr3:uid="{00000000-0010-0000-0000-00000D000000}" name="Review_Score"/>
    <tableColumn id="14" xr3:uid="{00000000-0010-0000-0000-00000E000000}" name="Delivery_Days"/>
    <tableColumn id="15" xr3:uid="{00000000-0010-0000-0000-00000F000000}" name="Delay_Days"/>
    <tableColumn id="16" xr3:uid="{00000000-0010-0000-0000-000010000000}" name="Delay_Status"/>
    <tableColumn id="17" xr3:uid="{00000000-0010-0000-0000-000011000000}" name="Approval_Hours"/>
    <tableColumn id="18" xr3:uid="{00000000-0010-0000-0000-000012000000}" name="Warehouse_Handling_Days"/>
    <tableColumn id="19" xr3:uid="{00000000-0010-0000-0000-000013000000}" name="Last_Mile_Days"/>
    <tableColumn id="20" xr3:uid="{00000000-0010-0000-0000-000014000000}" name="SLA_Bucket"/>
    <tableColumn id="21" xr3:uid="{00000000-0010-0000-0000-000015000000}" name="Exception_Flag"/>
    <tableColumn id="22" xr3:uid="{00000000-0010-0000-0000-000016000000}" name="Source_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onthlyTable" displayName="MonthlyTable" ref="A3:K26">
  <tableColumns count="11">
    <tableColumn id="1" xr3:uid="{00000000-0010-0000-0100-000001000000}" name="Month"/>
    <tableColumn id="2" xr3:uid="{00000000-0010-0000-0100-000002000000}" name="Delivered_Orders"/>
    <tableColumn id="3" xr3:uid="{00000000-0010-0000-0100-000003000000}" name="On_Time_Orders"/>
    <tableColumn id="4" xr3:uid="{00000000-0010-0000-0100-000004000000}" name="Delayed_Orders"/>
    <tableColumn id="5" xr3:uid="{00000000-0010-0000-0100-000005000000}" name="Delay_Rate"/>
    <tableColumn id="6" xr3:uid="{00000000-0010-0000-0100-000006000000}" name="Avg_Delivery_Days"/>
    <tableColumn id="7" xr3:uid="{00000000-0010-0000-0100-000007000000}" name="Avg_Delay_Days"/>
    <tableColumn id="8" xr3:uid="{00000000-0010-0000-0100-000008000000}" name="Avg_Review_Score"/>
    <tableColumn id="9" xr3:uid="{00000000-0010-0000-0100-000009000000}" name="Avg_Freight"/>
    <tableColumn id="10" xr3:uid="{00000000-0010-0000-0100-00000A000000}" name="Avg_Items"/>
    <tableColumn id="11" xr3:uid="{00000000-0010-0000-0100-00000B000000}" name="Operational_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tateTable" displayName="StateTable" ref="A3:K18">
  <tableColumns count="11">
    <tableColumn id="1" xr3:uid="{00000000-0010-0000-0200-000001000000}" name="State"/>
    <tableColumn id="2" xr3:uid="{00000000-0010-0000-0200-000002000000}" name="Delivered_Orders"/>
    <tableColumn id="3" xr3:uid="{00000000-0010-0000-0200-000003000000}" name="On_Time_Orders"/>
    <tableColumn id="4" xr3:uid="{00000000-0010-0000-0200-000004000000}" name="Delayed_Orders"/>
    <tableColumn id="5" xr3:uid="{00000000-0010-0000-0200-000005000000}" name="Delay_Rate"/>
    <tableColumn id="6" xr3:uid="{00000000-0010-0000-0200-000006000000}" name="Avg_Delivery_Days"/>
    <tableColumn id="7" xr3:uid="{00000000-0010-0000-0200-000007000000}" name="Avg_Delay_Days"/>
    <tableColumn id="8" xr3:uid="{00000000-0010-0000-0200-000008000000}" name="Avg_Review_Score"/>
    <tableColumn id="9" xr3:uid="{00000000-0010-0000-0200-000009000000}" name="Avg_Freight"/>
    <tableColumn id="10" xr3:uid="{00000000-0010-0000-0200-00000A000000}" name="Priority"/>
    <tableColumn id="11" xr3:uid="{00000000-0010-0000-0200-00000B000000}" name="Recommended_Ac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tegoryTable" displayName="CategoryTable" ref="A3:K18">
  <tableColumns count="11">
    <tableColumn id="1" xr3:uid="{00000000-0010-0000-0300-000001000000}" name="Category"/>
    <tableColumn id="2" xr3:uid="{00000000-0010-0000-0300-000002000000}" name="Delivered_Orders"/>
    <tableColumn id="3" xr3:uid="{00000000-0010-0000-0300-000003000000}" name="On_Time_Orders"/>
    <tableColumn id="4" xr3:uid="{00000000-0010-0000-0300-000004000000}" name="Delayed_Orders"/>
    <tableColumn id="5" xr3:uid="{00000000-0010-0000-0300-000005000000}" name="Delay_Rate"/>
    <tableColumn id="6" xr3:uid="{00000000-0010-0000-0300-000006000000}" name="Avg_Delivery_Days"/>
    <tableColumn id="7" xr3:uid="{00000000-0010-0000-0300-000007000000}" name="Avg_Delay_Days"/>
    <tableColumn id="8" xr3:uid="{00000000-0010-0000-0300-000008000000}" name="Avg_Review_Score"/>
    <tableColumn id="9" xr3:uid="{00000000-0010-0000-0300-000009000000}" name="Avg_Freight"/>
    <tableColumn id="10" xr3:uid="{00000000-0010-0000-0300-00000A000000}" name="Priority"/>
    <tableColumn id="11" xr3:uid="{00000000-0010-0000-0300-00000B000000}" name="Recommended_Ac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commendationsTable" displayName="RecommendationsTable" ref="A3:H10">
  <tableColumns count="8">
    <tableColumn id="1" xr3:uid="{00000000-0010-0000-0400-000001000000}" name="Priority"/>
    <tableColumn id="2" xr3:uid="{00000000-0010-0000-0400-000002000000}" name="Recommendation"/>
    <tableColumn id="3" xr3:uid="{00000000-0010-0000-0400-000003000000}" name="Evidence"/>
    <tableColumn id="4" xr3:uid="{00000000-0010-0000-0400-000004000000}" name="Expected Operational Benefit"/>
    <tableColumn id="5" xr3:uid="{00000000-0010-0000-0400-000005000000}" name="Owner"/>
    <tableColumn id="6" xr3:uid="{00000000-0010-0000-0400-000006000000}" name="Suggested KPI"/>
    <tableColumn id="7" xr3:uid="{00000000-0010-0000-0400-000007000000}" name="Timeframe"/>
    <tableColumn id="8" xr3:uid="{00000000-0010-0000-0400-000008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"/>
  <sheetViews>
    <sheetView tabSelected="1" workbookViewId="0">
      <selection activeCell="S13" sqref="S13"/>
    </sheetView>
  </sheetViews>
  <sheetFormatPr defaultRowHeight="13.8"/>
  <cols>
    <col min="1" max="1" width="28" customWidth="1"/>
    <col min="2" max="2" width="34" customWidth="1"/>
    <col min="3" max="3" width="30" customWidth="1"/>
    <col min="4" max="4" width="34" customWidth="1"/>
    <col min="5" max="5" width="18" customWidth="1"/>
    <col min="6" max="6" width="15" customWidth="1"/>
    <col min="7" max="7" width="18" customWidth="1"/>
    <col min="8" max="8" width="15" customWidth="1"/>
    <col min="10" max="10" width="14" customWidth="1"/>
    <col min="11" max="11" width="12" customWidth="1"/>
    <col min="13" max="14" width="12" customWidth="1"/>
    <col min="16" max="16" width="22" customWidth="1"/>
    <col min="17" max="17" width="12" customWidth="1"/>
    <col min="18" max="18" width="7.5" bestFit="1" customWidth="1"/>
    <col min="19" max="19" width="13.8984375" bestFit="1" customWidth="1"/>
    <col min="20" max="20" width="5.3984375" bestFit="1" customWidth="1"/>
    <col min="21" max="21" width="13.8984375" bestFit="1" customWidth="1"/>
    <col min="22" max="22" width="27" bestFit="1" customWidth="1"/>
    <col min="23" max="23" width="13.8984375" bestFit="1" customWidth="1"/>
    <col min="24" max="24" width="7.796875" bestFit="1" customWidth="1"/>
    <col min="25" max="25" width="6.8984375" bestFit="1" customWidth="1"/>
  </cols>
  <sheetData>
    <row r="1" spans="1:25" ht="24" customHeight="1">
      <c r="A1" s="25" t="s">
        <v>2880</v>
      </c>
      <c r="B1" s="26"/>
      <c r="C1" s="26"/>
      <c r="D1" s="26"/>
      <c r="E1" s="26"/>
      <c r="F1" s="26"/>
      <c r="G1" s="26"/>
      <c r="H1" s="26"/>
      <c r="J1" s="19"/>
      <c r="K1" s="20"/>
      <c r="L1" s="20"/>
      <c r="M1" s="20"/>
      <c r="N1" s="20"/>
      <c r="O1" s="20"/>
      <c r="P1" s="20"/>
      <c r="Q1" s="20"/>
    </row>
    <row r="2" spans="1:25" ht="25.65" customHeight="1">
      <c r="A2" s="27" t="s">
        <v>0</v>
      </c>
      <c r="B2" s="27"/>
      <c r="C2" s="27"/>
      <c r="D2" s="27"/>
      <c r="E2" s="27"/>
      <c r="F2" s="27"/>
      <c r="G2" s="27"/>
      <c r="H2" s="27"/>
      <c r="J2" s="21"/>
      <c r="K2" s="21"/>
      <c r="L2" s="20"/>
      <c r="M2" s="21"/>
      <c r="N2" s="21"/>
      <c r="O2" s="20"/>
      <c r="P2" s="21"/>
      <c r="Q2" s="21"/>
      <c r="R2" s="7" t="s">
        <v>1</v>
      </c>
      <c r="S2" s="7" t="s">
        <v>2</v>
      </c>
      <c r="T2" s="7" t="s">
        <v>3</v>
      </c>
      <c r="U2" s="7" t="s">
        <v>2</v>
      </c>
      <c r="V2" s="7" t="s">
        <v>4</v>
      </c>
      <c r="W2" s="7" t="s">
        <v>2</v>
      </c>
      <c r="X2" s="7" t="s">
        <v>5</v>
      </c>
      <c r="Y2" s="7" t="s">
        <v>6</v>
      </c>
    </row>
    <row r="3" spans="1:25">
      <c r="J3" s="20"/>
      <c r="K3" s="22"/>
      <c r="L3" s="20"/>
      <c r="M3" s="20"/>
      <c r="N3" s="22"/>
      <c r="O3" s="20"/>
      <c r="P3" s="20"/>
      <c r="Q3" s="22"/>
      <c r="R3" t="s">
        <v>7</v>
      </c>
      <c r="S3" s="24">
        <v>1.1320754716981132</v>
      </c>
      <c r="T3" t="s">
        <v>8</v>
      </c>
      <c r="U3" s="24">
        <v>5.8947004494493012</v>
      </c>
      <c r="V3" t="s">
        <v>9</v>
      </c>
      <c r="W3" s="24">
        <v>13.08139534883721</v>
      </c>
      <c r="X3" t="s">
        <v>10</v>
      </c>
      <c r="Y3">
        <v>88644</v>
      </c>
    </row>
    <row r="4" spans="1:25" ht="16.8">
      <c r="A4" s="1" t="s">
        <v>11</v>
      </c>
      <c r="B4" s="2">
        <f>SUM(Monthly_Analysis!B4:B26)</f>
        <v>96470</v>
      </c>
      <c r="C4" s="1" t="s">
        <v>12</v>
      </c>
      <c r="D4" s="3">
        <f>SUM(Monthly_Analysis!D4:D26)/SUM(Monthly_Analysis!B4:B26)</f>
        <v>8.1123665388203592E-2</v>
      </c>
      <c r="E4" s="1" t="s">
        <v>13</v>
      </c>
      <c r="F4" s="4">
        <f>SUMPRODUCT(Monthly_Analysis!B4:B26,Monthly_Analysis!F4:F26)/SUM(Monthly_Analysis!B4:B26)</f>
        <v>12.558217098051982</v>
      </c>
      <c r="G4" s="1" t="s">
        <v>14</v>
      </c>
      <c r="H4" s="5">
        <f>AVERAGE(Monthly_Analysis!H4:H26)</f>
        <v>4.0652972522084152</v>
      </c>
      <c r="J4" s="20"/>
      <c r="K4" s="22"/>
      <c r="L4" s="20"/>
      <c r="M4" s="20"/>
      <c r="N4" s="22"/>
      <c r="O4" s="20"/>
      <c r="P4" s="20"/>
      <c r="Q4" s="22"/>
      <c r="R4" t="s">
        <v>15</v>
      </c>
      <c r="S4" s="24">
        <v>3.0666666666666664</v>
      </c>
      <c r="T4" t="s">
        <v>16</v>
      </c>
      <c r="U4" s="24">
        <v>13.473684210526315</v>
      </c>
      <c r="V4" t="s">
        <v>17</v>
      </c>
      <c r="W4" s="24">
        <v>10.980392156862745</v>
      </c>
      <c r="X4" t="s">
        <v>18</v>
      </c>
      <c r="Y4">
        <v>7826</v>
      </c>
    </row>
    <row r="5" spans="1:25">
      <c r="J5" s="20"/>
      <c r="K5" s="22"/>
      <c r="L5" s="20"/>
      <c r="M5" s="20"/>
      <c r="N5" s="22"/>
      <c r="O5" s="20"/>
      <c r="P5" s="20"/>
      <c r="Q5" s="22"/>
      <c r="R5" t="s">
        <v>19</v>
      </c>
      <c r="S5" s="24">
        <v>3.2062915910465817</v>
      </c>
      <c r="T5" t="s">
        <v>20</v>
      </c>
      <c r="U5" s="24">
        <v>5.6103575832305799</v>
      </c>
      <c r="V5" t="s">
        <v>21</v>
      </c>
      <c r="W5" s="24">
        <v>10.354223433242508</v>
      </c>
    </row>
    <row r="6" spans="1:25">
      <c r="J6" s="20"/>
      <c r="K6" s="22"/>
      <c r="L6" s="20"/>
      <c r="M6" s="20"/>
      <c r="N6" s="22"/>
      <c r="O6" s="20"/>
      <c r="P6" s="20"/>
      <c r="Q6" s="22"/>
      <c r="R6" t="s">
        <v>22</v>
      </c>
      <c r="S6" s="24">
        <v>5.5773762765121759</v>
      </c>
      <c r="T6" t="s">
        <v>23</v>
      </c>
      <c r="U6" s="24">
        <v>14.035626535626536</v>
      </c>
      <c r="V6" t="s">
        <v>24</v>
      </c>
      <c r="W6" s="24">
        <v>10.091743119266056</v>
      </c>
    </row>
    <row r="7" spans="1:25" ht="16.8">
      <c r="A7" s="1" t="s">
        <v>25</v>
      </c>
      <c r="B7" s="2">
        <f>SUM(Monthly_Analysis!D4:D26)</f>
        <v>7826</v>
      </c>
      <c r="C7" s="1" t="s">
        <v>26</v>
      </c>
      <c r="D7" s="2">
        <f>SUM(Monthly_Analysis!C4:C26)</f>
        <v>88644</v>
      </c>
      <c r="E7" s="1" t="s">
        <v>27</v>
      </c>
      <c r="F7" s="5">
        <f>SUMPRODUCT(Monthly_Analysis!B4:B26,Monthly_Analysis!G4:G26)/SUM(Monthly_Analysis!B4:B26)</f>
        <v>0.77487507342524431</v>
      </c>
      <c r="G7" s="1" t="s">
        <v>28</v>
      </c>
      <c r="H7" s="6">
        <f>SUMPRODUCT(Monthly_Analysis!B4:B26,Monthly_Analysis!I4:I26)/SUM(Monthly_Analysis!B4:B26)</f>
        <v>22.785797657302865</v>
      </c>
      <c r="J7" s="20"/>
      <c r="K7" s="22"/>
      <c r="L7" s="20"/>
      <c r="M7" s="20"/>
      <c r="N7" s="22"/>
      <c r="O7" s="20"/>
      <c r="P7" s="20"/>
      <c r="Q7" s="22"/>
      <c r="R7" t="s">
        <v>29</v>
      </c>
      <c r="S7" s="24">
        <v>7.8593139383412929</v>
      </c>
      <c r="T7" t="s">
        <v>30</v>
      </c>
      <c r="U7" s="24">
        <v>7.1482035928143715</v>
      </c>
      <c r="V7" t="s">
        <v>31</v>
      </c>
      <c r="W7" s="24">
        <v>9.852413242919825</v>
      </c>
    </row>
    <row r="8" spans="1:25">
      <c r="J8" s="20"/>
      <c r="K8" s="22"/>
      <c r="L8" s="20"/>
      <c r="M8" s="20"/>
      <c r="N8" s="22"/>
      <c r="O8" s="20"/>
      <c r="P8" s="20"/>
      <c r="Q8" s="22"/>
      <c r="R8" t="s">
        <v>32</v>
      </c>
      <c r="S8" s="24">
        <v>3.6107193229901267</v>
      </c>
      <c r="T8" t="s">
        <v>33</v>
      </c>
      <c r="U8" s="24">
        <v>9.7574732092498593</v>
      </c>
      <c r="V8" t="s">
        <v>34</v>
      </c>
      <c r="W8" s="24">
        <v>9.3342981186685972</v>
      </c>
    </row>
    <row r="9" spans="1:25">
      <c r="J9" s="20"/>
      <c r="K9" s="22"/>
      <c r="L9" s="20"/>
      <c r="M9" s="20"/>
      <c r="N9" s="22"/>
      <c r="O9" s="20"/>
      <c r="P9" s="20"/>
      <c r="Q9" s="22"/>
      <c r="R9" t="s">
        <v>35</v>
      </c>
      <c r="S9" s="24">
        <v>3.8596491228070176</v>
      </c>
      <c r="T9" t="s">
        <v>36</v>
      </c>
      <c r="U9" s="24">
        <v>4.9969530773918347</v>
      </c>
      <c r="V9" t="s">
        <v>37</v>
      </c>
      <c r="W9" s="24">
        <v>9.2295345104333855</v>
      </c>
    </row>
    <row r="10" spans="1:25">
      <c r="A10" s="7" t="s">
        <v>38</v>
      </c>
      <c r="B10" s="7" t="s">
        <v>39</v>
      </c>
      <c r="C10" s="7" t="s">
        <v>40</v>
      </c>
      <c r="D10" s="7" t="s">
        <v>41</v>
      </c>
      <c r="J10" s="20"/>
      <c r="K10" s="22"/>
      <c r="L10" s="20"/>
      <c r="M10" s="20"/>
      <c r="N10" s="22"/>
      <c r="O10" s="20"/>
      <c r="P10" s="20"/>
      <c r="Q10" s="22"/>
      <c r="R10" t="s">
        <v>42</v>
      </c>
      <c r="S10" s="24">
        <v>3.4349173553719003</v>
      </c>
      <c r="T10" t="s">
        <v>43</v>
      </c>
      <c r="U10" s="24">
        <v>12.230576441102757</v>
      </c>
      <c r="V10" t="s">
        <v>44</v>
      </c>
      <c r="W10" s="24">
        <v>9.2159559834938101</v>
      </c>
    </row>
    <row r="11" spans="1:25" ht="51.15" customHeight="1">
      <c r="A11" s="9" t="s">
        <v>45</v>
      </c>
      <c r="B11" s="9" t="s">
        <v>46</v>
      </c>
      <c r="C11" s="9" t="s">
        <v>47</v>
      </c>
      <c r="D11" s="9" t="s">
        <v>48</v>
      </c>
      <c r="J11" s="20"/>
      <c r="K11" s="22"/>
      <c r="L11" s="20"/>
      <c r="M11" s="20"/>
      <c r="N11" s="22"/>
      <c r="O11" s="20"/>
      <c r="P11" s="20"/>
      <c r="Q11" s="22"/>
      <c r="R11" t="s">
        <v>49</v>
      </c>
      <c r="S11" s="24">
        <v>3.3150488910088241</v>
      </c>
      <c r="T11" t="s">
        <v>50</v>
      </c>
      <c r="U11" s="24">
        <v>15.32447224394058</v>
      </c>
      <c r="V11" t="s">
        <v>51</v>
      </c>
      <c r="W11" s="24">
        <v>9.0517241379310338</v>
      </c>
    </row>
    <row r="12" spans="1:25" ht="51.15" customHeight="1">
      <c r="A12" s="9" t="s">
        <v>52</v>
      </c>
      <c r="B12" s="9" t="s">
        <v>53</v>
      </c>
      <c r="C12" s="9" t="s">
        <v>54</v>
      </c>
      <c r="D12" s="9" t="s">
        <v>55</v>
      </c>
      <c r="J12" s="20"/>
      <c r="K12" s="22"/>
      <c r="L12" s="20"/>
      <c r="M12" s="20"/>
      <c r="N12" s="22"/>
      <c r="O12" s="20"/>
      <c r="P12" s="20"/>
      <c r="Q12" s="22"/>
      <c r="R12" t="s">
        <v>56</v>
      </c>
      <c r="S12" s="24">
        <v>5.2048192771084336</v>
      </c>
      <c r="T12" t="s">
        <v>57</v>
      </c>
      <c r="U12" s="24">
        <v>10.797237915881984</v>
      </c>
      <c r="V12" t="s">
        <v>58</v>
      </c>
      <c r="W12" s="24">
        <v>8.989547038327526</v>
      </c>
    </row>
    <row r="13" spans="1:25" ht="51.15" customHeight="1">
      <c r="A13" s="9" t="s">
        <v>59</v>
      </c>
      <c r="B13" s="9" t="s">
        <v>60</v>
      </c>
      <c r="C13" s="9" t="s">
        <v>61</v>
      </c>
      <c r="D13" s="9" t="s">
        <v>62</v>
      </c>
      <c r="J13" s="20"/>
      <c r="K13" s="22"/>
      <c r="L13" s="20"/>
      <c r="M13" s="20"/>
      <c r="N13" s="20"/>
      <c r="O13" s="20"/>
      <c r="P13" s="20"/>
      <c r="Q13" s="20"/>
      <c r="R13" t="s">
        <v>63</v>
      </c>
      <c r="S13" s="24">
        <v>5.2925413130861996</v>
      </c>
    </row>
    <row r="14" spans="1:25" ht="51.15" customHeight="1">
      <c r="A14" s="9" t="s">
        <v>64</v>
      </c>
      <c r="B14" s="9" t="s">
        <v>65</v>
      </c>
      <c r="C14" s="9" t="s">
        <v>66</v>
      </c>
      <c r="D14" s="9" t="s">
        <v>67</v>
      </c>
      <c r="J14" s="20"/>
      <c r="K14" s="22"/>
      <c r="L14" s="20"/>
      <c r="M14" s="20"/>
      <c r="N14" s="20"/>
      <c r="O14" s="20"/>
      <c r="P14" s="20"/>
      <c r="Q14" s="20"/>
      <c r="R14" t="s">
        <v>68</v>
      </c>
      <c r="S14" s="24">
        <v>14.31119648737651</v>
      </c>
    </row>
    <row r="15" spans="1:25">
      <c r="J15" s="21"/>
      <c r="K15" s="23"/>
      <c r="L15" s="20"/>
      <c r="M15" s="20"/>
      <c r="N15" s="20"/>
      <c r="O15" s="20"/>
      <c r="P15" s="20"/>
      <c r="Q15" s="20"/>
      <c r="R15" t="s">
        <v>69</v>
      </c>
      <c r="S15" s="24">
        <v>8.3801922728097225</v>
      </c>
    </row>
    <row r="16" spans="1:25">
      <c r="J16" s="20"/>
      <c r="K16" s="22"/>
      <c r="L16" s="20"/>
      <c r="M16" s="20"/>
      <c r="N16" s="20"/>
      <c r="O16" s="20"/>
      <c r="P16" s="20"/>
      <c r="Q16" s="20"/>
      <c r="R16" t="s">
        <v>70</v>
      </c>
      <c r="S16" s="24">
        <v>6.5638704201442923</v>
      </c>
    </row>
    <row r="17" spans="10:19">
      <c r="J17" s="20"/>
      <c r="K17" s="22"/>
      <c r="L17" s="20"/>
      <c r="M17" s="20"/>
      <c r="N17" s="20"/>
      <c r="O17" s="20"/>
      <c r="P17" s="20"/>
      <c r="Q17" s="20"/>
      <c r="R17" t="s">
        <v>71</v>
      </c>
      <c r="S17" s="24">
        <v>15.987795575896262</v>
      </c>
    </row>
    <row r="18" spans="10:19">
      <c r="J18" s="20"/>
      <c r="K18" s="22"/>
      <c r="L18" s="20"/>
      <c r="M18" s="20"/>
      <c r="N18" s="20"/>
      <c r="O18" s="20"/>
      <c r="P18" s="20"/>
      <c r="Q18" s="20"/>
      <c r="R18" t="s">
        <v>72</v>
      </c>
      <c r="S18" s="24">
        <v>21.362273311437953</v>
      </c>
    </row>
    <row r="19" spans="10:19">
      <c r="J19" s="20"/>
      <c r="K19" s="22"/>
      <c r="L19" s="20"/>
      <c r="M19" s="20"/>
      <c r="N19" s="20"/>
      <c r="O19" s="20"/>
      <c r="P19" s="20"/>
      <c r="Q19" s="20"/>
      <c r="R19" t="s">
        <v>73</v>
      </c>
      <c r="S19" s="24">
        <v>5.3103854074727863</v>
      </c>
    </row>
    <row r="20" spans="10:19">
      <c r="J20" s="20"/>
      <c r="K20" s="22"/>
      <c r="L20" s="20"/>
      <c r="M20" s="20"/>
      <c r="N20" s="20"/>
      <c r="O20" s="20"/>
      <c r="P20" s="20"/>
      <c r="Q20" s="20"/>
      <c r="R20" t="s">
        <v>74</v>
      </c>
      <c r="S20" s="24">
        <v>8.2382575196325387</v>
      </c>
    </row>
    <row r="21" spans="10:19">
      <c r="J21" s="20"/>
      <c r="K21" s="22"/>
      <c r="L21" s="20"/>
      <c r="M21" s="20"/>
      <c r="N21" s="20"/>
      <c r="O21" s="20"/>
      <c r="P21" s="20"/>
      <c r="Q21" s="20"/>
      <c r="R21" t="s">
        <v>75</v>
      </c>
      <c r="S21" s="24">
        <v>1.3615485564304464</v>
      </c>
    </row>
    <row r="22" spans="10:19">
      <c r="J22" s="20"/>
      <c r="K22" s="22"/>
      <c r="L22" s="20"/>
      <c r="M22" s="20"/>
      <c r="N22" s="20"/>
      <c r="O22" s="20"/>
      <c r="P22" s="20"/>
      <c r="Q22" s="20"/>
      <c r="R22" t="s">
        <v>76</v>
      </c>
      <c r="S22" s="24">
        <v>4.4834307992202724</v>
      </c>
    </row>
    <row r="23" spans="10:19">
      <c r="J23" s="20"/>
      <c r="K23" s="22"/>
      <c r="L23" s="20"/>
      <c r="M23" s="20"/>
      <c r="N23" s="20"/>
      <c r="O23" s="20"/>
      <c r="P23" s="20"/>
      <c r="Q23" s="20"/>
      <c r="R23" t="s">
        <v>77</v>
      </c>
      <c r="S23" s="24">
        <v>10.392064241851678</v>
      </c>
    </row>
    <row r="24" spans="10:19">
      <c r="J24" s="20"/>
      <c r="K24" s="20"/>
      <c r="L24" s="20"/>
      <c r="M24" s="20"/>
      <c r="N24" s="20"/>
      <c r="O24" s="20"/>
      <c r="P24" s="20"/>
      <c r="Q24" s="20"/>
    </row>
    <row r="25" spans="10:19">
      <c r="J25" s="20"/>
      <c r="K25" s="20"/>
      <c r="L25" s="20"/>
      <c r="M25" s="20"/>
      <c r="N25" s="20"/>
      <c r="O25" s="20"/>
      <c r="P25" s="20"/>
      <c r="Q25" s="20"/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001"/>
  <sheetViews>
    <sheetView workbookViewId="0"/>
  </sheetViews>
  <sheetFormatPr defaultRowHeight="13.8"/>
  <cols>
    <col min="1" max="1" width="34" customWidth="1"/>
    <col min="2" max="6" width="19" customWidth="1"/>
    <col min="7" max="7" width="8" customWidth="1"/>
    <col min="8" max="8" width="18" customWidth="1"/>
    <col min="9" max="9" width="24" customWidth="1"/>
    <col min="10" max="10" width="8" customWidth="1"/>
    <col min="11" max="12" width="13" customWidth="1"/>
    <col min="13" max="13" width="11" customWidth="1"/>
    <col min="14" max="14" width="12" customWidth="1"/>
    <col min="15" max="15" width="11" customWidth="1"/>
    <col min="16" max="16" width="12" customWidth="1"/>
    <col min="17" max="17" width="14" customWidth="1"/>
    <col min="18" max="18" width="18" customWidth="1"/>
    <col min="19" max="19" width="14" customWidth="1"/>
    <col min="20" max="20" width="16" customWidth="1"/>
    <col min="21" max="21" width="14" customWidth="1"/>
    <col min="22" max="22" width="52" customWidth="1"/>
  </cols>
  <sheetData>
    <row r="1" spans="1:22">
      <c r="A1" s="14" t="s">
        <v>78</v>
      </c>
      <c r="B1" s="14" t="s">
        <v>79</v>
      </c>
      <c r="C1" s="14" t="s">
        <v>80</v>
      </c>
      <c r="D1" s="14" t="s">
        <v>81</v>
      </c>
      <c r="E1" s="14" t="s">
        <v>82</v>
      </c>
      <c r="F1" s="14" t="s">
        <v>83</v>
      </c>
      <c r="G1" s="14" t="s">
        <v>3</v>
      </c>
      <c r="H1" s="14" t="s">
        <v>84</v>
      </c>
      <c r="I1" s="14" t="s">
        <v>85</v>
      </c>
      <c r="J1" s="14" t="s">
        <v>86</v>
      </c>
      <c r="K1" s="14" t="s">
        <v>87</v>
      </c>
      <c r="L1" s="14" t="s">
        <v>88</v>
      </c>
      <c r="M1" s="14" t="s">
        <v>89</v>
      </c>
      <c r="N1" s="14" t="s">
        <v>90</v>
      </c>
      <c r="O1" s="14" t="s">
        <v>91</v>
      </c>
      <c r="P1" s="14" t="s">
        <v>92</v>
      </c>
      <c r="Q1" s="14" t="s">
        <v>93</v>
      </c>
      <c r="R1" s="14" t="s">
        <v>94</v>
      </c>
      <c r="S1" s="14" t="s">
        <v>95</v>
      </c>
      <c r="T1" s="14" t="s">
        <v>96</v>
      </c>
      <c r="U1" s="14" t="s">
        <v>97</v>
      </c>
      <c r="V1" s="14" t="s">
        <v>98</v>
      </c>
    </row>
    <row r="2" spans="1:22">
      <c r="A2" t="s">
        <v>99</v>
      </c>
      <c r="B2" s="10">
        <v>42647.59988425926</v>
      </c>
      <c r="C2" s="10">
        <v>42648.114224537036</v>
      </c>
      <c r="D2" s="10">
        <v>42657.114236111112</v>
      </c>
      <c r="E2" s="10">
        <v>42669.627685185187</v>
      </c>
      <c r="F2" s="10">
        <v>42724</v>
      </c>
      <c r="G2" t="s">
        <v>30</v>
      </c>
      <c r="H2" t="s">
        <v>100</v>
      </c>
      <c r="I2" t="s">
        <v>101</v>
      </c>
      <c r="J2" s="11">
        <v>1</v>
      </c>
      <c r="K2" s="12">
        <v>39.99</v>
      </c>
      <c r="L2" s="12">
        <v>22.34</v>
      </c>
      <c r="M2" s="13">
        <v>5</v>
      </c>
      <c r="N2" s="13">
        <f t="shared" ref="N2:N65" si="0">IFERROR(E2-B2,"")</f>
        <v>22.027800925927295</v>
      </c>
      <c r="O2" s="13">
        <f t="shared" ref="O2:O65" si="1">IFERROR(MAX(0,E2-F2),"")</f>
        <v>0</v>
      </c>
      <c r="P2" t="str">
        <f t="shared" ref="P2:P65" si="2">IF(O2&gt;0,"Delayed","On Time")</f>
        <v>On Time</v>
      </c>
      <c r="Q2" s="13">
        <f t="shared" ref="Q2:Q65" si="3">IFERROR((C2-B2)*24,"")</f>
        <v>12.344166666618548</v>
      </c>
      <c r="R2" s="13">
        <f t="shared" ref="R2:R65" si="4">IFERROR(D2-C2,"")</f>
        <v>9.0000115740767797</v>
      </c>
      <c r="S2" s="13">
        <f t="shared" ref="S2:S65" si="5">IFERROR(E2-D2,"")</f>
        <v>12.513449074074742</v>
      </c>
      <c r="T2" t="str">
        <f t="shared" ref="T2:T65" si="6">IF(O2=0,"On Time/Early",IF(O2&lt;=3,"1-3 Days Late",IF(O2&lt;=7,"4-7 Days Late","8+ Days Late")))</f>
        <v>On Time/Early</v>
      </c>
      <c r="U2" t="str">
        <f t="shared" ref="U2:U65" si="7">IF(P2="Delayed","Needs Review","Normal")</f>
        <v>Normal</v>
      </c>
      <c r="V2" t="s">
        <v>102</v>
      </c>
    </row>
    <row r="3" spans="1:22">
      <c r="A3" t="s">
        <v>103</v>
      </c>
      <c r="B3" s="10">
        <v>42647.649710648147</v>
      </c>
      <c r="C3" s="10">
        <v>42649.664733796293</v>
      </c>
      <c r="D3" s="10">
        <v>42664.690208333333</v>
      </c>
      <c r="E3" s="10">
        <v>42671.627638888887</v>
      </c>
      <c r="F3" s="10">
        <v>42704</v>
      </c>
      <c r="G3" t="s">
        <v>20</v>
      </c>
      <c r="H3" t="s">
        <v>104</v>
      </c>
      <c r="I3" t="s">
        <v>58</v>
      </c>
      <c r="J3" s="11">
        <v>1</v>
      </c>
      <c r="K3" s="12">
        <v>136.9</v>
      </c>
      <c r="L3" s="12">
        <v>17.39</v>
      </c>
      <c r="M3" s="13">
        <v>5</v>
      </c>
      <c r="N3" s="13">
        <f t="shared" si="0"/>
        <v>23.977928240739857</v>
      </c>
      <c r="O3" s="13">
        <f t="shared" si="1"/>
        <v>0</v>
      </c>
      <c r="P3" t="str">
        <f t="shared" si="2"/>
        <v>On Time</v>
      </c>
      <c r="Q3" s="13">
        <f t="shared" si="3"/>
        <v>48.36055555549683</v>
      </c>
      <c r="R3" s="13">
        <f t="shared" si="4"/>
        <v>15.025474537040282</v>
      </c>
      <c r="S3" s="13">
        <f t="shared" si="5"/>
        <v>6.937430555553874</v>
      </c>
      <c r="T3" t="str">
        <f t="shared" si="6"/>
        <v>On Time/Early</v>
      </c>
      <c r="U3" t="str">
        <f t="shared" si="7"/>
        <v>Normal</v>
      </c>
      <c r="V3" t="s">
        <v>102</v>
      </c>
    </row>
    <row r="4" spans="1:22">
      <c r="A4" t="s">
        <v>105</v>
      </c>
      <c r="B4" s="10">
        <v>42647.946909722225</v>
      </c>
      <c r="C4" s="10">
        <v>42649.6562037037</v>
      </c>
      <c r="D4" s="10">
        <v>42653.656215277777</v>
      </c>
      <c r="E4" s="10">
        <v>42656.656215277777</v>
      </c>
      <c r="F4" s="10">
        <v>42702</v>
      </c>
      <c r="G4" t="s">
        <v>20</v>
      </c>
      <c r="H4" t="s">
        <v>106</v>
      </c>
      <c r="I4" t="s">
        <v>101</v>
      </c>
      <c r="J4" s="11">
        <v>1</v>
      </c>
      <c r="K4" s="12">
        <v>19.899999999999999</v>
      </c>
      <c r="L4" s="12">
        <v>14.52</v>
      </c>
      <c r="M4" s="13">
        <v>5</v>
      </c>
      <c r="N4" s="13">
        <f t="shared" si="0"/>
        <v>8.7093055555524188</v>
      </c>
      <c r="O4" s="13">
        <f t="shared" si="1"/>
        <v>0</v>
      </c>
      <c r="P4" t="str">
        <f t="shared" si="2"/>
        <v>On Time</v>
      </c>
      <c r="Q4" s="13">
        <f t="shared" si="3"/>
        <v>41.02305555541534</v>
      </c>
      <c r="R4" s="13">
        <f t="shared" si="4"/>
        <v>4.0000115740767797</v>
      </c>
      <c r="S4" s="13">
        <f t="shared" si="5"/>
        <v>3</v>
      </c>
      <c r="T4" t="str">
        <f t="shared" si="6"/>
        <v>On Time/Early</v>
      </c>
      <c r="U4" t="str">
        <f t="shared" si="7"/>
        <v>Normal</v>
      </c>
      <c r="V4" t="s">
        <v>102</v>
      </c>
    </row>
    <row r="5" spans="1:22">
      <c r="A5" t="s">
        <v>107</v>
      </c>
      <c r="B5" s="10">
        <v>42649.515127314815</v>
      </c>
      <c r="C5" s="10">
        <v>42649.598553240743</v>
      </c>
      <c r="D5" s="10">
        <v>42658.536354166667</v>
      </c>
      <c r="E5" s="10">
        <v>42667.87195601852</v>
      </c>
      <c r="F5" s="10">
        <v>42704</v>
      </c>
      <c r="G5" t="s">
        <v>8</v>
      </c>
      <c r="H5" t="s">
        <v>108</v>
      </c>
      <c r="I5" t="s">
        <v>34</v>
      </c>
      <c r="J5" s="11">
        <v>1</v>
      </c>
      <c r="K5" s="12">
        <v>159.9</v>
      </c>
      <c r="L5" s="12">
        <v>16.329999999999998</v>
      </c>
      <c r="M5" s="13">
        <v>2</v>
      </c>
      <c r="N5" s="13">
        <f t="shared" si="0"/>
        <v>18.356828703705105</v>
      </c>
      <c r="O5" s="13">
        <f t="shared" si="1"/>
        <v>0</v>
      </c>
      <c r="P5" t="str">
        <f t="shared" si="2"/>
        <v>On Time</v>
      </c>
      <c r="Q5" s="13">
        <f t="shared" si="3"/>
        <v>2.002222222276032</v>
      </c>
      <c r="R5" s="13">
        <f t="shared" si="4"/>
        <v>8.9378009259235114</v>
      </c>
      <c r="S5" s="13">
        <f t="shared" si="5"/>
        <v>9.3356018518534256</v>
      </c>
      <c r="T5" t="str">
        <f t="shared" si="6"/>
        <v>On Time/Early</v>
      </c>
      <c r="U5" t="str">
        <f t="shared" si="7"/>
        <v>Normal</v>
      </c>
      <c r="V5" t="s">
        <v>102</v>
      </c>
    </row>
    <row r="6" spans="1:22">
      <c r="A6" t="s">
        <v>109</v>
      </c>
      <c r="B6" s="10">
        <v>42649.814976851849</v>
      </c>
      <c r="C6" s="10">
        <v>42650.425879629627</v>
      </c>
      <c r="D6" s="10">
        <v>42664.681909722225</v>
      </c>
      <c r="E6" s="10">
        <v>42667.681909722225</v>
      </c>
      <c r="F6" s="10">
        <v>42710</v>
      </c>
      <c r="G6" t="s">
        <v>110</v>
      </c>
      <c r="H6" t="s">
        <v>111</v>
      </c>
      <c r="I6" t="s">
        <v>112</v>
      </c>
      <c r="J6" s="11">
        <v>1</v>
      </c>
      <c r="K6" s="12">
        <v>41.99</v>
      </c>
      <c r="L6" s="12">
        <v>19.07</v>
      </c>
      <c r="M6" s="13">
        <v>5</v>
      </c>
      <c r="N6" s="13">
        <f t="shared" si="0"/>
        <v>17.866932870376331</v>
      </c>
      <c r="O6" s="13">
        <f t="shared" si="1"/>
        <v>0</v>
      </c>
      <c r="P6" t="str">
        <f t="shared" si="2"/>
        <v>On Time</v>
      </c>
      <c r="Q6" s="13">
        <f t="shared" si="3"/>
        <v>14.661666666681413</v>
      </c>
      <c r="R6" s="13">
        <f t="shared" si="4"/>
        <v>14.256030092597939</v>
      </c>
      <c r="S6" s="13">
        <f t="shared" si="5"/>
        <v>3</v>
      </c>
      <c r="T6" t="str">
        <f t="shared" si="6"/>
        <v>On Time/Early</v>
      </c>
      <c r="U6" t="str">
        <f t="shared" si="7"/>
        <v>Normal</v>
      </c>
      <c r="V6" t="s">
        <v>102</v>
      </c>
    </row>
    <row r="7" spans="1:22">
      <c r="A7" t="s">
        <v>113</v>
      </c>
      <c r="B7" s="10">
        <v>42741.894317129627</v>
      </c>
      <c r="C7" s="10">
        <v>42741.899537037039</v>
      </c>
      <c r="D7" s="10">
        <v>42744.505949074075</v>
      </c>
      <c r="E7" s="10">
        <v>42748.581585648149</v>
      </c>
      <c r="F7" s="10">
        <v>42786</v>
      </c>
      <c r="G7" t="s">
        <v>20</v>
      </c>
      <c r="H7" t="s">
        <v>114</v>
      </c>
      <c r="I7" t="s">
        <v>115</v>
      </c>
      <c r="J7" s="11">
        <v>1</v>
      </c>
      <c r="K7" s="12">
        <v>109.9</v>
      </c>
      <c r="L7" s="12">
        <v>14.94</v>
      </c>
      <c r="M7" s="13">
        <v>4</v>
      </c>
      <c r="N7" s="13">
        <f t="shared" si="0"/>
        <v>6.6872685185226146</v>
      </c>
      <c r="O7" s="13">
        <f t="shared" si="1"/>
        <v>0</v>
      </c>
      <c r="P7" t="str">
        <f t="shared" si="2"/>
        <v>On Time</v>
      </c>
      <c r="Q7" s="13">
        <f t="shared" si="3"/>
        <v>0.12527777790091932</v>
      </c>
      <c r="R7" s="13">
        <f t="shared" si="4"/>
        <v>2.606412037035625</v>
      </c>
      <c r="S7" s="13">
        <f t="shared" si="5"/>
        <v>4.0756365740744513</v>
      </c>
      <c r="T7" t="str">
        <f t="shared" si="6"/>
        <v>On Time/Early</v>
      </c>
      <c r="U7" t="str">
        <f t="shared" si="7"/>
        <v>Normal</v>
      </c>
      <c r="V7" t="s">
        <v>102</v>
      </c>
    </row>
    <row r="8" spans="1:22">
      <c r="A8" t="s">
        <v>116</v>
      </c>
      <c r="B8" s="10">
        <v>42750.001215277778</v>
      </c>
      <c r="C8" s="10">
        <v>42750.010891203703</v>
      </c>
      <c r="D8" s="10">
        <v>42751.279386574075</v>
      </c>
      <c r="E8" s="10">
        <v>42758.575752314813</v>
      </c>
      <c r="F8" s="10">
        <v>42790</v>
      </c>
      <c r="G8" t="s">
        <v>20</v>
      </c>
      <c r="H8" t="s">
        <v>117</v>
      </c>
      <c r="I8" t="s">
        <v>118</v>
      </c>
      <c r="J8" s="11">
        <v>2</v>
      </c>
      <c r="K8" s="12">
        <v>20.98</v>
      </c>
      <c r="L8" s="12">
        <v>29.04</v>
      </c>
      <c r="M8" s="13">
        <v>4</v>
      </c>
      <c r="N8" s="13">
        <f t="shared" si="0"/>
        <v>8.5745370370350429</v>
      </c>
      <c r="O8" s="13">
        <f t="shared" si="1"/>
        <v>0</v>
      </c>
      <c r="P8" t="str">
        <f t="shared" si="2"/>
        <v>On Time</v>
      </c>
      <c r="Q8" s="13">
        <f t="shared" si="3"/>
        <v>0.23222222219919786</v>
      </c>
      <c r="R8" s="13">
        <f t="shared" si="4"/>
        <v>1.2684953703719657</v>
      </c>
      <c r="S8" s="13">
        <f t="shared" si="5"/>
        <v>7.2963657407381106</v>
      </c>
      <c r="T8" t="str">
        <f t="shared" si="6"/>
        <v>On Time/Early</v>
      </c>
      <c r="U8" t="str">
        <f t="shared" si="7"/>
        <v>Normal</v>
      </c>
      <c r="V8" t="s">
        <v>102</v>
      </c>
    </row>
    <row r="9" spans="1:22">
      <c r="A9" t="s">
        <v>119</v>
      </c>
      <c r="B9" s="10">
        <v>42753.843252314815</v>
      </c>
      <c r="C9" s="10">
        <v>42753.85083333333</v>
      </c>
      <c r="D9" s="10">
        <v>42755.463761574072</v>
      </c>
      <c r="E9" s="10">
        <v>42762.718275462961</v>
      </c>
      <c r="F9" s="10">
        <v>42786</v>
      </c>
      <c r="G9" t="s">
        <v>20</v>
      </c>
      <c r="H9" t="s">
        <v>104</v>
      </c>
      <c r="I9" t="s">
        <v>120</v>
      </c>
      <c r="J9" s="11">
        <v>1</v>
      </c>
      <c r="K9" s="12">
        <v>199.9</v>
      </c>
      <c r="L9" s="12">
        <v>19.989999999999998</v>
      </c>
      <c r="M9" s="13">
        <v>5</v>
      </c>
      <c r="N9" s="13">
        <f t="shared" si="0"/>
        <v>8.8750231481462833</v>
      </c>
      <c r="O9" s="13">
        <f t="shared" si="1"/>
        <v>0</v>
      </c>
      <c r="P9" t="str">
        <f t="shared" si="2"/>
        <v>On Time</v>
      </c>
      <c r="Q9" s="13">
        <f t="shared" si="3"/>
        <v>0.18194444436812773</v>
      </c>
      <c r="R9" s="13">
        <f t="shared" si="4"/>
        <v>1.6129282407418941</v>
      </c>
      <c r="S9" s="13">
        <f t="shared" si="5"/>
        <v>7.2545138888890506</v>
      </c>
      <c r="T9" t="str">
        <f t="shared" si="6"/>
        <v>On Time/Early</v>
      </c>
      <c r="U9" t="str">
        <f t="shared" si="7"/>
        <v>Normal</v>
      </c>
      <c r="V9" t="s">
        <v>102</v>
      </c>
    </row>
    <row r="10" spans="1:22">
      <c r="A10" t="s">
        <v>121</v>
      </c>
      <c r="B10" s="10">
        <v>42755.685706018521</v>
      </c>
      <c r="C10" s="10">
        <v>42755.695775462962</v>
      </c>
      <c r="D10" s="10">
        <v>42758.462858796294</v>
      </c>
      <c r="E10" s="10">
        <v>42761.683356481481</v>
      </c>
      <c r="F10" s="10">
        <v>42795</v>
      </c>
      <c r="G10" t="s">
        <v>20</v>
      </c>
      <c r="H10" t="s">
        <v>122</v>
      </c>
      <c r="I10" t="s">
        <v>123</v>
      </c>
      <c r="J10" s="11">
        <v>1</v>
      </c>
      <c r="K10" s="12">
        <v>22.3</v>
      </c>
      <c r="L10" s="12">
        <v>14.52</v>
      </c>
      <c r="M10" s="13">
        <v>4</v>
      </c>
      <c r="N10" s="13">
        <f t="shared" si="0"/>
        <v>5.9976504629594274</v>
      </c>
      <c r="O10" s="13">
        <f t="shared" si="1"/>
        <v>0</v>
      </c>
      <c r="P10" t="str">
        <f t="shared" si="2"/>
        <v>On Time</v>
      </c>
      <c r="Q10" s="13">
        <f t="shared" si="3"/>
        <v>0.24166666658129543</v>
      </c>
      <c r="R10" s="13">
        <f t="shared" si="4"/>
        <v>2.7670833333322662</v>
      </c>
      <c r="S10" s="13">
        <f t="shared" si="5"/>
        <v>3.2204976851862739</v>
      </c>
      <c r="T10" t="str">
        <f t="shared" si="6"/>
        <v>On Time/Early</v>
      </c>
      <c r="U10" t="str">
        <f t="shared" si="7"/>
        <v>Normal</v>
      </c>
      <c r="V10" t="s">
        <v>102</v>
      </c>
    </row>
    <row r="11" spans="1:22">
      <c r="A11" t="s">
        <v>124</v>
      </c>
      <c r="B11" s="10">
        <v>42756.883483796293</v>
      </c>
      <c r="C11" s="10">
        <v>42757.896898148145</v>
      </c>
      <c r="D11" s="10">
        <v>42761.465127314812</v>
      </c>
      <c r="E11" s="10">
        <v>42775.60738425926</v>
      </c>
      <c r="F11" s="10">
        <v>42815</v>
      </c>
      <c r="G11" t="s">
        <v>57</v>
      </c>
      <c r="H11" t="s">
        <v>125</v>
      </c>
      <c r="I11" t="s">
        <v>101</v>
      </c>
      <c r="J11" s="11">
        <v>1</v>
      </c>
      <c r="K11" s="12">
        <v>119.9</v>
      </c>
      <c r="L11" s="12">
        <v>50</v>
      </c>
      <c r="M11" s="13">
        <v>5</v>
      </c>
      <c r="N11" s="13">
        <f t="shared" si="0"/>
        <v>18.723900462966412</v>
      </c>
      <c r="O11" s="13">
        <f t="shared" si="1"/>
        <v>0</v>
      </c>
      <c r="P11" t="str">
        <f t="shared" si="2"/>
        <v>On Time</v>
      </c>
      <c r="Q11" s="13">
        <f t="shared" si="3"/>
        <v>24.321944444440305</v>
      </c>
      <c r="R11" s="13">
        <f t="shared" si="4"/>
        <v>3.5682291666671517</v>
      </c>
      <c r="S11" s="13">
        <f t="shared" si="5"/>
        <v>14.142256944447581</v>
      </c>
      <c r="T11" t="str">
        <f t="shared" si="6"/>
        <v>On Time/Early</v>
      </c>
      <c r="U11" t="str">
        <f t="shared" si="7"/>
        <v>Normal</v>
      </c>
      <c r="V11" t="s">
        <v>102</v>
      </c>
    </row>
    <row r="12" spans="1:22">
      <c r="A12" t="s">
        <v>126</v>
      </c>
      <c r="B12" s="10">
        <v>42760.948888888888</v>
      </c>
      <c r="C12" s="10">
        <v>42760.959872685184</v>
      </c>
      <c r="D12" s="10">
        <v>42761.570381944446</v>
      </c>
      <c r="E12" s="10">
        <v>42774.393067129633</v>
      </c>
      <c r="F12" s="10">
        <v>42788</v>
      </c>
      <c r="G12" t="s">
        <v>20</v>
      </c>
      <c r="H12" t="s">
        <v>127</v>
      </c>
      <c r="I12" t="s">
        <v>128</v>
      </c>
      <c r="J12" s="11">
        <v>1</v>
      </c>
      <c r="K12" s="12">
        <v>61.9</v>
      </c>
      <c r="L12" s="12">
        <v>15.64</v>
      </c>
      <c r="M12" s="13">
        <v>2</v>
      </c>
      <c r="N12" s="13">
        <f t="shared" si="0"/>
        <v>13.444178240744804</v>
      </c>
      <c r="O12" s="13">
        <f t="shared" si="1"/>
        <v>0</v>
      </c>
      <c r="P12" t="str">
        <f t="shared" si="2"/>
        <v>On Time</v>
      </c>
      <c r="Q12" s="13">
        <f t="shared" si="3"/>
        <v>0.26361111109144986</v>
      </c>
      <c r="R12" s="13">
        <f t="shared" si="4"/>
        <v>0.61050925926247146</v>
      </c>
      <c r="S12" s="13">
        <f t="shared" si="5"/>
        <v>12.822685185186856</v>
      </c>
      <c r="T12" t="str">
        <f t="shared" si="6"/>
        <v>On Time/Early</v>
      </c>
      <c r="U12" t="str">
        <f t="shared" si="7"/>
        <v>Normal</v>
      </c>
      <c r="V12" t="s">
        <v>102</v>
      </c>
    </row>
    <row r="13" spans="1:22">
      <c r="A13" t="s">
        <v>129</v>
      </c>
      <c r="B13" s="10">
        <v>42762.020868055559</v>
      </c>
      <c r="C13" s="10">
        <v>42762.045428240737</v>
      </c>
      <c r="D13" s="10">
        <v>42765.486296296294</v>
      </c>
      <c r="E13" s="10">
        <v>42773.552372685182</v>
      </c>
      <c r="F13" s="10">
        <v>42811</v>
      </c>
      <c r="G13" t="s">
        <v>20</v>
      </c>
      <c r="H13" t="s">
        <v>130</v>
      </c>
      <c r="I13" t="s">
        <v>58</v>
      </c>
      <c r="J13" s="11">
        <v>1</v>
      </c>
      <c r="K13" s="12">
        <v>370</v>
      </c>
      <c r="L13" s="12">
        <v>19.43</v>
      </c>
      <c r="M13" s="13">
        <v>5</v>
      </c>
      <c r="N13" s="13">
        <f t="shared" si="0"/>
        <v>11.531504629623669</v>
      </c>
      <c r="O13" s="13">
        <f t="shared" si="1"/>
        <v>0</v>
      </c>
      <c r="P13" t="str">
        <f t="shared" si="2"/>
        <v>On Time</v>
      </c>
      <c r="Q13" s="13">
        <f t="shared" si="3"/>
        <v>0.5894444442819804</v>
      </c>
      <c r="R13" s="13">
        <f t="shared" si="4"/>
        <v>3.4408680555570754</v>
      </c>
      <c r="S13" s="13">
        <f t="shared" si="5"/>
        <v>8.0660763888881775</v>
      </c>
      <c r="T13" t="str">
        <f t="shared" si="6"/>
        <v>On Time/Early</v>
      </c>
      <c r="U13" t="str">
        <f t="shared" si="7"/>
        <v>Normal</v>
      </c>
      <c r="V13" t="s">
        <v>102</v>
      </c>
    </row>
    <row r="14" spans="1:22">
      <c r="A14" t="s">
        <v>131</v>
      </c>
      <c r="B14" s="10">
        <v>42762.441828703704</v>
      </c>
      <c r="C14" s="10">
        <v>42762.454953703702</v>
      </c>
      <c r="D14" s="10">
        <v>42762.616956018515</v>
      </c>
      <c r="E14" s="10">
        <v>42768.522361111114</v>
      </c>
      <c r="F14" s="10">
        <v>42801</v>
      </c>
      <c r="G14" t="s">
        <v>8</v>
      </c>
      <c r="H14" t="s">
        <v>132</v>
      </c>
      <c r="I14" t="s">
        <v>101</v>
      </c>
      <c r="J14" s="11">
        <v>1</v>
      </c>
      <c r="K14" s="12">
        <v>79.900000000000006</v>
      </c>
      <c r="L14" s="12">
        <v>17.3</v>
      </c>
      <c r="M14" s="13">
        <v>5</v>
      </c>
      <c r="N14" s="13">
        <f t="shared" si="0"/>
        <v>6.080532407409919</v>
      </c>
      <c r="O14" s="13">
        <f t="shared" si="1"/>
        <v>0</v>
      </c>
      <c r="P14" t="str">
        <f t="shared" si="2"/>
        <v>On Time</v>
      </c>
      <c r="Q14" s="13">
        <f t="shared" si="3"/>
        <v>0.31499999994412065</v>
      </c>
      <c r="R14" s="13">
        <f t="shared" si="4"/>
        <v>0.16200231481343508</v>
      </c>
      <c r="S14" s="13">
        <f t="shared" si="5"/>
        <v>5.9054050925988122</v>
      </c>
      <c r="T14" t="str">
        <f t="shared" si="6"/>
        <v>On Time/Early</v>
      </c>
      <c r="U14" t="str">
        <f t="shared" si="7"/>
        <v>Normal</v>
      </c>
      <c r="V14" t="s">
        <v>102</v>
      </c>
    </row>
    <row r="15" spans="1:22">
      <c r="A15" t="s">
        <v>133</v>
      </c>
      <c r="B15" s="10">
        <v>42762.719907407409</v>
      </c>
      <c r="C15" s="10">
        <v>42762.729641203703</v>
      </c>
      <c r="D15" s="10">
        <v>42765.52920138889</v>
      </c>
      <c r="E15" s="10">
        <v>42776.427141203705</v>
      </c>
      <c r="F15" s="10">
        <v>42803</v>
      </c>
      <c r="G15" t="s">
        <v>134</v>
      </c>
      <c r="H15" t="s">
        <v>135</v>
      </c>
      <c r="I15" t="s">
        <v>136</v>
      </c>
      <c r="J15" s="11">
        <v>3</v>
      </c>
      <c r="K15" s="12">
        <v>297</v>
      </c>
      <c r="L15" s="12">
        <v>20.010000000000002</v>
      </c>
      <c r="M15" s="13">
        <v>1</v>
      </c>
      <c r="N15" s="13">
        <f t="shared" si="0"/>
        <v>13.70723379629635</v>
      </c>
      <c r="O15" s="13">
        <f t="shared" si="1"/>
        <v>0</v>
      </c>
      <c r="P15" t="str">
        <f t="shared" si="2"/>
        <v>On Time</v>
      </c>
      <c r="Q15" s="13">
        <f t="shared" si="3"/>
        <v>0.23361111106351018</v>
      </c>
      <c r="R15" s="13">
        <f t="shared" si="4"/>
        <v>2.799560185187147</v>
      </c>
      <c r="S15" s="13">
        <f t="shared" si="5"/>
        <v>10.89793981481489</v>
      </c>
      <c r="T15" t="str">
        <f t="shared" si="6"/>
        <v>On Time/Early</v>
      </c>
      <c r="U15" t="str">
        <f t="shared" si="7"/>
        <v>Normal</v>
      </c>
      <c r="V15" t="s">
        <v>102</v>
      </c>
    </row>
    <row r="16" spans="1:22">
      <c r="A16" t="s">
        <v>137</v>
      </c>
      <c r="B16" s="10">
        <v>42762.927002314813</v>
      </c>
      <c r="C16" s="10">
        <v>42763.438148148147</v>
      </c>
      <c r="D16" s="10">
        <v>42769.579826388886</v>
      </c>
      <c r="E16" s="10">
        <v>42780.552465277775</v>
      </c>
      <c r="F16" s="10">
        <v>42807</v>
      </c>
      <c r="G16" t="s">
        <v>16</v>
      </c>
      <c r="H16" t="s">
        <v>138</v>
      </c>
      <c r="I16" t="s">
        <v>37</v>
      </c>
      <c r="J16" s="11">
        <v>1</v>
      </c>
      <c r="K16" s="12">
        <v>199.98</v>
      </c>
      <c r="L16" s="12">
        <v>25</v>
      </c>
      <c r="M16" s="13">
        <v>1</v>
      </c>
      <c r="N16" s="13">
        <f t="shared" si="0"/>
        <v>17.625462962962047</v>
      </c>
      <c r="O16" s="13">
        <f t="shared" si="1"/>
        <v>0</v>
      </c>
      <c r="P16" t="str">
        <f t="shared" si="2"/>
        <v>On Time</v>
      </c>
      <c r="Q16" s="13">
        <f t="shared" si="3"/>
        <v>12.267500000016298</v>
      </c>
      <c r="R16" s="13">
        <f t="shared" si="4"/>
        <v>6.1416782407395658</v>
      </c>
      <c r="S16" s="13">
        <f t="shared" si="5"/>
        <v>10.972638888888469</v>
      </c>
      <c r="T16" t="str">
        <f t="shared" si="6"/>
        <v>On Time/Early</v>
      </c>
      <c r="U16" t="str">
        <f t="shared" si="7"/>
        <v>Normal</v>
      </c>
      <c r="V16" t="s">
        <v>102</v>
      </c>
    </row>
    <row r="17" spans="1:22">
      <c r="A17" t="s">
        <v>139</v>
      </c>
      <c r="B17" s="10">
        <v>42765.402708333335</v>
      </c>
      <c r="C17" s="10">
        <v>42765.439629629633</v>
      </c>
      <c r="D17" s="10">
        <v>42769.613449074073</v>
      </c>
      <c r="E17" s="10">
        <v>42772.710312499999</v>
      </c>
      <c r="F17" s="10">
        <v>42821</v>
      </c>
      <c r="G17" t="s">
        <v>8</v>
      </c>
      <c r="H17" t="s">
        <v>140</v>
      </c>
      <c r="I17" t="s">
        <v>141</v>
      </c>
      <c r="J17" s="11">
        <v>2</v>
      </c>
      <c r="K17" s="12">
        <v>166.4</v>
      </c>
      <c r="L17" s="12">
        <v>50</v>
      </c>
      <c r="M17" s="13">
        <v>4</v>
      </c>
      <c r="N17" s="13">
        <f t="shared" si="0"/>
        <v>7.3076041666645324</v>
      </c>
      <c r="O17" s="13">
        <f t="shared" si="1"/>
        <v>0</v>
      </c>
      <c r="P17" t="str">
        <f t="shared" si="2"/>
        <v>On Time</v>
      </c>
      <c r="Q17" s="13">
        <f t="shared" si="3"/>
        <v>0.88611111114732921</v>
      </c>
      <c r="R17" s="13">
        <f t="shared" si="4"/>
        <v>4.1738194444405963</v>
      </c>
      <c r="S17" s="13">
        <f t="shared" si="5"/>
        <v>3.0968634259261307</v>
      </c>
      <c r="T17" t="str">
        <f t="shared" si="6"/>
        <v>On Time/Early</v>
      </c>
      <c r="U17" t="str">
        <f t="shared" si="7"/>
        <v>Normal</v>
      </c>
      <c r="V17" t="s">
        <v>102</v>
      </c>
    </row>
    <row r="18" spans="1:22">
      <c r="A18" t="s">
        <v>142</v>
      </c>
      <c r="B18" s="10">
        <v>42766.718136574076</v>
      </c>
      <c r="C18" s="10">
        <v>42766.725891203707</v>
      </c>
      <c r="D18" s="10">
        <v>42772.427858796298</v>
      </c>
      <c r="E18" s="10">
        <v>42780.756504629629</v>
      </c>
      <c r="F18" s="10">
        <v>42801</v>
      </c>
      <c r="G18" t="s">
        <v>20</v>
      </c>
      <c r="H18" t="s">
        <v>104</v>
      </c>
      <c r="I18" t="s">
        <v>143</v>
      </c>
      <c r="J18" s="11">
        <v>1</v>
      </c>
      <c r="K18" s="12">
        <v>59.9</v>
      </c>
      <c r="L18" s="12">
        <v>14.59</v>
      </c>
      <c r="M18" s="13">
        <v>5</v>
      </c>
      <c r="N18" s="13">
        <f t="shared" si="0"/>
        <v>14.038368055553292</v>
      </c>
      <c r="O18" s="13">
        <f t="shared" si="1"/>
        <v>0</v>
      </c>
      <c r="P18" t="str">
        <f t="shared" si="2"/>
        <v>On Time</v>
      </c>
      <c r="Q18" s="13">
        <f t="shared" si="3"/>
        <v>0.18611111113568768</v>
      </c>
      <c r="R18" s="13">
        <f t="shared" si="4"/>
        <v>5.7019675925912452</v>
      </c>
      <c r="S18" s="13">
        <f t="shared" si="5"/>
        <v>8.3286458333313931</v>
      </c>
      <c r="T18" t="str">
        <f t="shared" si="6"/>
        <v>On Time/Early</v>
      </c>
      <c r="U18" t="str">
        <f t="shared" si="7"/>
        <v>Normal</v>
      </c>
      <c r="V18" t="s">
        <v>102</v>
      </c>
    </row>
    <row r="19" spans="1:22">
      <c r="A19" t="s">
        <v>144</v>
      </c>
      <c r="B19" s="10">
        <v>42766.719131944446</v>
      </c>
      <c r="C19" s="10">
        <v>42768.715520833335</v>
      </c>
      <c r="D19" s="10">
        <v>42772.401469907411</v>
      </c>
      <c r="E19" s="10">
        <v>42776.620706018519</v>
      </c>
      <c r="F19" s="10">
        <v>42797</v>
      </c>
      <c r="G19" t="s">
        <v>8</v>
      </c>
      <c r="H19" t="s">
        <v>145</v>
      </c>
      <c r="I19" t="s">
        <v>58</v>
      </c>
      <c r="J19" s="11">
        <v>1</v>
      </c>
      <c r="K19" s="12">
        <v>64.989999999999995</v>
      </c>
      <c r="L19" s="12">
        <v>11.06</v>
      </c>
      <c r="M19" s="13">
        <v>5</v>
      </c>
      <c r="N19" s="13">
        <f t="shared" si="0"/>
        <v>9.9015740740724141</v>
      </c>
      <c r="O19" s="13">
        <f t="shared" si="1"/>
        <v>0</v>
      </c>
      <c r="P19" t="str">
        <f t="shared" si="2"/>
        <v>On Time</v>
      </c>
      <c r="Q19" s="13">
        <f t="shared" si="3"/>
        <v>47.913333333330229</v>
      </c>
      <c r="R19" s="13">
        <f t="shared" si="4"/>
        <v>3.6859490740753245</v>
      </c>
      <c r="S19" s="13">
        <f t="shared" si="5"/>
        <v>4.2192361111083301</v>
      </c>
      <c r="T19" t="str">
        <f t="shared" si="6"/>
        <v>On Time/Early</v>
      </c>
      <c r="U19" t="str">
        <f t="shared" si="7"/>
        <v>Normal</v>
      </c>
      <c r="V19" t="s">
        <v>102</v>
      </c>
    </row>
    <row r="20" spans="1:22">
      <c r="A20" t="s">
        <v>146</v>
      </c>
      <c r="B20" s="10">
        <v>42767.380659722221</v>
      </c>
      <c r="C20" s="10">
        <v>42767.389675925922</v>
      </c>
      <c r="D20" s="10">
        <v>42769.713935185187</v>
      </c>
      <c r="E20" s="10">
        <v>42773.477893518517</v>
      </c>
      <c r="F20" s="10">
        <v>42808</v>
      </c>
      <c r="G20" t="s">
        <v>16</v>
      </c>
      <c r="H20" t="s">
        <v>138</v>
      </c>
      <c r="I20" t="s">
        <v>37</v>
      </c>
      <c r="J20" s="11">
        <v>1</v>
      </c>
      <c r="K20" s="12">
        <v>129.99</v>
      </c>
      <c r="L20" s="12">
        <v>46.4</v>
      </c>
      <c r="M20" s="13">
        <v>2</v>
      </c>
      <c r="N20" s="13">
        <f t="shared" si="0"/>
        <v>6.0972337962957681</v>
      </c>
      <c r="O20" s="13">
        <f t="shared" si="1"/>
        <v>0</v>
      </c>
      <c r="P20" t="str">
        <f t="shared" si="2"/>
        <v>On Time</v>
      </c>
      <c r="Q20" s="13">
        <f t="shared" si="3"/>
        <v>0.21638888883171603</v>
      </c>
      <c r="R20" s="13">
        <f t="shared" si="4"/>
        <v>2.3242592592650908</v>
      </c>
      <c r="S20" s="13">
        <f t="shared" si="5"/>
        <v>3.7639583333293558</v>
      </c>
      <c r="T20" t="str">
        <f t="shared" si="6"/>
        <v>On Time/Early</v>
      </c>
      <c r="U20" t="str">
        <f t="shared" si="7"/>
        <v>Normal</v>
      </c>
      <c r="V20" t="s">
        <v>102</v>
      </c>
    </row>
    <row r="21" spans="1:22">
      <c r="A21" t="s">
        <v>147</v>
      </c>
      <c r="B21" s="10">
        <v>42767.645046296297</v>
      </c>
      <c r="C21" s="10">
        <v>42767.653946759259</v>
      </c>
      <c r="D21" s="10">
        <v>42769.634745370371</v>
      </c>
      <c r="E21" s="10">
        <v>42773.745439814818</v>
      </c>
      <c r="F21" s="10">
        <v>42804</v>
      </c>
      <c r="G21" t="s">
        <v>8</v>
      </c>
      <c r="H21" t="s">
        <v>140</v>
      </c>
      <c r="I21" t="s">
        <v>101</v>
      </c>
      <c r="J21" s="11">
        <v>1</v>
      </c>
      <c r="K21" s="12">
        <v>176.99</v>
      </c>
      <c r="L21" s="12">
        <v>49.89</v>
      </c>
      <c r="M21" s="13">
        <v>5</v>
      </c>
      <c r="N21" s="13">
        <f t="shared" si="0"/>
        <v>6.1003935185217415</v>
      </c>
      <c r="O21" s="13">
        <f t="shared" si="1"/>
        <v>0</v>
      </c>
      <c r="P21" t="str">
        <f t="shared" si="2"/>
        <v>On Time</v>
      </c>
      <c r="Q21" s="13">
        <f t="shared" si="3"/>
        <v>0.21361111110309139</v>
      </c>
      <c r="R21" s="13">
        <f t="shared" si="4"/>
        <v>1.9807986111118225</v>
      </c>
      <c r="S21" s="13">
        <f t="shared" si="5"/>
        <v>4.1106944444472902</v>
      </c>
      <c r="T21" t="str">
        <f t="shared" si="6"/>
        <v>On Time/Early</v>
      </c>
      <c r="U21" t="str">
        <f t="shared" si="7"/>
        <v>Normal</v>
      </c>
      <c r="V21" t="s">
        <v>102</v>
      </c>
    </row>
    <row r="22" spans="1:22">
      <c r="A22" t="s">
        <v>148</v>
      </c>
      <c r="B22" s="10">
        <v>42767.898078703707</v>
      </c>
      <c r="C22" s="10">
        <v>42767.906412037039</v>
      </c>
      <c r="D22" s="10">
        <v>42773.693287037036</v>
      </c>
      <c r="E22" s="10">
        <v>42780.63380787037</v>
      </c>
      <c r="F22" s="10">
        <v>42804</v>
      </c>
      <c r="G22" t="s">
        <v>16</v>
      </c>
      <c r="H22" t="s">
        <v>138</v>
      </c>
      <c r="I22" t="s">
        <v>149</v>
      </c>
      <c r="J22" s="11">
        <v>1</v>
      </c>
      <c r="K22" s="12">
        <v>110</v>
      </c>
      <c r="L22" s="12">
        <v>15.53</v>
      </c>
      <c r="M22" s="13">
        <v>5</v>
      </c>
      <c r="N22" s="13">
        <f t="shared" si="0"/>
        <v>12.735729166663077</v>
      </c>
      <c r="O22" s="13">
        <f t="shared" si="1"/>
        <v>0</v>
      </c>
      <c r="P22" t="str">
        <f t="shared" si="2"/>
        <v>On Time</v>
      </c>
      <c r="Q22" s="13">
        <f t="shared" si="3"/>
        <v>0.19999999995343387</v>
      </c>
      <c r="R22" s="13">
        <f t="shared" si="4"/>
        <v>5.7868749999979627</v>
      </c>
      <c r="S22" s="13">
        <f t="shared" si="5"/>
        <v>6.9405208333337214</v>
      </c>
      <c r="T22" t="str">
        <f t="shared" si="6"/>
        <v>On Time/Early</v>
      </c>
      <c r="U22" t="str">
        <f t="shared" si="7"/>
        <v>Normal</v>
      </c>
      <c r="V22" t="s">
        <v>102</v>
      </c>
    </row>
    <row r="23" spans="1:22">
      <c r="A23" t="s">
        <v>150</v>
      </c>
      <c r="B23" s="10">
        <v>42771.789953703701</v>
      </c>
      <c r="C23" s="10">
        <v>42773.72928240741</v>
      </c>
      <c r="D23" s="10">
        <v>42774.487743055557</v>
      </c>
      <c r="E23" s="10">
        <v>42781.338634259257</v>
      </c>
      <c r="F23" s="10">
        <v>42797</v>
      </c>
      <c r="G23" t="s">
        <v>16</v>
      </c>
      <c r="H23" t="s">
        <v>151</v>
      </c>
      <c r="I23" t="s">
        <v>123</v>
      </c>
      <c r="J23" s="11">
        <v>1</v>
      </c>
      <c r="K23" s="12">
        <v>119.99</v>
      </c>
      <c r="L23" s="12">
        <v>16.05</v>
      </c>
      <c r="M23" s="13">
        <v>4</v>
      </c>
      <c r="N23" s="13">
        <f t="shared" si="0"/>
        <v>9.5486805555556202</v>
      </c>
      <c r="O23" s="13">
        <f t="shared" si="1"/>
        <v>0</v>
      </c>
      <c r="P23" t="str">
        <f t="shared" si="2"/>
        <v>On Time</v>
      </c>
      <c r="Q23" s="13">
        <f t="shared" si="3"/>
        <v>46.543888889020309</v>
      </c>
      <c r="R23" s="13">
        <f t="shared" si="4"/>
        <v>0.75846064814686542</v>
      </c>
      <c r="S23" s="13">
        <f t="shared" si="5"/>
        <v>6.8508912036995753</v>
      </c>
      <c r="T23" t="str">
        <f t="shared" si="6"/>
        <v>On Time/Early</v>
      </c>
      <c r="U23" t="str">
        <f t="shared" si="7"/>
        <v>Normal</v>
      </c>
      <c r="V23" t="s">
        <v>102</v>
      </c>
    </row>
    <row r="24" spans="1:22">
      <c r="A24" t="s">
        <v>152</v>
      </c>
      <c r="B24" s="10">
        <v>42771.864131944443</v>
      </c>
      <c r="C24" s="10">
        <v>42771.87164351852</v>
      </c>
      <c r="D24" s="10">
        <v>42772.601319444446</v>
      </c>
      <c r="E24" s="10">
        <v>42781.710243055553</v>
      </c>
      <c r="F24" s="10">
        <v>42795</v>
      </c>
      <c r="G24" t="s">
        <v>20</v>
      </c>
      <c r="H24" t="s">
        <v>153</v>
      </c>
      <c r="I24" t="s">
        <v>154</v>
      </c>
      <c r="J24" s="11">
        <v>1</v>
      </c>
      <c r="K24" s="12">
        <v>79.5</v>
      </c>
      <c r="L24" s="12">
        <v>11.95</v>
      </c>
      <c r="M24" s="13">
        <v>5</v>
      </c>
      <c r="N24" s="13">
        <f t="shared" si="0"/>
        <v>9.8461111111100763</v>
      </c>
      <c r="O24" s="13">
        <f t="shared" si="1"/>
        <v>0</v>
      </c>
      <c r="P24" t="str">
        <f t="shared" si="2"/>
        <v>On Time</v>
      </c>
      <c r="Q24" s="13">
        <f t="shared" si="3"/>
        <v>0.18027777783572674</v>
      </c>
      <c r="R24" s="13">
        <f t="shared" si="4"/>
        <v>0.72967592592613073</v>
      </c>
      <c r="S24" s="13">
        <f t="shared" si="5"/>
        <v>9.108923611107457</v>
      </c>
      <c r="T24" t="str">
        <f t="shared" si="6"/>
        <v>On Time/Early</v>
      </c>
      <c r="U24" t="str">
        <f t="shared" si="7"/>
        <v>Normal</v>
      </c>
      <c r="V24" t="s">
        <v>102</v>
      </c>
    </row>
    <row r="25" spans="1:22">
      <c r="A25" t="s">
        <v>155</v>
      </c>
      <c r="B25" s="10">
        <v>42771.962129629632</v>
      </c>
      <c r="C25" s="10">
        <v>42771.968877314815</v>
      </c>
      <c r="D25" s="10">
        <v>42774.462025462963</v>
      </c>
      <c r="E25" s="10">
        <v>42780.712083333332</v>
      </c>
      <c r="F25" s="10">
        <v>42809</v>
      </c>
      <c r="G25" t="s">
        <v>8</v>
      </c>
      <c r="H25" t="s">
        <v>156</v>
      </c>
      <c r="I25" t="s">
        <v>101</v>
      </c>
      <c r="J25" s="11">
        <v>1</v>
      </c>
      <c r="K25" s="12">
        <v>74.900000000000006</v>
      </c>
      <c r="L25" s="12">
        <v>18.8</v>
      </c>
      <c r="M25" s="13">
        <v>5</v>
      </c>
      <c r="N25" s="13">
        <f t="shared" si="0"/>
        <v>8.7499537037001573</v>
      </c>
      <c r="O25" s="13">
        <f t="shared" si="1"/>
        <v>0</v>
      </c>
      <c r="P25" t="str">
        <f t="shared" si="2"/>
        <v>On Time</v>
      </c>
      <c r="Q25" s="13">
        <f t="shared" si="3"/>
        <v>0.16194444440770894</v>
      </c>
      <c r="R25" s="13">
        <f t="shared" si="4"/>
        <v>2.4931481481471565</v>
      </c>
      <c r="S25" s="13">
        <f t="shared" si="5"/>
        <v>6.2500578703693463</v>
      </c>
      <c r="T25" t="str">
        <f t="shared" si="6"/>
        <v>On Time/Early</v>
      </c>
      <c r="U25" t="str">
        <f t="shared" si="7"/>
        <v>Normal</v>
      </c>
      <c r="V25" t="s">
        <v>102</v>
      </c>
    </row>
    <row r="26" spans="1:22">
      <c r="A26" t="s">
        <v>157</v>
      </c>
      <c r="B26" s="10">
        <v>42771.976909722223</v>
      </c>
      <c r="C26" s="10">
        <v>42771.982800925929</v>
      </c>
      <c r="D26" s="10">
        <v>42774.462453703702</v>
      </c>
      <c r="E26" s="10">
        <v>42789.865208333336</v>
      </c>
      <c r="F26" s="10">
        <v>42797</v>
      </c>
      <c r="G26" t="s">
        <v>16</v>
      </c>
      <c r="H26" t="s">
        <v>138</v>
      </c>
      <c r="I26" t="s">
        <v>154</v>
      </c>
      <c r="J26" s="11">
        <v>1</v>
      </c>
      <c r="K26" s="12">
        <v>69.5</v>
      </c>
      <c r="L26" s="12">
        <v>14.66</v>
      </c>
      <c r="M26" s="13">
        <v>4</v>
      </c>
      <c r="N26" s="13">
        <f t="shared" si="0"/>
        <v>17.888298611112987</v>
      </c>
      <c r="O26" s="13">
        <f t="shared" si="1"/>
        <v>0</v>
      </c>
      <c r="P26" t="str">
        <f t="shared" si="2"/>
        <v>On Time</v>
      </c>
      <c r="Q26" s="13">
        <f t="shared" si="3"/>
        <v>0.14138888893648982</v>
      </c>
      <c r="R26" s="13">
        <f t="shared" si="4"/>
        <v>2.4796527777725714</v>
      </c>
      <c r="S26" s="13">
        <f t="shared" si="5"/>
        <v>15.402754629634728</v>
      </c>
      <c r="T26" t="str">
        <f t="shared" si="6"/>
        <v>On Time/Early</v>
      </c>
      <c r="U26" t="str">
        <f t="shared" si="7"/>
        <v>Normal</v>
      </c>
      <c r="V26" t="s">
        <v>102</v>
      </c>
    </row>
    <row r="27" spans="1:22">
      <c r="A27" t="s">
        <v>158</v>
      </c>
      <c r="B27" s="10">
        <v>42772.851273148146</v>
      </c>
      <c r="C27" s="10">
        <v>42774.135625000003</v>
      </c>
      <c r="D27" s="10">
        <v>42775.581574074073</v>
      </c>
      <c r="E27" s="10">
        <v>42779.370763888888</v>
      </c>
      <c r="F27" s="10">
        <v>42801</v>
      </c>
      <c r="G27" t="s">
        <v>8</v>
      </c>
      <c r="H27" t="s">
        <v>140</v>
      </c>
      <c r="I27" t="s">
        <v>123</v>
      </c>
      <c r="J27" s="11">
        <v>1</v>
      </c>
      <c r="K27" s="12">
        <v>99.9</v>
      </c>
      <c r="L27" s="12">
        <v>18.98</v>
      </c>
      <c r="M27" s="13">
        <v>4</v>
      </c>
      <c r="N27" s="13">
        <f t="shared" si="0"/>
        <v>6.5194907407421852</v>
      </c>
      <c r="O27" s="13">
        <f t="shared" si="1"/>
        <v>0</v>
      </c>
      <c r="P27" t="str">
        <f t="shared" si="2"/>
        <v>On Time</v>
      </c>
      <c r="Q27" s="13">
        <f t="shared" si="3"/>
        <v>30.824444444559049</v>
      </c>
      <c r="R27" s="13">
        <f t="shared" si="4"/>
        <v>1.4459490740700858</v>
      </c>
      <c r="S27" s="13">
        <f t="shared" si="5"/>
        <v>3.7891898148154723</v>
      </c>
      <c r="T27" t="str">
        <f t="shared" si="6"/>
        <v>On Time/Early</v>
      </c>
      <c r="U27" t="str">
        <f t="shared" si="7"/>
        <v>Normal</v>
      </c>
      <c r="V27" t="s">
        <v>102</v>
      </c>
    </row>
    <row r="28" spans="1:22">
      <c r="A28" t="s">
        <v>159</v>
      </c>
      <c r="B28" s="10">
        <v>42773.489363425928</v>
      </c>
      <c r="C28" s="10">
        <v>42773.496793981481</v>
      </c>
      <c r="D28" s="10">
        <v>42774.479050925926</v>
      </c>
      <c r="E28" s="10">
        <v>42780.491550925923</v>
      </c>
      <c r="F28" s="10">
        <v>42810</v>
      </c>
      <c r="G28" t="s">
        <v>16</v>
      </c>
      <c r="H28" t="s">
        <v>138</v>
      </c>
      <c r="I28" t="s">
        <v>118</v>
      </c>
      <c r="J28" s="11">
        <v>1</v>
      </c>
      <c r="K28" s="12">
        <v>142.99</v>
      </c>
      <c r="L28" s="12">
        <v>18.09</v>
      </c>
      <c r="M28" s="13">
        <v>5</v>
      </c>
      <c r="N28" s="13">
        <f t="shared" si="0"/>
        <v>7.0021874999947613</v>
      </c>
      <c r="O28" s="13">
        <f t="shared" si="1"/>
        <v>0</v>
      </c>
      <c r="P28" t="str">
        <f t="shared" si="2"/>
        <v>On Time</v>
      </c>
      <c r="Q28" s="13">
        <f t="shared" si="3"/>
        <v>0.1783333332859911</v>
      </c>
      <c r="R28" s="13">
        <f t="shared" si="4"/>
        <v>0.98225694444408873</v>
      </c>
      <c r="S28" s="13">
        <f t="shared" si="5"/>
        <v>6.0124999999970896</v>
      </c>
      <c r="T28" t="str">
        <f t="shared" si="6"/>
        <v>On Time/Early</v>
      </c>
      <c r="U28" t="str">
        <f t="shared" si="7"/>
        <v>Normal</v>
      </c>
      <c r="V28" t="s">
        <v>102</v>
      </c>
    </row>
    <row r="29" spans="1:22">
      <c r="A29" t="s">
        <v>160</v>
      </c>
      <c r="B29" s="10">
        <v>42773.798009259262</v>
      </c>
      <c r="C29" s="10">
        <v>42773.807187500002</v>
      </c>
      <c r="D29" s="10">
        <v>42776.424814814818</v>
      </c>
      <c r="E29" s="10">
        <v>42782.704236111109</v>
      </c>
      <c r="F29" s="10">
        <v>42800</v>
      </c>
      <c r="G29" t="s">
        <v>8</v>
      </c>
      <c r="H29" t="s">
        <v>161</v>
      </c>
      <c r="I29" t="s">
        <v>162</v>
      </c>
      <c r="J29" s="11">
        <v>1</v>
      </c>
      <c r="K29" s="12">
        <v>103.99</v>
      </c>
      <c r="L29" s="12">
        <v>24.12</v>
      </c>
      <c r="M29" s="13">
        <v>5</v>
      </c>
      <c r="N29" s="13">
        <f t="shared" si="0"/>
        <v>8.9062268518464407</v>
      </c>
      <c r="O29" s="13">
        <f t="shared" si="1"/>
        <v>0</v>
      </c>
      <c r="P29" t="str">
        <f t="shared" si="2"/>
        <v>On Time</v>
      </c>
      <c r="Q29" s="13">
        <f t="shared" si="3"/>
        <v>0.22027777775656432</v>
      </c>
      <c r="R29" s="13">
        <f t="shared" si="4"/>
        <v>2.6176273148157634</v>
      </c>
      <c r="S29" s="13">
        <f t="shared" si="5"/>
        <v>6.2794212962908205</v>
      </c>
      <c r="T29" t="str">
        <f t="shared" si="6"/>
        <v>On Time/Early</v>
      </c>
      <c r="U29" t="str">
        <f t="shared" si="7"/>
        <v>Normal</v>
      </c>
      <c r="V29" t="s">
        <v>102</v>
      </c>
    </row>
    <row r="30" spans="1:22">
      <c r="A30" t="s">
        <v>163</v>
      </c>
      <c r="B30" s="10">
        <v>42774.925162037034</v>
      </c>
      <c r="C30" s="10">
        <v>42774.932951388888</v>
      </c>
      <c r="D30" s="10">
        <v>42775.648842592593</v>
      </c>
      <c r="E30" s="10">
        <v>42802.580567129633</v>
      </c>
      <c r="F30" s="10">
        <v>42807</v>
      </c>
      <c r="G30" t="s">
        <v>164</v>
      </c>
      <c r="H30" t="s">
        <v>165</v>
      </c>
      <c r="I30" t="s">
        <v>154</v>
      </c>
      <c r="J30" s="11">
        <v>1</v>
      </c>
      <c r="K30" s="12">
        <v>44</v>
      </c>
      <c r="L30" s="12">
        <v>16.05</v>
      </c>
      <c r="M30" s="13">
        <v>4</v>
      </c>
      <c r="N30" s="13">
        <f t="shared" si="0"/>
        <v>27.655405092598812</v>
      </c>
      <c r="O30" s="13">
        <f t="shared" si="1"/>
        <v>0</v>
      </c>
      <c r="P30" t="str">
        <f t="shared" si="2"/>
        <v>On Time</v>
      </c>
      <c r="Q30" s="13">
        <f t="shared" si="3"/>
        <v>0.18694444448919967</v>
      </c>
      <c r="R30" s="13">
        <f t="shared" si="4"/>
        <v>0.71589120370481396</v>
      </c>
      <c r="S30" s="13">
        <f t="shared" si="5"/>
        <v>26.931724537040282</v>
      </c>
      <c r="T30" t="str">
        <f t="shared" si="6"/>
        <v>On Time/Early</v>
      </c>
      <c r="U30" t="str">
        <f t="shared" si="7"/>
        <v>Normal</v>
      </c>
      <c r="V30" t="s">
        <v>102</v>
      </c>
    </row>
    <row r="31" spans="1:22">
      <c r="A31" t="s">
        <v>166</v>
      </c>
      <c r="B31" s="10">
        <v>42774.957118055558</v>
      </c>
      <c r="C31" s="10">
        <v>42774.965439814812</v>
      </c>
      <c r="D31" s="10">
        <v>42776.225057870368</v>
      </c>
      <c r="E31" s="10">
        <v>42786.683287037034</v>
      </c>
      <c r="F31" s="10">
        <v>42803</v>
      </c>
      <c r="G31" t="s">
        <v>43</v>
      </c>
      <c r="H31" t="s">
        <v>167</v>
      </c>
      <c r="I31" t="s">
        <v>149</v>
      </c>
      <c r="J31" s="11">
        <v>1</v>
      </c>
      <c r="K31" s="12">
        <v>46.8</v>
      </c>
      <c r="L31" s="12">
        <v>14.52</v>
      </c>
      <c r="M31" s="13">
        <v>4</v>
      </c>
      <c r="N31" s="13">
        <f t="shared" si="0"/>
        <v>11.726168981476803</v>
      </c>
      <c r="O31" s="13">
        <f t="shared" si="1"/>
        <v>0</v>
      </c>
      <c r="P31" t="str">
        <f t="shared" si="2"/>
        <v>On Time</v>
      </c>
      <c r="Q31" s="13">
        <f t="shared" si="3"/>
        <v>0.19972222211072221</v>
      </c>
      <c r="R31" s="13">
        <f t="shared" si="4"/>
        <v>1.2596180555556202</v>
      </c>
      <c r="S31" s="13">
        <f t="shared" si="5"/>
        <v>10.45822916666657</v>
      </c>
      <c r="T31" t="str">
        <f t="shared" si="6"/>
        <v>On Time/Early</v>
      </c>
      <c r="U31" t="str">
        <f t="shared" si="7"/>
        <v>Normal</v>
      </c>
      <c r="V31" t="s">
        <v>102</v>
      </c>
    </row>
    <row r="32" spans="1:22">
      <c r="A32" t="s">
        <v>168</v>
      </c>
      <c r="B32" s="10">
        <v>42775.797442129631</v>
      </c>
      <c r="C32" s="10">
        <v>42777.114976851852</v>
      </c>
      <c r="D32" s="10">
        <v>42779.34784722222</v>
      </c>
      <c r="E32" s="10">
        <v>42782.720925925925</v>
      </c>
      <c r="F32" s="10">
        <v>42802</v>
      </c>
      <c r="G32" t="s">
        <v>8</v>
      </c>
      <c r="H32" t="s">
        <v>169</v>
      </c>
      <c r="I32" t="s">
        <v>123</v>
      </c>
      <c r="J32" s="11">
        <v>1</v>
      </c>
      <c r="K32" s="12">
        <v>146.38999999999999</v>
      </c>
      <c r="L32" s="12">
        <v>17.36</v>
      </c>
      <c r="M32" s="13">
        <v>4</v>
      </c>
      <c r="N32" s="13">
        <f t="shared" si="0"/>
        <v>6.9234837962940219</v>
      </c>
      <c r="O32" s="13">
        <f t="shared" si="1"/>
        <v>0</v>
      </c>
      <c r="P32" t="str">
        <f t="shared" si="2"/>
        <v>On Time</v>
      </c>
      <c r="Q32" s="13">
        <f t="shared" si="3"/>
        <v>31.620833333290648</v>
      </c>
      <c r="R32" s="13">
        <f t="shared" si="4"/>
        <v>2.2328703703678912</v>
      </c>
      <c r="S32" s="13">
        <f t="shared" si="5"/>
        <v>3.3730787037056871</v>
      </c>
      <c r="T32" t="str">
        <f t="shared" si="6"/>
        <v>On Time/Early</v>
      </c>
      <c r="U32" t="str">
        <f t="shared" si="7"/>
        <v>Normal</v>
      </c>
      <c r="V32" t="s">
        <v>102</v>
      </c>
    </row>
    <row r="33" spans="1:22">
      <c r="A33" t="s">
        <v>170</v>
      </c>
      <c r="B33" s="10">
        <v>42777.71297453704</v>
      </c>
      <c r="C33" s="10">
        <v>42781.480706018519</v>
      </c>
      <c r="D33" s="10">
        <v>42786.190347222226</v>
      </c>
      <c r="E33" s="10">
        <v>42791.110138888886</v>
      </c>
      <c r="F33" s="10">
        <v>42804</v>
      </c>
      <c r="G33" t="s">
        <v>8</v>
      </c>
      <c r="H33" t="s">
        <v>171</v>
      </c>
      <c r="I33" t="s">
        <v>120</v>
      </c>
      <c r="J33" s="11">
        <v>1</v>
      </c>
      <c r="K33" s="12">
        <v>16.899999999999999</v>
      </c>
      <c r="L33" s="12">
        <v>10.96</v>
      </c>
      <c r="M33" s="13">
        <v>5</v>
      </c>
      <c r="N33" s="13">
        <f t="shared" si="0"/>
        <v>13.397164351845277</v>
      </c>
      <c r="O33" s="13">
        <f t="shared" si="1"/>
        <v>0</v>
      </c>
      <c r="P33" t="str">
        <f t="shared" si="2"/>
        <v>On Time</v>
      </c>
      <c r="Q33" s="13">
        <f t="shared" si="3"/>
        <v>90.425555555499159</v>
      </c>
      <c r="R33" s="13">
        <f t="shared" si="4"/>
        <v>4.7096412037062692</v>
      </c>
      <c r="S33" s="13">
        <f t="shared" si="5"/>
        <v>4.9197916666598758</v>
      </c>
      <c r="T33" t="str">
        <f t="shared" si="6"/>
        <v>On Time/Early</v>
      </c>
      <c r="U33" t="str">
        <f t="shared" si="7"/>
        <v>Normal</v>
      </c>
      <c r="V33" t="s">
        <v>102</v>
      </c>
    </row>
    <row r="34" spans="1:22">
      <c r="A34" t="s">
        <v>172</v>
      </c>
      <c r="B34" s="10">
        <v>42777.861967592595</v>
      </c>
      <c r="C34" s="10">
        <v>42779.488356481481</v>
      </c>
      <c r="D34" s="10">
        <v>42780.253622685188</v>
      </c>
      <c r="E34" s="10">
        <v>42796.635706018518</v>
      </c>
      <c r="F34" s="10">
        <v>42818</v>
      </c>
      <c r="G34" t="s">
        <v>36</v>
      </c>
      <c r="H34" t="s">
        <v>173</v>
      </c>
      <c r="I34" t="s">
        <v>143</v>
      </c>
      <c r="J34" s="11">
        <v>1</v>
      </c>
      <c r="K34" s="12">
        <v>9.9</v>
      </c>
      <c r="L34" s="12">
        <v>14.52</v>
      </c>
      <c r="M34" s="13">
        <v>4</v>
      </c>
      <c r="N34" s="13">
        <f t="shared" si="0"/>
        <v>18.773738425923511</v>
      </c>
      <c r="O34" s="13">
        <f t="shared" si="1"/>
        <v>0</v>
      </c>
      <c r="P34" t="str">
        <f t="shared" si="2"/>
        <v>On Time</v>
      </c>
      <c r="Q34" s="13">
        <f t="shared" si="3"/>
        <v>39.033333333267365</v>
      </c>
      <c r="R34" s="13">
        <f t="shared" si="4"/>
        <v>0.76526620370714227</v>
      </c>
      <c r="S34" s="13">
        <f t="shared" si="5"/>
        <v>16.382083333330229</v>
      </c>
      <c r="T34" t="str">
        <f t="shared" si="6"/>
        <v>On Time/Early</v>
      </c>
      <c r="U34" t="str">
        <f t="shared" si="7"/>
        <v>Normal</v>
      </c>
      <c r="V34" t="s">
        <v>102</v>
      </c>
    </row>
    <row r="35" spans="1:22">
      <c r="A35" t="s">
        <v>174</v>
      </c>
      <c r="B35" s="10">
        <v>42778.782175925924</v>
      </c>
      <c r="C35" s="10">
        <v>42778.793645833335</v>
      </c>
      <c r="D35" s="10">
        <v>42779.410405092596</v>
      </c>
      <c r="E35" s="10">
        <v>42788.426157407404</v>
      </c>
      <c r="F35" s="10">
        <v>42818</v>
      </c>
      <c r="G35" t="s">
        <v>175</v>
      </c>
      <c r="H35" t="s">
        <v>176</v>
      </c>
      <c r="I35" t="s">
        <v>177</v>
      </c>
      <c r="J35" s="11">
        <v>2</v>
      </c>
      <c r="K35" s="12">
        <v>239</v>
      </c>
      <c r="L35" s="12">
        <v>54.2</v>
      </c>
      <c r="M35" s="13">
        <v>4</v>
      </c>
      <c r="N35" s="13">
        <f t="shared" si="0"/>
        <v>9.6439814814802958</v>
      </c>
      <c r="O35" s="13">
        <f t="shared" si="1"/>
        <v>0</v>
      </c>
      <c r="P35" t="str">
        <f t="shared" si="2"/>
        <v>On Time</v>
      </c>
      <c r="Q35" s="13">
        <f t="shared" si="3"/>
        <v>0.27527777786599472</v>
      </c>
      <c r="R35" s="13">
        <f t="shared" si="4"/>
        <v>0.61675925926101627</v>
      </c>
      <c r="S35" s="13">
        <f t="shared" si="5"/>
        <v>9.0157523148081964</v>
      </c>
      <c r="T35" t="str">
        <f t="shared" si="6"/>
        <v>On Time/Early</v>
      </c>
      <c r="U35" t="str">
        <f t="shared" si="7"/>
        <v>Normal</v>
      </c>
      <c r="V35" t="s">
        <v>102</v>
      </c>
    </row>
    <row r="36" spans="1:22">
      <c r="A36" t="s">
        <v>178</v>
      </c>
      <c r="B36" s="10">
        <v>42779.76525462963</v>
      </c>
      <c r="C36" s="10">
        <v>42781.114687499998</v>
      </c>
      <c r="D36" s="10">
        <v>42786.479745370372</v>
      </c>
      <c r="E36" s="10">
        <v>42789.489641203705</v>
      </c>
      <c r="F36" s="10">
        <v>42816</v>
      </c>
      <c r="G36" t="s">
        <v>8</v>
      </c>
      <c r="H36" t="s">
        <v>179</v>
      </c>
      <c r="I36" t="s">
        <v>180</v>
      </c>
      <c r="J36" s="11">
        <v>1</v>
      </c>
      <c r="K36" s="12">
        <v>20</v>
      </c>
      <c r="L36" s="12">
        <v>10.96</v>
      </c>
      <c r="M36" s="13">
        <v>5</v>
      </c>
      <c r="N36" s="13">
        <f t="shared" si="0"/>
        <v>9.7243865740747424</v>
      </c>
      <c r="O36" s="13">
        <f t="shared" si="1"/>
        <v>0</v>
      </c>
      <c r="P36" t="str">
        <f t="shared" si="2"/>
        <v>On Time</v>
      </c>
      <c r="Q36" s="13">
        <f t="shared" si="3"/>
        <v>32.386388888815418</v>
      </c>
      <c r="R36" s="13">
        <f t="shared" si="4"/>
        <v>5.365057870374585</v>
      </c>
      <c r="S36" s="13">
        <f t="shared" si="5"/>
        <v>3.0098958333328483</v>
      </c>
      <c r="T36" t="str">
        <f t="shared" si="6"/>
        <v>On Time/Early</v>
      </c>
      <c r="U36" t="str">
        <f t="shared" si="7"/>
        <v>Normal</v>
      </c>
      <c r="V36" t="s">
        <v>102</v>
      </c>
    </row>
    <row r="37" spans="1:22">
      <c r="A37" t="s">
        <v>181</v>
      </c>
      <c r="B37" s="10">
        <v>42781.398692129631</v>
      </c>
      <c r="C37" s="10">
        <v>42781.406412037039</v>
      </c>
      <c r="D37" s="10">
        <v>42781.596192129633</v>
      </c>
      <c r="E37" s="10">
        <v>42790.436793981484</v>
      </c>
      <c r="F37" s="10">
        <v>42810</v>
      </c>
      <c r="G37" t="s">
        <v>8</v>
      </c>
      <c r="H37" t="s">
        <v>182</v>
      </c>
      <c r="I37" t="s">
        <v>101</v>
      </c>
      <c r="J37" s="11">
        <v>1</v>
      </c>
      <c r="K37" s="12">
        <v>89.99</v>
      </c>
      <c r="L37" s="12">
        <v>17.37</v>
      </c>
      <c r="M37" s="13">
        <v>4</v>
      </c>
      <c r="N37" s="13">
        <f t="shared" si="0"/>
        <v>9.0381018518528435</v>
      </c>
      <c r="O37" s="13">
        <f t="shared" si="1"/>
        <v>0</v>
      </c>
      <c r="P37" t="str">
        <f t="shared" si="2"/>
        <v>On Time</v>
      </c>
      <c r="Q37" s="13">
        <f t="shared" si="3"/>
        <v>0.18527777778217569</v>
      </c>
      <c r="R37" s="13">
        <f t="shared" si="4"/>
        <v>0.18978009259444661</v>
      </c>
      <c r="S37" s="13">
        <f t="shared" si="5"/>
        <v>8.8406018518508063</v>
      </c>
      <c r="T37" t="str">
        <f t="shared" si="6"/>
        <v>On Time/Early</v>
      </c>
      <c r="U37" t="str">
        <f t="shared" si="7"/>
        <v>Normal</v>
      </c>
      <c r="V37" t="s">
        <v>102</v>
      </c>
    </row>
    <row r="38" spans="1:22">
      <c r="A38" t="s">
        <v>183</v>
      </c>
      <c r="B38" s="10">
        <v>42781.868101851855</v>
      </c>
      <c r="C38" s="10">
        <v>42781.878634259258</v>
      </c>
      <c r="D38" s="10">
        <v>42783.550335648149</v>
      </c>
      <c r="E38" s="10">
        <v>42801.366435185184</v>
      </c>
      <c r="F38" s="10">
        <v>42810</v>
      </c>
      <c r="G38" t="s">
        <v>36</v>
      </c>
      <c r="H38" t="s">
        <v>184</v>
      </c>
      <c r="I38" t="s">
        <v>185</v>
      </c>
      <c r="J38" s="11">
        <v>1</v>
      </c>
      <c r="K38" s="12">
        <v>143.80000000000001</v>
      </c>
      <c r="L38" s="12">
        <v>24</v>
      </c>
      <c r="M38" s="13">
        <v>4</v>
      </c>
      <c r="N38" s="13">
        <f t="shared" si="0"/>
        <v>19.498333333329356</v>
      </c>
      <c r="O38" s="13">
        <f t="shared" si="1"/>
        <v>0</v>
      </c>
      <c r="P38" t="str">
        <f t="shared" si="2"/>
        <v>On Time</v>
      </c>
      <c r="Q38" s="13">
        <f t="shared" si="3"/>
        <v>0.25277777767041698</v>
      </c>
      <c r="R38" s="13">
        <f t="shared" si="4"/>
        <v>1.671701388891961</v>
      </c>
      <c r="S38" s="13">
        <f t="shared" si="5"/>
        <v>17.816099537034461</v>
      </c>
      <c r="T38" t="str">
        <f t="shared" si="6"/>
        <v>On Time/Early</v>
      </c>
      <c r="U38" t="str">
        <f t="shared" si="7"/>
        <v>Normal</v>
      </c>
      <c r="V38" t="s">
        <v>102</v>
      </c>
    </row>
    <row r="39" spans="1:22">
      <c r="A39" t="s">
        <v>186</v>
      </c>
      <c r="B39" s="10">
        <v>42782.495694444442</v>
      </c>
      <c r="C39" s="10">
        <v>42782.521805555552</v>
      </c>
      <c r="D39" s="10">
        <v>42783.602939814817</v>
      </c>
      <c r="E39" s="10">
        <v>42796.693842592591</v>
      </c>
      <c r="F39" s="10">
        <v>42814</v>
      </c>
      <c r="G39" t="s">
        <v>20</v>
      </c>
      <c r="H39" t="s">
        <v>187</v>
      </c>
      <c r="I39" t="s">
        <v>180</v>
      </c>
      <c r="J39" s="11">
        <v>2</v>
      </c>
      <c r="K39" s="12">
        <v>319.98</v>
      </c>
      <c r="L39" s="12">
        <v>42.4</v>
      </c>
      <c r="M39" s="13">
        <v>3</v>
      </c>
      <c r="N39" s="13">
        <f t="shared" si="0"/>
        <v>14.198148148148903</v>
      </c>
      <c r="O39" s="13">
        <f t="shared" si="1"/>
        <v>0</v>
      </c>
      <c r="P39" t="str">
        <f t="shared" si="2"/>
        <v>On Time</v>
      </c>
      <c r="Q39" s="13">
        <f t="shared" si="3"/>
        <v>0.62666666664881632</v>
      </c>
      <c r="R39" s="13">
        <f t="shared" si="4"/>
        <v>1.0811342592642177</v>
      </c>
      <c r="S39" s="13">
        <f t="shared" si="5"/>
        <v>13.090902777774318</v>
      </c>
      <c r="T39" t="str">
        <f t="shared" si="6"/>
        <v>On Time/Early</v>
      </c>
      <c r="U39" t="str">
        <f t="shared" si="7"/>
        <v>Normal</v>
      </c>
      <c r="V39" t="s">
        <v>102</v>
      </c>
    </row>
    <row r="40" spans="1:22">
      <c r="A40" t="s">
        <v>188</v>
      </c>
      <c r="B40" s="10">
        <v>42782.603043981479</v>
      </c>
      <c r="C40" s="10">
        <v>42782.613333333335</v>
      </c>
      <c r="D40" s="10">
        <v>42786.454108796293</v>
      </c>
      <c r="E40" s="10">
        <v>42795.395162037035</v>
      </c>
      <c r="F40" s="10">
        <v>42809</v>
      </c>
      <c r="G40" t="s">
        <v>8</v>
      </c>
      <c r="H40" t="s">
        <v>182</v>
      </c>
      <c r="I40" t="s">
        <v>180</v>
      </c>
      <c r="J40" s="11">
        <v>2</v>
      </c>
      <c r="K40" s="12">
        <v>49.98</v>
      </c>
      <c r="L40" s="12">
        <v>23.48</v>
      </c>
      <c r="M40" s="13">
        <v>5</v>
      </c>
      <c r="N40" s="13">
        <f t="shared" si="0"/>
        <v>12.792118055556784</v>
      </c>
      <c r="O40" s="13">
        <f t="shared" si="1"/>
        <v>0</v>
      </c>
      <c r="P40" t="str">
        <f t="shared" si="2"/>
        <v>On Time</v>
      </c>
      <c r="Q40" s="13">
        <f t="shared" si="3"/>
        <v>0.24694444454507902</v>
      </c>
      <c r="R40" s="13">
        <f t="shared" si="4"/>
        <v>3.8407754629588453</v>
      </c>
      <c r="S40" s="13">
        <f t="shared" si="5"/>
        <v>8.9410532407418941</v>
      </c>
      <c r="T40" t="str">
        <f t="shared" si="6"/>
        <v>On Time/Early</v>
      </c>
      <c r="U40" t="str">
        <f t="shared" si="7"/>
        <v>Normal</v>
      </c>
      <c r="V40" t="s">
        <v>102</v>
      </c>
    </row>
    <row r="41" spans="1:22">
      <c r="A41" t="s">
        <v>189</v>
      </c>
      <c r="B41" s="10">
        <v>42784.465162037035</v>
      </c>
      <c r="C41" s="10">
        <v>42784.474085648151</v>
      </c>
      <c r="D41" s="10">
        <v>42786.60597222222</v>
      </c>
      <c r="E41" s="10">
        <v>42796.60601851852</v>
      </c>
      <c r="F41" s="10">
        <v>42815</v>
      </c>
      <c r="G41" t="s">
        <v>20</v>
      </c>
      <c r="H41" t="s">
        <v>190</v>
      </c>
      <c r="I41" t="s">
        <v>180</v>
      </c>
      <c r="J41" s="11">
        <v>1</v>
      </c>
      <c r="K41" s="12">
        <v>85.99</v>
      </c>
      <c r="L41" s="12">
        <v>20.7</v>
      </c>
      <c r="M41" s="13">
        <v>5</v>
      </c>
      <c r="N41" s="13">
        <f t="shared" si="0"/>
        <v>12.140856481484661</v>
      </c>
      <c r="O41" s="13">
        <f t="shared" si="1"/>
        <v>0</v>
      </c>
      <c r="P41" t="str">
        <f t="shared" si="2"/>
        <v>On Time</v>
      </c>
      <c r="Q41" s="13">
        <f t="shared" si="3"/>
        <v>0.2141666667885147</v>
      </c>
      <c r="R41" s="13">
        <f t="shared" si="4"/>
        <v>2.1318865740686306</v>
      </c>
      <c r="S41" s="13">
        <f t="shared" si="5"/>
        <v>10.000046296299843</v>
      </c>
      <c r="T41" t="str">
        <f t="shared" si="6"/>
        <v>On Time/Early</v>
      </c>
      <c r="U41" t="str">
        <f t="shared" si="7"/>
        <v>Normal</v>
      </c>
      <c r="V41" t="s">
        <v>102</v>
      </c>
    </row>
    <row r="42" spans="1:22">
      <c r="A42" t="s">
        <v>191</v>
      </c>
      <c r="B42" s="10">
        <v>42784.516597222224</v>
      </c>
      <c r="C42" s="10">
        <v>42785.521956018521</v>
      </c>
      <c r="D42" s="10">
        <v>42788.608402777776</v>
      </c>
      <c r="E42" s="10">
        <v>42810.36859953704</v>
      </c>
      <c r="F42" s="10">
        <v>42830</v>
      </c>
      <c r="G42" t="s">
        <v>192</v>
      </c>
      <c r="H42" t="s">
        <v>193</v>
      </c>
      <c r="I42" t="s">
        <v>58</v>
      </c>
      <c r="J42" s="11">
        <v>1</v>
      </c>
      <c r="K42" s="12">
        <v>349.9</v>
      </c>
      <c r="L42" s="12">
        <v>28.71</v>
      </c>
      <c r="M42" s="13">
        <v>4</v>
      </c>
      <c r="N42" s="13">
        <f t="shared" si="0"/>
        <v>25.852002314815763</v>
      </c>
      <c r="O42" s="13">
        <f t="shared" si="1"/>
        <v>0</v>
      </c>
      <c r="P42" t="str">
        <f t="shared" si="2"/>
        <v>On Time</v>
      </c>
      <c r="Q42" s="13">
        <f t="shared" si="3"/>
        <v>24.128611111140344</v>
      </c>
      <c r="R42" s="13">
        <f t="shared" si="4"/>
        <v>3.0864467592546134</v>
      </c>
      <c r="S42" s="13">
        <f t="shared" si="5"/>
        <v>21.760196759263636</v>
      </c>
      <c r="T42" t="str">
        <f t="shared" si="6"/>
        <v>On Time/Early</v>
      </c>
      <c r="U42" t="str">
        <f t="shared" si="7"/>
        <v>Normal</v>
      </c>
      <c r="V42" t="s">
        <v>102</v>
      </c>
    </row>
    <row r="43" spans="1:22">
      <c r="A43" t="s">
        <v>194</v>
      </c>
      <c r="B43" s="10">
        <v>42784.608900462961</v>
      </c>
      <c r="C43" s="10">
        <v>42784.618194444447</v>
      </c>
      <c r="D43" s="10">
        <v>42787.547280092593</v>
      </c>
      <c r="E43" s="10">
        <v>42790.34306712963</v>
      </c>
      <c r="F43" s="10">
        <v>42816</v>
      </c>
      <c r="G43" t="s">
        <v>8</v>
      </c>
      <c r="H43" t="s">
        <v>195</v>
      </c>
      <c r="I43" t="s">
        <v>101</v>
      </c>
      <c r="J43" s="11">
        <v>1</v>
      </c>
      <c r="K43" s="12">
        <v>97.9</v>
      </c>
      <c r="L43" s="12">
        <v>13.27</v>
      </c>
      <c r="M43" s="13">
        <v>3</v>
      </c>
      <c r="N43" s="13">
        <f t="shared" si="0"/>
        <v>5.734166666668898</v>
      </c>
      <c r="O43" s="13">
        <f t="shared" si="1"/>
        <v>0</v>
      </c>
      <c r="P43" t="str">
        <f t="shared" si="2"/>
        <v>On Time</v>
      </c>
      <c r="Q43" s="13">
        <f t="shared" si="3"/>
        <v>0.22305555565981194</v>
      </c>
      <c r="R43" s="13">
        <f t="shared" si="4"/>
        <v>2.9290856481457013</v>
      </c>
      <c r="S43" s="13">
        <f t="shared" si="5"/>
        <v>2.7957870370373712</v>
      </c>
      <c r="T43" t="str">
        <f t="shared" si="6"/>
        <v>On Time/Early</v>
      </c>
      <c r="U43" t="str">
        <f t="shared" si="7"/>
        <v>Normal</v>
      </c>
      <c r="V43" t="s">
        <v>102</v>
      </c>
    </row>
    <row r="44" spans="1:22">
      <c r="A44" t="s">
        <v>196</v>
      </c>
      <c r="B44" s="10">
        <v>42784.726446759261</v>
      </c>
      <c r="C44" s="10">
        <v>42784.737905092596</v>
      </c>
      <c r="D44" s="10">
        <v>42786.597604166665</v>
      </c>
      <c r="E44" s="10">
        <v>42790.216516203705</v>
      </c>
      <c r="F44" s="10">
        <v>42815</v>
      </c>
      <c r="G44" t="s">
        <v>16</v>
      </c>
      <c r="H44" t="s">
        <v>138</v>
      </c>
      <c r="I44" t="s">
        <v>141</v>
      </c>
      <c r="J44" s="11">
        <v>1</v>
      </c>
      <c r="K44" s="12">
        <v>49</v>
      </c>
      <c r="L44" s="12">
        <v>18.63</v>
      </c>
      <c r="M44" s="13">
        <v>5</v>
      </c>
      <c r="N44" s="13">
        <f t="shared" si="0"/>
        <v>5.4900694444440887</v>
      </c>
      <c r="O44" s="13">
        <f t="shared" si="1"/>
        <v>0</v>
      </c>
      <c r="P44" t="str">
        <f t="shared" si="2"/>
        <v>On Time</v>
      </c>
      <c r="Q44" s="13">
        <f t="shared" si="3"/>
        <v>0.27500000002328306</v>
      </c>
      <c r="R44" s="13">
        <f t="shared" si="4"/>
        <v>1.8596990740697947</v>
      </c>
      <c r="S44" s="13">
        <f t="shared" si="5"/>
        <v>3.6189120370399905</v>
      </c>
      <c r="T44" t="str">
        <f t="shared" si="6"/>
        <v>On Time/Early</v>
      </c>
      <c r="U44" t="str">
        <f t="shared" si="7"/>
        <v>Normal</v>
      </c>
      <c r="V44" t="s">
        <v>102</v>
      </c>
    </row>
    <row r="45" spans="1:22">
      <c r="A45" t="s">
        <v>197</v>
      </c>
      <c r="B45" s="10">
        <v>42784.769976851851</v>
      </c>
      <c r="C45" s="10">
        <v>42784.77957175926</v>
      </c>
      <c r="D45" s="10">
        <v>42786.68917824074</v>
      </c>
      <c r="E45" s="10">
        <v>42788.406307870369</v>
      </c>
      <c r="F45" s="10">
        <v>42844</v>
      </c>
      <c r="G45" t="s">
        <v>36</v>
      </c>
      <c r="H45" t="s">
        <v>198</v>
      </c>
      <c r="I45" t="s">
        <v>128</v>
      </c>
      <c r="J45" s="11">
        <v>1</v>
      </c>
      <c r="K45" s="12">
        <v>459</v>
      </c>
      <c r="L45" s="12">
        <v>17.38</v>
      </c>
      <c r="M45" s="13">
        <v>5</v>
      </c>
      <c r="N45" s="13">
        <f t="shared" si="0"/>
        <v>3.6363310185188311</v>
      </c>
      <c r="O45" s="13">
        <f t="shared" si="1"/>
        <v>0</v>
      </c>
      <c r="P45" t="str">
        <f t="shared" si="2"/>
        <v>On Time</v>
      </c>
      <c r="Q45" s="13">
        <f t="shared" si="3"/>
        <v>0.23027777782408521</v>
      </c>
      <c r="R45" s="13">
        <f t="shared" si="4"/>
        <v>1.9096064814802958</v>
      </c>
      <c r="S45" s="13">
        <f t="shared" si="5"/>
        <v>1.7171296296291985</v>
      </c>
      <c r="T45" t="str">
        <f t="shared" si="6"/>
        <v>On Time/Early</v>
      </c>
      <c r="U45" t="str">
        <f t="shared" si="7"/>
        <v>Normal</v>
      </c>
      <c r="V45" t="s">
        <v>102</v>
      </c>
    </row>
    <row r="46" spans="1:22">
      <c r="A46" t="s">
        <v>199</v>
      </c>
      <c r="B46" s="10">
        <v>42785.460914351854</v>
      </c>
      <c r="C46" s="10">
        <v>42785.468854166669</v>
      </c>
      <c r="D46" s="10">
        <v>42787.626550925925</v>
      </c>
      <c r="E46" s="10">
        <v>42800.512453703705</v>
      </c>
      <c r="F46" s="10">
        <v>42821</v>
      </c>
      <c r="G46" t="s">
        <v>30</v>
      </c>
      <c r="H46" t="s">
        <v>200</v>
      </c>
      <c r="I46" t="s">
        <v>58</v>
      </c>
      <c r="J46" s="11">
        <v>1</v>
      </c>
      <c r="K46" s="12">
        <v>15.75</v>
      </c>
      <c r="L46" s="12">
        <v>16.05</v>
      </c>
      <c r="M46" s="13">
        <v>1</v>
      </c>
      <c r="N46" s="13">
        <f t="shared" si="0"/>
        <v>15.051539351850806</v>
      </c>
      <c r="O46" s="13">
        <f t="shared" si="1"/>
        <v>0</v>
      </c>
      <c r="P46" t="str">
        <f t="shared" si="2"/>
        <v>On Time</v>
      </c>
      <c r="Q46" s="13">
        <f t="shared" si="3"/>
        <v>0.1905555555713363</v>
      </c>
      <c r="R46" s="13">
        <f t="shared" si="4"/>
        <v>2.1576967592554865</v>
      </c>
      <c r="S46" s="13">
        <f t="shared" si="5"/>
        <v>12.885902777779847</v>
      </c>
      <c r="T46" t="str">
        <f t="shared" si="6"/>
        <v>On Time/Early</v>
      </c>
      <c r="U46" t="str">
        <f t="shared" si="7"/>
        <v>Normal</v>
      </c>
      <c r="V46" t="s">
        <v>102</v>
      </c>
    </row>
    <row r="47" spans="1:22">
      <c r="A47" t="s">
        <v>201</v>
      </c>
      <c r="B47" s="10">
        <v>42785.507997685185</v>
      </c>
      <c r="C47" s="10">
        <v>42785.522094907406</v>
      </c>
      <c r="D47" s="10">
        <v>42787.547280092593</v>
      </c>
      <c r="E47" s="10">
        <v>42790.711655092593</v>
      </c>
      <c r="F47" s="10">
        <v>42829</v>
      </c>
      <c r="G47" t="s">
        <v>8</v>
      </c>
      <c r="H47" t="s">
        <v>202</v>
      </c>
      <c r="I47" t="s">
        <v>101</v>
      </c>
      <c r="J47" s="11">
        <v>1</v>
      </c>
      <c r="K47" s="12">
        <v>39.9</v>
      </c>
      <c r="L47" s="12">
        <v>11.74</v>
      </c>
      <c r="M47" s="13">
        <v>5</v>
      </c>
      <c r="N47" s="13">
        <f t="shared" si="0"/>
        <v>5.2036574074081727</v>
      </c>
      <c r="O47" s="13">
        <f t="shared" si="1"/>
        <v>0</v>
      </c>
      <c r="P47" t="str">
        <f t="shared" si="2"/>
        <v>On Time</v>
      </c>
      <c r="Q47" s="13">
        <f t="shared" si="3"/>
        <v>0.33833333331858739</v>
      </c>
      <c r="R47" s="13">
        <f t="shared" si="4"/>
        <v>2.0251851851862739</v>
      </c>
      <c r="S47" s="13">
        <f t="shared" si="5"/>
        <v>3.164375000000291</v>
      </c>
      <c r="T47" t="str">
        <f t="shared" si="6"/>
        <v>On Time/Early</v>
      </c>
      <c r="U47" t="str">
        <f t="shared" si="7"/>
        <v>Normal</v>
      </c>
      <c r="V47" t="s">
        <v>102</v>
      </c>
    </row>
    <row r="48" spans="1:22">
      <c r="A48" t="s">
        <v>203</v>
      </c>
      <c r="B48" s="10">
        <v>42786.572141203702</v>
      </c>
      <c r="C48" s="10">
        <v>42786.576643518521</v>
      </c>
      <c r="D48" s="10">
        <v>42788.535856481481</v>
      </c>
      <c r="E48" s="10">
        <v>42790.465127314812</v>
      </c>
      <c r="F48" s="10">
        <v>42811</v>
      </c>
      <c r="G48" t="s">
        <v>8</v>
      </c>
      <c r="H48" t="s">
        <v>204</v>
      </c>
      <c r="I48" t="s">
        <v>136</v>
      </c>
      <c r="J48" s="11">
        <v>1</v>
      </c>
      <c r="K48" s="12">
        <v>82.99</v>
      </c>
      <c r="L48" s="12">
        <v>11.16</v>
      </c>
      <c r="M48" s="13">
        <v>5</v>
      </c>
      <c r="N48" s="13">
        <f t="shared" si="0"/>
        <v>3.8929861111100763</v>
      </c>
      <c r="O48" s="13">
        <f t="shared" si="1"/>
        <v>0</v>
      </c>
      <c r="P48" t="str">
        <f t="shared" si="2"/>
        <v>On Time</v>
      </c>
      <c r="Q48" s="13">
        <f t="shared" si="3"/>
        <v>0.10805555566912517</v>
      </c>
      <c r="R48" s="13">
        <f t="shared" si="4"/>
        <v>1.9592129629600095</v>
      </c>
      <c r="S48" s="13">
        <f t="shared" si="5"/>
        <v>1.92927083333052</v>
      </c>
      <c r="T48" t="str">
        <f t="shared" si="6"/>
        <v>On Time/Early</v>
      </c>
      <c r="U48" t="str">
        <f t="shared" si="7"/>
        <v>Normal</v>
      </c>
      <c r="V48" t="s">
        <v>102</v>
      </c>
    </row>
    <row r="49" spans="1:22">
      <c r="A49" t="s">
        <v>205</v>
      </c>
      <c r="B49" s="10">
        <v>42788.992847222224</v>
      </c>
      <c r="C49" s="10">
        <v>42789.043414351851</v>
      </c>
      <c r="D49" s="10">
        <v>42802.594363425924</v>
      </c>
      <c r="E49" s="10">
        <v>42809.548368055555</v>
      </c>
      <c r="F49" s="10">
        <v>42832</v>
      </c>
      <c r="G49" t="s">
        <v>206</v>
      </c>
      <c r="H49" t="s">
        <v>207</v>
      </c>
      <c r="I49" t="s">
        <v>101</v>
      </c>
      <c r="J49" s="11">
        <v>1</v>
      </c>
      <c r="K49" s="12">
        <v>178.5</v>
      </c>
      <c r="L49" s="12">
        <v>18.25</v>
      </c>
      <c r="M49" s="13">
        <v>1</v>
      </c>
      <c r="N49" s="13">
        <f t="shared" si="0"/>
        <v>20.555520833331684</v>
      </c>
      <c r="O49" s="13">
        <f t="shared" si="1"/>
        <v>0</v>
      </c>
      <c r="P49" t="str">
        <f t="shared" si="2"/>
        <v>On Time</v>
      </c>
      <c r="Q49" s="13">
        <f t="shared" si="3"/>
        <v>1.2136111110448837</v>
      </c>
      <c r="R49" s="13">
        <f t="shared" si="4"/>
        <v>13.550949074073287</v>
      </c>
      <c r="S49" s="13">
        <f t="shared" si="5"/>
        <v>6.9540046296315268</v>
      </c>
      <c r="T49" t="str">
        <f t="shared" si="6"/>
        <v>On Time/Early</v>
      </c>
      <c r="U49" t="str">
        <f t="shared" si="7"/>
        <v>Normal</v>
      </c>
      <c r="V49" t="s">
        <v>102</v>
      </c>
    </row>
    <row r="50" spans="1:22">
      <c r="A50" t="s">
        <v>208</v>
      </c>
      <c r="B50" s="10">
        <v>42789.322951388887</v>
      </c>
      <c r="C50" s="10">
        <v>42790.118333333332</v>
      </c>
      <c r="D50" s="10">
        <v>42790.461238425924</v>
      </c>
      <c r="E50" s="10">
        <v>42801.596087962964</v>
      </c>
      <c r="F50" s="10">
        <v>42816</v>
      </c>
      <c r="G50" t="s">
        <v>8</v>
      </c>
      <c r="H50" t="s">
        <v>209</v>
      </c>
      <c r="I50" t="s">
        <v>136</v>
      </c>
      <c r="J50" s="11">
        <v>1</v>
      </c>
      <c r="K50" s="12">
        <v>61.8</v>
      </c>
      <c r="L50" s="12">
        <v>11.04</v>
      </c>
      <c r="M50" s="13">
        <v>5</v>
      </c>
      <c r="N50" s="13">
        <f t="shared" si="0"/>
        <v>12.273136574076489</v>
      </c>
      <c r="O50" s="13">
        <f t="shared" si="1"/>
        <v>0</v>
      </c>
      <c r="P50" t="str">
        <f t="shared" si="2"/>
        <v>On Time</v>
      </c>
      <c r="Q50" s="13">
        <f t="shared" si="3"/>
        <v>19.089166666672099</v>
      </c>
      <c r="R50" s="13">
        <f t="shared" si="4"/>
        <v>0.34290509259153623</v>
      </c>
      <c r="S50" s="13">
        <f t="shared" si="5"/>
        <v>11.134849537040282</v>
      </c>
      <c r="T50" t="str">
        <f t="shared" si="6"/>
        <v>On Time/Early</v>
      </c>
      <c r="U50" t="str">
        <f t="shared" si="7"/>
        <v>Normal</v>
      </c>
      <c r="V50" t="s">
        <v>102</v>
      </c>
    </row>
    <row r="51" spans="1:22">
      <c r="A51" t="s">
        <v>210</v>
      </c>
      <c r="B51" s="10">
        <v>42789.515775462962</v>
      </c>
      <c r="C51" s="10">
        <v>42790.114861111113</v>
      </c>
      <c r="D51" s="10">
        <v>42790.611157407409</v>
      </c>
      <c r="E51" s="10">
        <v>42797.662569444445</v>
      </c>
      <c r="F51" s="10">
        <v>42816</v>
      </c>
      <c r="G51" t="s">
        <v>8</v>
      </c>
      <c r="H51" t="s">
        <v>140</v>
      </c>
      <c r="I51" t="s">
        <v>128</v>
      </c>
      <c r="J51" s="11">
        <v>1</v>
      </c>
      <c r="K51" s="12">
        <v>126.99</v>
      </c>
      <c r="L51" s="12">
        <v>14.67</v>
      </c>
      <c r="M51" s="13">
        <v>5</v>
      </c>
      <c r="N51" s="13">
        <f t="shared" si="0"/>
        <v>8.1467939814829151</v>
      </c>
      <c r="O51" s="13">
        <f t="shared" si="1"/>
        <v>0</v>
      </c>
      <c r="P51" t="str">
        <f t="shared" si="2"/>
        <v>On Time</v>
      </c>
      <c r="Q51" s="13">
        <f t="shared" si="3"/>
        <v>14.378055555629544</v>
      </c>
      <c r="R51" s="13">
        <f t="shared" si="4"/>
        <v>0.49629629629635019</v>
      </c>
      <c r="S51" s="13">
        <f t="shared" si="5"/>
        <v>7.0514120370353339</v>
      </c>
      <c r="T51" t="str">
        <f t="shared" si="6"/>
        <v>On Time/Early</v>
      </c>
      <c r="U51" t="str">
        <f t="shared" si="7"/>
        <v>Normal</v>
      </c>
      <c r="V51" t="s">
        <v>102</v>
      </c>
    </row>
    <row r="52" spans="1:22">
      <c r="A52" t="s">
        <v>211</v>
      </c>
      <c r="B52" s="10">
        <v>42789.647453703707</v>
      </c>
      <c r="C52" s="10">
        <v>42789.913391203707</v>
      </c>
      <c r="D52" s="10">
        <v>42796.598726851851</v>
      </c>
      <c r="E52" s="10">
        <v>42800.730405092596</v>
      </c>
      <c r="F52" s="10">
        <v>42815</v>
      </c>
      <c r="G52" t="s">
        <v>8</v>
      </c>
      <c r="H52" t="s">
        <v>212</v>
      </c>
      <c r="I52" t="s">
        <v>180</v>
      </c>
      <c r="J52" s="11">
        <v>3</v>
      </c>
      <c r="K52" s="12">
        <v>209.7</v>
      </c>
      <c r="L52" s="12">
        <v>164.97</v>
      </c>
      <c r="M52" s="13">
        <v>5</v>
      </c>
      <c r="N52" s="13">
        <f t="shared" si="0"/>
        <v>11.082951388889342</v>
      </c>
      <c r="O52" s="13">
        <f t="shared" si="1"/>
        <v>0</v>
      </c>
      <c r="P52" t="str">
        <f t="shared" si="2"/>
        <v>On Time</v>
      </c>
      <c r="Q52" s="13">
        <f t="shared" si="3"/>
        <v>6.3825000000069849</v>
      </c>
      <c r="R52" s="13">
        <f t="shared" si="4"/>
        <v>6.6853356481442461</v>
      </c>
      <c r="S52" s="13">
        <f t="shared" si="5"/>
        <v>4.1316782407448045</v>
      </c>
      <c r="T52" t="str">
        <f t="shared" si="6"/>
        <v>On Time/Early</v>
      </c>
      <c r="U52" t="str">
        <f t="shared" si="7"/>
        <v>Normal</v>
      </c>
      <c r="V52" t="s">
        <v>102</v>
      </c>
    </row>
    <row r="53" spans="1:22">
      <c r="A53" t="s">
        <v>213</v>
      </c>
      <c r="B53" s="10">
        <v>42790.384594907409</v>
      </c>
      <c r="C53" s="10">
        <v>42790.390555555554</v>
      </c>
      <c r="D53" s="10">
        <v>42795.468622685185</v>
      </c>
      <c r="E53" s="10">
        <v>42797.467835648145</v>
      </c>
      <c r="F53" s="10">
        <v>42811</v>
      </c>
      <c r="G53" t="s">
        <v>8</v>
      </c>
      <c r="H53" t="s">
        <v>214</v>
      </c>
      <c r="I53" t="s">
        <v>120</v>
      </c>
      <c r="J53" s="11">
        <v>1</v>
      </c>
      <c r="K53" s="12">
        <v>26.9</v>
      </c>
      <c r="L53" s="12">
        <v>11.74</v>
      </c>
      <c r="M53" s="13">
        <v>4</v>
      </c>
      <c r="N53" s="13">
        <f t="shared" si="0"/>
        <v>7.0832407407360733</v>
      </c>
      <c r="O53" s="13">
        <f t="shared" si="1"/>
        <v>0</v>
      </c>
      <c r="P53" t="str">
        <f t="shared" si="2"/>
        <v>On Time</v>
      </c>
      <c r="Q53" s="13">
        <f t="shared" si="3"/>
        <v>0.14305555546889082</v>
      </c>
      <c r="R53" s="13">
        <f t="shared" si="4"/>
        <v>5.0780671296306537</v>
      </c>
      <c r="S53" s="13">
        <f t="shared" si="5"/>
        <v>1.9992129629608826</v>
      </c>
      <c r="T53" t="str">
        <f t="shared" si="6"/>
        <v>On Time/Early</v>
      </c>
      <c r="U53" t="str">
        <f t="shared" si="7"/>
        <v>Normal</v>
      </c>
      <c r="V53" t="s">
        <v>102</v>
      </c>
    </row>
    <row r="54" spans="1:22">
      <c r="A54" t="s">
        <v>215</v>
      </c>
      <c r="B54" s="10">
        <v>42791.496828703705</v>
      </c>
      <c r="C54" s="10">
        <v>42796.160150462965</v>
      </c>
      <c r="D54" s="10">
        <v>42800.588171296295</v>
      </c>
      <c r="E54" s="10">
        <v>42802.383460648147</v>
      </c>
      <c r="F54" s="10">
        <v>42815</v>
      </c>
      <c r="G54" t="s">
        <v>36</v>
      </c>
      <c r="H54" t="s">
        <v>216</v>
      </c>
      <c r="I54" t="s">
        <v>123</v>
      </c>
      <c r="J54" s="11">
        <v>1</v>
      </c>
      <c r="K54" s="12">
        <v>99.9</v>
      </c>
      <c r="L54" s="12">
        <v>14.47</v>
      </c>
      <c r="M54" s="13">
        <v>4</v>
      </c>
      <c r="N54" s="13">
        <f t="shared" si="0"/>
        <v>10.886631944442343</v>
      </c>
      <c r="O54" s="13">
        <f t="shared" si="1"/>
        <v>0</v>
      </c>
      <c r="P54" t="str">
        <f t="shared" si="2"/>
        <v>On Time</v>
      </c>
      <c r="Q54" s="13">
        <f t="shared" si="3"/>
        <v>111.91972222225741</v>
      </c>
      <c r="R54" s="13">
        <f t="shared" si="4"/>
        <v>4.4280208333293558</v>
      </c>
      <c r="S54" s="13">
        <f t="shared" si="5"/>
        <v>1.7952893518522615</v>
      </c>
      <c r="T54" t="str">
        <f t="shared" si="6"/>
        <v>On Time/Early</v>
      </c>
      <c r="U54" t="str">
        <f t="shared" si="7"/>
        <v>Normal</v>
      </c>
      <c r="V54" t="s">
        <v>102</v>
      </c>
    </row>
    <row r="55" spans="1:22">
      <c r="A55" t="s">
        <v>217</v>
      </c>
      <c r="B55" s="10">
        <v>42791.80641203704</v>
      </c>
      <c r="C55" s="10">
        <v>42791.812638888892</v>
      </c>
      <c r="D55" s="10">
        <v>42797.649467592593</v>
      </c>
      <c r="E55" s="10">
        <v>42811.494571759256</v>
      </c>
      <c r="F55" s="10">
        <v>42828</v>
      </c>
      <c r="G55" t="s">
        <v>218</v>
      </c>
      <c r="H55" t="s">
        <v>219</v>
      </c>
      <c r="I55" t="s">
        <v>101</v>
      </c>
      <c r="J55" s="11">
        <v>1</v>
      </c>
      <c r="K55" s="12">
        <v>95.81</v>
      </c>
      <c r="L55" s="12">
        <v>25.16</v>
      </c>
      <c r="M55" s="13">
        <v>5</v>
      </c>
      <c r="N55" s="13">
        <f t="shared" si="0"/>
        <v>19.688159722216369</v>
      </c>
      <c r="O55" s="13">
        <f t="shared" si="1"/>
        <v>0</v>
      </c>
      <c r="P55" t="str">
        <f t="shared" si="2"/>
        <v>On Time</v>
      </c>
      <c r="Q55" s="13">
        <f t="shared" si="3"/>
        <v>0.14944444445427507</v>
      </c>
      <c r="R55" s="13">
        <f t="shared" si="4"/>
        <v>5.8368287037010305</v>
      </c>
      <c r="S55" s="13">
        <f t="shared" si="5"/>
        <v>13.845104166663077</v>
      </c>
      <c r="T55" t="str">
        <f t="shared" si="6"/>
        <v>On Time/Early</v>
      </c>
      <c r="U55" t="str">
        <f t="shared" si="7"/>
        <v>Normal</v>
      </c>
      <c r="V55" t="s">
        <v>102</v>
      </c>
    </row>
    <row r="56" spans="1:22">
      <c r="A56" t="s">
        <v>220</v>
      </c>
      <c r="B56" s="10">
        <v>42792.473043981481</v>
      </c>
      <c r="C56" s="10">
        <v>42792.479363425926</v>
      </c>
      <c r="D56" s="10">
        <v>42795.462534722225</v>
      </c>
      <c r="E56" s="10">
        <v>42797.4841087963</v>
      </c>
      <c r="F56" s="10">
        <v>42814</v>
      </c>
      <c r="G56" t="s">
        <v>8</v>
      </c>
      <c r="H56" t="s">
        <v>140</v>
      </c>
      <c r="I56" t="s">
        <v>221</v>
      </c>
      <c r="J56" s="11">
        <v>1</v>
      </c>
      <c r="K56" s="12">
        <v>249.99</v>
      </c>
      <c r="L56" s="12">
        <v>12.36</v>
      </c>
      <c r="M56" s="13">
        <v>5</v>
      </c>
      <c r="N56" s="13">
        <f t="shared" si="0"/>
        <v>5.0110648148183827</v>
      </c>
      <c r="O56" s="13">
        <f t="shared" si="1"/>
        <v>0</v>
      </c>
      <c r="P56" t="str">
        <f t="shared" si="2"/>
        <v>On Time</v>
      </c>
      <c r="Q56" s="13">
        <f t="shared" si="3"/>
        <v>0.15166666667209938</v>
      </c>
      <c r="R56" s="13">
        <f t="shared" si="4"/>
        <v>2.9831712962986785</v>
      </c>
      <c r="S56" s="13">
        <f t="shared" si="5"/>
        <v>2.0215740740750334</v>
      </c>
      <c r="T56" t="str">
        <f t="shared" si="6"/>
        <v>On Time/Early</v>
      </c>
      <c r="U56" t="str">
        <f t="shared" si="7"/>
        <v>Normal</v>
      </c>
      <c r="V56" t="s">
        <v>102</v>
      </c>
    </row>
    <row r="57" spans="1:22">
      <c r="A57" t="s">
        <v>222</v>
      </c>
      <c r="B57" s="10">
        <v>42792.655046296299</v>
      </c>
      <c r="C57" s="10">
        <v>42792.663391203707</v>
      </c>
      <c r="D57" s="10">
        <v>42795.579756944448</v>
      </c>
      <c r="E57" s="10">
        <v>42800.356793981482</v>
      </c>
      <c r="F57" s="10">
        <v>42814</v>
      </c>
      <c r="G57" t="s">
        <v>8</v>
      </c>
      <c r="H57" t="s">
        <v>195</v>
      </c>
      <c r="I57" t="s">
        <v>101</v>
      </c>
      <c r="J57" s="11">
        <v>1</v>
      </c>
      <c r="K57" s="12">
        <v>39.99</v>
      </c>
      <c r="L57" s="12">
        <v>11.74</v>
      </c>
      <c r="M57" s="13">
        <v>4</v>
      </c>
      <c r="N57" s="13">
        <f t="shared" si="0"/>
        <v>7.7017476851833635</v>
      </c>
      <c r="O57" s="13">
        <f t="shared" si="1"/>
        <v>0</v>
      </c>
      <c r="P57" t="str">
        <f t="shared" si="2"/>
        <v>On Time</v>
      </c>
      <c r="Q57" s="13">
        <f t="shared" si="3"/>
        <v>0.20027777779614553</v>
      </c>
      <c r="R57" s="13">
        <f t="shared" si="4"/>
        <v>2.91636574074073</v>
      </c>
      <c r="S57" s="13">
        <f t="shared" si="5"/>
        <v>4.7770370370344608</v>
      </c>
      <c r="T57" t="str">
        <f t="shared" si="6"/>
        <v>On Time/Early</v>
      </c>
      <c r="U57" t="str">
        <f t="shared" si="7"/>
        <v>Normal</v>
      </c>
      <c r="V57" t="s">
        <v>102</v>
      </c>
    </row>
    <row r="58" spans="1:22">
      <c r="A58" t="s">
        <v>223</v>
      </c>
      <c r="B58" s="10">
        <v>42792.936574074076</v>
      </c>
      <c r="C58" s="10">
        <v>42792.945868055554</v>
      </c>
      <c r="D58" s="10">
        <v>42796.567488425928</v>
      </c>
      <c r="E58" s="10">
        <v>42800.598807870374</v>
      </c>
      <c r="F58" s="10">
        <v>42814</v>
      </c>
      <c r="G58" t="s">
        <v>8</v>
      </c>
      <c r="H58" t="s">
        <v>140</v>
      </c>
      <c r="I58" t="s">
        <v>101</v>
      </c>
      <c r="J58" s="11">
        <v>2</v>
      </c>
      <c r="K58" s="12">
        <v>119.8</v>
      </c>
      <c r="L58" s="12">
        <v>18.82</v>
      </c>
      <c r="M58" s="13">
        <v>5</v>
      </c>
      <c r="N58" s="13">
        <f t="shared" si="0"/>
        <v>7.6622337962980964</v>
      </c>
      <c r="O58" s="13">
        <f t="shared" si="1"/>
        <v>0</v>
      </c>
      <c r="P58" t="str">
        <f t="shared" si="2"/>
        <v>On Time</v>
      </c>
      <c r="Q58" s="13">
        <f t="shared" si="3"/>
        <v>0.22305555548518896</v>
      </c>
      <c r="R58" s="13">
        <f t="shared" si="4"/>
        <v>3.6216203703734209</v>
      </c>
      <c r="S58" s="13">
        <f t="shared" si="5"/>
        <v>4.031319444446126</v>
      </c>
      <c r="T58" t="str">
        <f t="shared" si="6"/>
        <v>On Time/Early</v>
      </c>
      <c r="U58" t="str">
        <f t="shared" si="7"/>
        <v>Normal</v>
      </c>
      <c r="V58" t="s">
        <v>102</v>
      </c>
    </row>
    <row r="59" spans="1:22">
      <c r="A59" t="s">
        <v>224</v>
      </c>
      <c r="B59" s="10">
        <v>42795.559074074074</v>
      </c>
      <c r="C59" s="10">
        <v>42795.566122685188</v>
      </c>
      <c r="D59" s="10">
        <v>42795.675057870372</v>
      </c>
      <c r="E59" s="10">
        <v>42801.442870370367</v>
      </c>
      <c r="F59" s="10">
        <v>42815</v>
      </c>
      <c r="G59" t="s">
        <v>8</v>
      </c>
      <c r="H59" t="s">
        <v>225</v>
      </c>
      <c r="I59" t="s">
        <v>180</v>
      </c>
      <c r="J59" s="11">
        <v>1</v>
      </c>
      <c r="K59" s="12">
        <v>89.9</v>
      </c>
      <c r="L59" s="12">
        <v>11.24</v>
      </c>
      <c r="M59" s="13">
        <v>5</v>
      </c>
      <c r="N59" s="13">
        <f t="shared" si="0"/>
        <v>5.8837962962934398</v>
      </c>
      <c r="O59" s="13">
        <f t="shared" si="1"/>
        <v>0</v>
      </c>
      <c r="P59" t="str">
        <f t="shared" si="2"/>
        <v>On Time</v>
      </c>
      <c r="Q59" s="13">
        <f t="shared" si="3"/>
        <v>0.16916666674660519</v>
      </c>
      <c r="R59" s="13">
        <f t="shared" si="4"/>
        <v>0.10893518518423662</v>
      </c>
      <c r="S59" s="13">
        <f t="shared" si="5"/>
        <v>5.7678124999947613</v>
      </c>
      <c r="T59" t="str">
        <f t="shared" si="6"/>
        <v>On Time/Early</v>
      </c>
      <c r="U59" t="str">
        <f t="shared" si="7"/>
        <v>Normal</v>
      </c>
      <c r="V59" t="s">
        <v>102</v>
      </c>
    </row>
    <row r="60" spans="1:22">
      <c r="A60" t="s">
        <v>226</v>
      </c>
      <c r="B60" s="10">
        <v>42795.604895833334</v>
      </c>
      <c r="C60" s="10">
        <v>42796.16920138889</v>
      </c>
      <c r="D60" s="10">
        <v>42796.392129629632</v>
      </c>
      <c r="E60" s="10">
        <v>42804.427800925929</v>
      </c>
      <c r="F60" s="10">
        <v>42830</v>
      </c>
      <c r="G60" t="s">
        <v>8</v>
      </c>
      <c r="H60" t="s">
        <v>227</v>
      </c>
      <c r="I60" t="s">
        <v>228</v>
      </c>
      <c r="J60" s="11">
        <v>1</v>
      </c>
      <c r="K60" s="12">
        <v>119</v>
      </c>
      <c r="L60" s="12">
        <v>20.91</v>
      </c>
      <c r="M60" s="13">
        <v>5</v>
      </c>
      <c r="N60" s="13">
        <f t="shared" si="0"/>
        <v>8.8229050925947377</v>
      </c>
      <c r="O60" s="13">
        <f t="shared" si="1"/>
        <v>0</v>
      </c>
      <c r="P60" t="str">
        <f t="shared" si="2"/>
        <v>On Time</v>
      </c>
      <c r="Q60" s="13">
        <f t="shared" si="3"/>
        <v>13.543333333334886</v>
      </c>
      <c r="R60" s="13">
        <f t="shared" si="4"/>
        <v>0.22292824074247619</v>
      </c>
      <c r="S60" s="13">
        <f t="shared" si="5"/>
        <v>8.0356712962966412</v>
      </c>
      <c r="T60" t="str">
        <f t="shared" si="6"/>
        <v>On Time/Early</v>
      </c>
      <c r="U60" t="str">
        <f t="shared" si="7"/>
        <v>Normal</v>
      </c>
      <c r="V60" t="s">
        <v>102</v>
      </c>
    </row>
    <row r="61" spans="1:22">
      <c r="A61" t="s">
        <v>229</v>
      </c>
      <c r="B61" s="10">
        <v>42795.90662037037</v>
      </c>
      <c r="C61" s="10">
        <v>42795.913402777776</v>
      </c>
      <c r="D61" s="10">
        <v>42796.337106481478</v>
      </c>
      <c r="E61" s="10">
        <v>42807.359733796293</v>
      </c>
      <c r="F61" s="10">
        <v>42824</v>
      </c>
      <c r="G61" t="s">
        <v>8</v>
      </c>
      <c r="H61" t="s">
        <v>140</v>
      </c>
      <c r="I61" t="s">
        <v>136</v>
      </c>
      <c r="J61" s="11">
        <v>2</v>
      </c>
      <c r="K61" s="12">
        <v>236</v>
      </c>
      <c r="L61" s="12">
        <v>42.56</v>
      </c>
      <c r="M61" s="13">
        <v>4</v>
      </c>
      <c r="N61" s="13">
        <f t="shared" si="0"/>
        <v>11.45311342592322</v>
      </c>
      <c r="O61" s="13">
        <f t="shared" si="1"/>
        <v>0</v>
      </c>
      <c r="P61" t="str">
        <f t="shared" si="2"/>
        <v>On Time</v>
      </c>
      <c r="Q61" s="13">
        <f t="shared" si="3"/>
        <v>0.16277777776122093</v>
      </c>
      <c r="R61" s="13">
        <f t="shared" si="4"/>
        <v>0.42370370370190358</v>
      </c>
      <c r="S61" s="13">
        <f t="shared" si="5"/>
        <v>11.022627314814599</v>
      </c>
      <c r="T61" t="str">
        <f t="shared" si="6"/>
        <v>On Time/Early</v>
      </c>
      <c r="U61" t="str">
        <f t="shared" si="7"/>
        <v>Normal</v>
      </c>
      <c r="V61" t="s">
        <v>102</v>
      </c>
    </row>
    <row r="62" spans="1:22">
      <c r="A62" t="s">
        <v>230</v>
      </c>
      <c r="B62" s="10">
        <v>42798.644907407404</v>
      </c>
      <c r="C62" s="10">
        <v>42798.655150462961</v>
      </c>
      <c r="D62" s="10">
        <v>42818.713993055557</v>
      </c>
      <c r="E62" s="10">
        <v>42830.524016203701</v>
      </c>
      <c r="F62" s="10">
        <v>42823</v>
      </c>
      <c r="G62" t="s">
        <v>20</v>
      </c>
      <c r="H62" t="s">
        <v>231</v>
      </c>
      <c r="I62" t="s">
        <v>31</v>
      </c>
      <c r="J62" s="11">
        <v>1</v>
      </c>
      <c r="K62" s="12">
        <v>55</v>
      </c>
      <c r="L62" s="12">
        <v>14.75</v>
      </c>
      <c r="M62" s="13">
        <v>1</v>
      </c>
      <c r="N62" s="13">
        <f t="shared" si="0"/>
        <v>31.87910879629635</v>
      </c>
      <c r="O62" s="13">
        <f t="shared" si="1"/>
        <v>7.5240162037007394</v>
      </c>
      <c r="P62" t="str">
        <f t="shared" si="2"/>
        <v>Delayed</v>
      </c>
      <c r="Q62" s="13">
        <f t="shared" si="3"/>
        <v>0.24583333334885538</v>
      </c>
      <c r="R62" s="13">
        <f t="shared" si="4"/>
        <v>20.058842592596193</v>
      </c>
      <c r="S62" s="13">
        <f t="shared" si="5"/>
        <v>11.810023148143955</v>
      </c>
      <c r="T62" t="str">
        <f t="shared" si="6"/>
        <v>8+ Days Late</v>
      </c>
      <c r="U62" t="str">
        <f t="shared" si="7"/>
        <v>Needs Review</v>
      </c>
      <c r="V62" t="s">
        <v>102</v>
      </c>
    </row>
    <row r="63" spans="1:22">
      <c r="A63" t="s">
        <v>232</v>
      </c>
      <c r="B63" s="10">
        <v>42799.698634259257</v>
      </c>
      <c r="C63" s="10">
        <v>42801.155057870368</v>
      </c>
      <c r="D63" s="10">
        <v>42801.451481481483</v>
      </c>
      <c r="E63" s="10">
        <v>42807.786145833335</v>
      </c>
      <c r="F63" s="10">
        <v>42821</v>
      </c>
      <c r="G63" t="s">
        <v>20</v>
      </c>
      <c r="H63" t="s">
        <v>104</v>
      </c>
      <c r="I63" t="s">
        <v>101</v>
      </c>
      <c r="J63" s="11">
        <v>1</v>
      </c>
      <c r="K63" s="12">
        <v>29.99</v>
      </c>
      <c r="L63" s="12">
        <v>14.11</v>
      </c>
      <c r="M63" s="13">
        <v>5</v>
      </c>
      <c r="N63" s="13">
        <f t="shared" si="0"/>
        <v>8.0875115740782348</v>
      </c>
      <c r="O63" s="13">
        <f t="shared" si="1"/>
        <v>0</v>
      </c>
      <c r="P63" t="str">
        <f t="shared" si="2"/>
        <v>On Time</v>
      </c>
      <c r="Q63" s="13">
        <f t="shared" si="3"/>
        <v>34.954166666662786</v>
      </c>
      <c r="R63" s="13">
        <f t="shared" si="4"/>
        <v>0.29642361111473292</v>
      </c>
      <c r="S63" s="13">
        <f t="shared" si="5"/>
        <v>6.3346643518525525</v>
      </c>
      <c r="T63" t="str">
        <f t="shared" si="6"/>
        <v>On Time/Early</v>
      </c>
      <c r="U63" t="str">
        <f t="shared" si="7"/>
        <v>Normal</v>
      </c>
      <c r="V63" t="s">
        <v>102</v>
      </c>
    </row>
    <row r="64" spans="1:22">
      <c r="A64" t="s">
        <v>233</v>
      </c>
      <c r="B64" s="10">
        <v>42800.525138888886</v>
      </c>
      <c r="C64" s="10">
        <v>42800.549050925925</v>
      </c>
      <c r="D64" s="10">
        <v>42803.366493055553</v>
      </c>
      <c r="E64" s="10">
        <v>42808.61519675926</v>
      </c>
      <c r="F64" s="10">
        <v>42821</v>
      </c>
      <c r="G64" t="s">
        <v>8</v>
      </c>
      <c r="H64" t="s">
        <v>140</v>
      </c>
      <c r="I64" t="s">
        <v>143</v>
      </c>
      <c r="J64" s="11">
        <v>1</v>
      </c>
      <c r="K64" s="12">
        <v>389.9</v>
      </c>
      <c r="L64" s="12">
        <v>16.97</v>
      </c>
      <c r="M64" s="13">
        <v>5</v>
      </c>
      <c r="N64" s="13">
        <f t="shared" si="0"/>
        <v>8.0900578703731298</v>
      </c>
      <c r="O64" s="13">
        <f t="shared" si="1"/>
        <v>0</v>
      </c>
      <c r="P64" t="str">
        <f t="shared" si="2"/>
        <v>On Time</v>
      </c>
      <c r="Q64" s="13">
        <f t="shared" si="3"/>
        <v>0.57388888893183321</v>
      </c>
      <c r="R64" s="13">
        <f t="shared" si="4"/>
        <v>2.8174421296280343</v>
      </c>
      <c r="S64" s="13">
        <f t="shared" si="5"/>
        <v>5.2487037037062692</v>
      </c>
      <c r="T64" t="str">
        <f t="shared" si="6"/>
        <v>On Time/Early</v>
      </c>
      <c r="U64" t="str">
        <f t="shared" si="7"/>
        <v>Normal</v>
      </c>
      <c r="V64" t="s">
        <v>102</v>
      </c>
    </row>
    <row r="65" spans="1:22">
      <c r="A65" t="s">
        <v>234</v>
      </c>
      <c r="B65" s="10">
        <v>42800.547511574077</v>
      </c>
      <c r="C65" s="10">
        <v>42800.559189814812</v>
      </c>
      <c r="D65" s="10">
        <v>42800.633587962962</v>
      </c>
      <c r="E65" s="10">
        <v>42802.411736111113</v>
      </c>
      <c r="F65" s="10">
        <v>42817</v>
      </c>
      <c r="G65" t="s">
        <v>8</v>
      </c>
      <c r="H65" t="s">
        <v>140</v>
      </c>
      <c r="I65" t="s">
        <v>235</v>
      </c>
      <c r="J65" s="11">
        <v>1</v>
      </c>
      <c r="K65" s="12">
        <v>89</v>
      </c>
      <c r="L65" s="12">
        <v>8.99</v>
      </c>
      <c r="M65" s="13">
        <v>5</v>
      </c>
      <c r="N65" s="13">
        <f t="shared" si="0"/>
        <v>1.864224537035625</v>
      </c>
      <c r="O65" s="13">
        <f t="shared" si="1"/>
        <v>0</v>
      </c>
      <c r="P65" t="str">
        <f t="shared" si="2"/>
        <v>On Time</v>
      </c>
      <c r="Q65" s="13">
        <f t="shared" si="3"/>
        <v>0.28027777763782069</v>
      </c>
      <c r="R65" s="13">
        <f t="shared" si="4"/>
        <v>7.4398148150066845E-2</v>
      </c>
      <c r="S65" s="13">
        <f t="shared" si="5"/>
        <v>1.7781481481506489</v>
      </c>
      <c r="T65" t="str">
        <f t="shared" si="6"/>
        <v>On Time/Early</v>
      </c>
      <c r="U65" t="str">
        <f t="shared" si="7"/>
        <v>Normal</v>
      </c>
      <c r="V65" t="s">
        <v>102</v>
      </c>
    </row>
    <row r="66" spans="1:22">
      <c r="A66" t="s">
        <v>236</v>
      </c>
      <c r="B66" s="10">
        <v>42800.823310185187</v>
      </c>
      <c r="C66" s="10">
        <v>42800.830011574071</v>
      </c>
      <c r="D66" s="10">
        <v>42801.424872685187</v>
      </c>
      <c r="E66" s="10">
        <v>42807.706990740742</v>
      </c>
      <c r="F66" s="10">
        <v>42824</v>
      </c>
      <c r="G66" t="s">
        <v>8</v>
      </c>
      <c r="H66" t="s">
        <v>237</v>
      </c>
      <c r="I66" t="s">
        <v>118</v>
      </c>
      <c r="J66" s="11">
        <v>1</v>
      </c>
      <c r="K66" s="12">
        <v>13.99</v>
      </c>
      <c r="L66" s="12">
        <v>10.96</v>
      </c>
      <c r="M66" s="13">
        <v>4</v>
      </c>
      <c r="N66" s="13">
        <f t="shared" ref="N66:N129" si="8">IFERROR(E66-B66,"")</f>
        <v>6.8836805555547471</v>
      </c>
      <c r="O66" s="13">
        <f t="shared" ref="O66:O129" si="9">IFERROR(MAX(0,E66-F66),"")</f>
        <v>0</v>
      </c>
      <c r="P66" t="str">
        <f t="shared" ref="P66:P129" si="10">IF(O66&gt;0,"Delayed","On Time")</f>
        <v>On Time</v>
      </c>
      <c r="Q66" s="13">
        <f t="shared" ref="Q66:Q129" si="11">IFERROR((C66-B66)*24,"")</f>
        <v>0.1608333332114853</v>
      </c>
      <c r="R66" s="13">
        <f t="shared" ref="R66:R129" si="12">IFERROR(D66-C66,"")</f>
        <v>0.59486111111618811</v>
      </c>
      <c r="S66" s="13">
        <f t="shared" ref="S66:S129" si="13">IFERROR(E66-D66,"")</f>
        <v>6.2821180555547471</v>
      </c>
      <c r="T66" t="str">
        <f t="shared" ref="T66:T129" si="14">IF(O66=0,"On Time/Early",IF(O66&lt;=3,"1-3 Days Late",IF(O66&lt;=7,"4-7 Days Late","8+ Days Late")))</f>
        <v>On Time/Early</v>
      </c>
      <c r="U66" t="str">
        <f t="shared" ref="U66:U129" si="15">IF(P66="Delayed","Needs Review","Normal")</f>
        <v>Normal</v>
      </c>
      <c r="V66" t="s">
        <v>102</v>
      </c>
    </row>
    <row r="67" spans="1:22">
      <c r="A67" t="s">
        <v>238</v>
      </c>
      <c r="B67" s="10">
        <v>42801.27480324074</v>
      </c>
      <c r="C67" s="10">
        <v>42801.281354166669</v>
      </c>
      <c r="D67" s="10">
        <v>42804.577789351853</v>
      </c>
      <c r="E67" s="10">
        <v>42814.627812500003</v>
      </c>
      <c r="F67" s="10">
        <v>42832</v>
      </c>
      <c r="G67" t="s">
        <v>57</v>
      </c>
      <c r="H67" t="s">
        <v>239</v>
      </c>
      <c r="I67" t="s">
        <v>136</v>
      </c>
      <c r="J67" s="11">
        <v>1</v>
      </c>
      <c r="K67" s="12">
        <v>109.99</v>
      </c>
      <c r="L67" s="12">
        <v>29.7</v>
      </c>
      <c r="M67" s="13">
        <v>5</v>
      </c>
      <c r="N67" s="13">
        <f t="shared" si="8"/>
        <v>13.353009259262762</v>
      </c>
      <c r="O67" s="13">
        <f t="shared" si="9"/>
        <v>0</v>
      </c>
      <c r="P67" t="str">
        <f t="shared" si="10"/>
        <v>On Time</v>
      </c>
      <c r="Q67" s="13">
        <f t="shared" si="11"/>
        <v>0.15722222230397165</v>
      </c>
      <c r="R67" s="13">
        <f t="shared" si="12"/>
        <v>3.2964351851842366</v>
      </c>
      <c r="S67" s="13">
        <f t="shared" si="13"/>
        <v>10.050023148149194</v>
      </c>
      <c r="T67" t="str">
        <f t="shared" si="14"/>
        <v>On Time/Early</v>
      </c>
      <c r="U67" t="str">
        <f t="shared" si="15"/>
        <v>Normal</v>
      </c>
      <c r="V67" t="s">
        <v>102</v>
      </c>
    </row>
    <row r="68" spans="1:22">
      <c r="A68" t="s">
        <v>240</v>
      </c>
      <c r="B68" s="10">
        <v>42802.030578703707</v>
      </c>
      <c r="C68" s="10">
        <v>42802.062905092593</v>
      </c>
      <c r="D68" s="10">
        <v>42802.408715277779</v>
      </c>
      <c r="E68" s="10">
        <v>42808.350081018521</v>
      </c>
      <c r="F68" s="10">
        <v>42830</v>
      </c>
      <c r="G68" t="s">
        <v>43</v>
      </c>
      <c r="H68" t="s">
        <v>241</v>
      </c>
      <c r="I68" t="s">
        <v>101</v>
      </c>
      <c r="J68" s="11">
        <v>1</v>
      </c>
      <c r="K68" s="12">
        <v>59.9</v>
      </c>
      <c r="L68" s="12">
        <v>17.260000000000002</v>
      </c>
      <c r="M68" s="13">
        <v>5</v>
      </c>
      <c r="N68" s="13">
        <f t="shared" si="8"/>
        <v>6.3195023148145992</v>
      </c>
      <c r="O68" s="13">
        <f t="shared" si="9"/>
        <v>0</v>
      </c>
      <c r="P68" t="str">
        <f t="shared" si="10"/>
        <v>On Time</v>
      </c>
      <c r="Q68" s="13">
        <f t="shared" si="11"/>
        <v>0.77583333326037973</v>
      </c>
      <c r="R68" s="13">
        <f t="shared" si="12"/>
        <v>0.34581018518656492</v>
      </c>
      <c r="S68" s="13">
        <f t="shared" si="13"/>
        <v>5.9413657407421852</v>
      </c>
      <c r="T68" t="str">
        <f t="shared" si="14"/>
        <v>On Time/Early</v>
      </c>
      <c r="U68" t="str">
        <f t="shared" si="15"/>
        <v>Normal</v>
      </c>
      <c r="V68" t="s">
        <v>102</v>
      </c>
    </row>
    <row r="69" spans="1:22">
      <c r="A69" t="s">
        <v>242</v>
      </c>
      <c r="B69" s="10">
        <v>42802.908391203702</v>
      </c>
      <c r="C69" s="10">
        <v>42802.908391203702</v>
      </c>
      <c r="D69" s="10">
        <v>42807.303865740738</v>
      </c>
      <c r="E69" s="10">
        <v>42811.50577546296</v>
      </c>
      <c r="F69" s="10">
        <v>42832</v>
      </c>
      <c r="G69" t="s">
        <v>8</v>
      </c>
      <c r="H69" t="s">
        <v>243</v>
      </c>
      <c r="I69" t="s">
        <v>112</v>
      </c>
      <c r="J69" s="11">
        <v>1</v>
      </c>
      <c r="K69" s="12">
        <v>66.989999999999995</v>
      </c>
      <c r="L69" s="12">
        <v>17.21</v>
      </c>
      <c r="M69" s="13">
        <v>4</v>
      </c>
      <c r="N69" s="13">
        <f t="shared" si="8"/>
        <v>8.5973842592575238</v>
      </c>
      <c r="O69" s="13">
        <f t="shared" si="9"/>
        <v>0</v>
      </c>
      <c r="P69" t="str">
        <f t="shared" si="10"/>
        <v>On Time</v>
      </c>
      <c r="Q69" s="13">
        <f t="shared" si="11"/>
        <v>0</v>
      </c>
      <c r="R69" s="13">
        <f t="shared" si="12"/>
        <v>4.395474537035625</v>
      </c>
      <c r="S69" s="13">
        <f t="shared" si="13"/>
        <v>4.2019097222218988</v>
      </c>
      <c r="T69" t="str">
        <f t="shared" si="14"/>
        <v>On Time/Early</v>
      </c>
      <c r="U69" t="str">
        <f t="shared" si="15"/>
        <v>Normal</v>
      </c>
      <c r="V69" t="s">
        <v>102</v>
      </c>
    </row>
    <row r="70" spans="1:22">
      <c r="A70" t="s">
        <v>244</v>
      </c>
      <c r="B70" s="10">
        <v>42803.789502314816</v>
      </c>
      <c r="C70" s="10">
        <v>42803.789502314816</v>
      </c>
      <c r="D70" s="10">
        <v>42807.525231481479</v>
      </c>
      <c r="E70" s="10">
        <v>42809.651076388887</v>
      </c>
      <c r="F70" s="10">
        <v>42822</v>
      </c>
      <c r="G70" t="s">
        <v>8</v>
      </c>
      <c r="H70" t="s">
        <v>245</v>
      </c>
      <c r="I70" t="s">
        <v>246</v>
      </c>
      <c r="J70" s="11">
        <v>1</v>
      </c>
      <c r="K70" s="12">
        <v>59.9</v>
      </c>
      <c r="L70" s="12">
        <v>15.53</v>
      </c>
      <c r="M70" s="13">
        <v>3</v>
      </c>
      <c r="N70" s="13">
        <f t="shared" si="8"/>
        <v>5.861574074071541</v>
      </c>
      <c r="O70" s="13">
        <f t="shared" si="9"/>
        <v>0</v>
      </c>
      <c r="P70" t="str">
        <f t="shared" si="10"/>
        <v>On Time</v>
      </c>
      <c r="Q70" s="13">
        <f t="shared" si="11"/>
        <v>0</v>
      </c>
      <c r="R70" s="13">
        <f t="shared" si="12"/>
        <v>3.7357291666630772</v>
      </c>
      <c r="S70" s="13">
        <f t="shared" si="13"/>
        <v>2.1258449074084638</v>
      </c>
      <c r="T70" t="str">
        <f t="shared" si="14"/>
        <v>On Time/Early</v>
      </c>
      <c r="U70" t="str">
        <f t="shared" si="15"/>
        <v>Normal</v>
      </c>
      <c r="V70" t="s">
        <v>102</v>
      </c>
    </row>
    <row r="71" spans="1:22">
      <c r="A71" t="s">
        <v>247</v>
      </c>
      <c r="B71" s="10">
        <v>42803.887303240743</v>
      </c>
      <c r="C71" s="10">
        <v>42803.887303240743</v>
      </c>
      <c r="D71" s="10">
        <v>42810.396423611113</v>
      </c>
      <c r="E71" s="10">
        <v>42817.529409722221</v>
      </c>
      <c r="F71" s="10">
        <v>42822</v>
      </c>
      <c r="G71" t="s">
        <v>8</v>
      </c>
      <c r="H71" t="s">
        <v>140</v>
      </c>
      <c r="I71" t="s">
        <v>58</v>
      </c>
      <c r="J71" s="11">
        <v>1</v>
      </c>
      <c r="K71" s="12">
        <v>76.489999999999995</v>
      </c>
      <c r="L71" s="12">
        <v>9.5299999999999994</v>
      </c>
      <c r="M71" s="13">
        <v>5</v>
      </c>
      <c r="N71" s="13">
        <f t="shared" si="8"/>
        <v>13.64210648147855</v>
      </c>
      <c r="O71" s="13">
        <f t="shared" si="9"/>
        <v>0</v>
      </c>
      <c r="P71" t="str">
        <f t="shared" si="10"/>
        <v>On Time</v>
      </c>
      <c r="Q71" s="13">
        <f t="shared" si="11"/>
        <v>0</v>
      </c>
      <c r="R71" s="13">
        <f t="shared" si="12"/>
        <v>6.5091203703705105</v>
      </c>
      <c r="S71" s="13">
        <f t="shared" si="13"/>
        <v>7.132986111108039</v>
      </c>
      <c r="T71" t="str">
        <f t="shared" si="14"/>
        <v>On Time/Early</v>
      </c>
      <c r="U71" t="str">
        <f t="shared" si="15"/>
        <v>Normal</v>
      </c>
      <c r="V71" t="s">
        <v>102</v>
      </c>
    </row>
    <row r="72" spans="1:22">
      <c r="A72" t="s">
        <v>248</v>
      </c>
      <c r="B72" s="10">
        <v>42805.34642361111</v>
      </c>
      <c r="C72" s="10">
        <v>42805.34642361111</v>
      </c>
      <c r="D72" s="10">
        <v>42808.447824074072</v>
      </c>
      <c r="E72" s="10">
        <v>42816.53733796296</v>
      </c>
      <c r="F72" s="10">
        <v>42831</v>
      </c>
      <c r="G72" t="s">
        <v>43</v>
      </c>
      <c r="H72" t="s">
        <v>249</v>
      </c>
      <c r="I72" t="s">
        <v>180</v>
      </c>
      <c r="J72" s="11">
        <v>1</v>
      </c>
      <c r="K72" s="12">
        <v>89.9</v>
      </c>
      <c r="L72" s="12">
        <v>16.329999999999998</v>
      </c>
      <c r="M72" s="13">
        <v>5</v>
      </c>
      <c r="N72" s="13">
        <f t="shared" si="8"/>
        <v>11.190914351849642</v>
      </c>
      <c r="O72" s="13">
        <f t="shared" si="9"/>
        <v>0</v>
      </c>
      <c r="P72" t="str">
        <f t="shared" si="10"/>
        <v>On Time</v>
      </c>
      <c r="Q72" s="13">
        <f t="shared" si="11"/>
        <v>0</v>
      </c>
      <c r="R72" s="13">
        <f t="shared" si="12"/>
        <v>3.1014004629614647</v>
      </c>
      <c r="S72" s="13">
        <f t="shared" si="13"/>
        <v>8.0895138888881775</v>
      </c>
      <c r="T72" t="str">
        <f t="shared" si="14"/>
        <v>On Time/Early</v>
      </c>
      <c r="U72" t="str">
        <f t="shared" si="15"/>
        <v>Normal</v>
      </c>
      <c r="V72" t="s">
        <v>102</v>
      </c>
    </row>
    <row r="73" spans="1:22">
      <c r="A73" t="s">
        <v>250</v>
      </c>
      <c r="B73" s="10">
        <v>42807.760150462964</v>
      </c>
      <c r="C73" s="10">
        <v>42807.760150462964</v>
      </c>
      <c r="D73" s="10">
        <v>42808.415613425925</v>
      </c>
      <c r="E73" s="10">
        <v>42822.581192129626</v>
      </c>
      <c r="F73" s="10">
        <v>42829</v>
      </c>
      <c r="G73" t="s">
        <v>8</v>
      </c>
      <c r="H73" t="s">
        <v>182</v>
      </c>
      <c r="I73" t="s">
        <v>101</v>
      </c>
      <c r="J73" s="11">
        <v>1</v>
      </c>
      <c r="K73" s="12">
        <v>149.80000000000001</v>
      </c>
      <c r="L73" s="12">
        <v>13.63</v>
      </c>
      <c r="M73" s="13">
        <v>3</v>
      </c>
      <c r="N73" s="13">
        <f t="shared" si="8"/>
        <v>14.821041666662495</v>
      </c>
      <c r="O73" s="13">
        <f t="shared" si="9"/>
        <v>0</v>
      </c>
      <c r="P73" t="str">
        <f t="shared" si="10"/>
        <v>On Time</v>
      </c>
      <c r="Q73" s="13">
        <f t="shared" si="11"/>
        <v>0</v>
      </c>
      <c r="R73" s="13">
        <f t="shared" si="12"/>
        <v>0.65546296296088258</v>
      </c>
      <c r="S73" s="13">
        <f t="shared" si="13"/>
        <v>14.165578703701613</v>
      </c>
      <c r="T73" t="str">
        <f t="shared" si="14"/>
        <v>On Time/Early</v>
      </c>
      <c r="U73" t="str">
        <f t="shared" si="15"/>
        <v>Normal</v>
      </c>
      <c r="V73" t="s">
        <v>102</v>
      </c>
    </row>
    <row r="74" spans="1:22">
      <c r="A74" t="s">
        <v>251</v>
      </c>
      <c r="B74" s="10">
        <v>42807.924988425926</v>
      </c>
      <c r="C74" s="10">
        <v>42807.924988425926</v>
      </c>
      <c r="D74" s="10">
        <v>42814.503958333335</v>
      </c>
      <c r="E74" s="10">
        <v>42817.67255787037</v>
      </c>
      <c r="F74" s="10">
        <v>42824</v>
      </c>
      <c r="G74" t="s">
        <v>8</v>
      </c>
      <c r="H74" t="s">
        <v>204</v>
      </c>
      <c r="I74" t="s">
        <v>252</v>
      </c>
      <c r="J74" s="11">
        <v>1</v>
      </c>
      <c r="K74" s="12">
        <v>39.9</v>
      </c>
      <c r="L74" s="12">
        <v>10.96</v>
      </c>
      <c r="M74" s="13">
        <v>5</v>
      </c>
      <c r="N74" s="13">
        <f t="shared" si="8"/>
        <v>9.7475694444437977</v>
      </c>
      <c r="O74" s="13">
        <f t="shared" si="9"/>
        <v>0</v>
      </c>
      <c r="P74" t="str">
        <f t="shared" si="10"/>
        <v>On Time</v>
      </c>
      <c r="Q74" s="13">
        <f t="shared" si="11"/>
        <v>0</v>
      </c>
      <c r="R74" s="13">
        <f t="shared" si="12"/>
        <v>6.5789699074084638</v>
      </c>
      <c r="S74" s="13">
        <f t="shared" si="13"/>
        <v>3.1685995370353339</v>
      </c>
      <c r="T74" t="str">
        <f t="shared" si="14"/>
        <v>On Time/Early</v>
      </c>
      <c r="U74" t="str">
        <f t="shared" si="15"/>
        <v>Normal</v>
      </c>
      <c r="V74" t="s">
        <v>102</v>
      </c>
    </row>
    <row r="75" spans="1:22">
      <c r="A75" t="s">
        <v>253</v>
      </c>
      <c r="B75" s="10">
        <v>42808.535034722219</v>
      </c>
      <c r="C75" s="10">
        <v>42808.535034722219</v>
      </c>
      <c r="D75" s="10">
        <v>42810.345671296294</v>
      </c>
      <c r="E75" s="10">
        <v>42834.379895833335</v>
      </c>
      <c r="F75" s="10">
        <v>42851</v>
      </c>
      <c r="G75" t="s">
        <v>57</v>
      </c>
      <c r="H75" t="s">
        <v>254</v>
      </c>
      <c r="I75" t="s">
        <v>123</v>
      </c>
      <c r="J75" s="11">
        <v>1</v>
      </c>
      <c r="K75" s="12">
        <v>69</v>
      </c>
      <c r="L75" s="12">
        <v>20.53</v>
      </c>
      <c r="M75" s="13">
        <v>4</v>
      </c>
      <c r="N75" s="13">
        <f t="shared" si="8"/>
        <v>25.844861111116188</v>
      </c>
      <c r="O75" s="13">
        <f t="shared" si="9"/>
        <v>0</v>
      </c>
      <c r="P75" t="str">
        <f t="shared" si="10"/>
        <v>On Time</v>
      </c>
      <c r="Q75" s="13">
        <f t="shared" si="11"/>
        <v>0</v>
      </c>
      <c r="R75" s="13">
        <f t="shared" si="12"/>
        <v>1.8106365740750334</v>
      </c>
      <c r="S75" s="13">
        <f t="shared" si="13"/>
        <v>24.034224537041155</v>
      </c>
      <c r="T75" t="str">
        <f t="shared" si="14"/>
        <v>On Time/Early</v>
      </c>
      <c r="U75" t="str">
        <f t="shared" si="15"/>
        <v>Normal</v>
      </c>
      <c r="V75" t="s">
        <v>102</v>
      </c>
    </row>
    <row r="76" spans="1:22">
      <c r="A76" t="s">
        <v>255</v>
      </c>
      <c r="B76" s="10">
        <v>42809.055625000001</v>
      </c>
      <c r="C76" s="10">
        <v>42809.055625000001</v>
      </c>
      <c r="D76" s="10">
        <v>42811.418252314812</v>
      </c>
      <c r="E76" s="10">
        <v>42833.13894675926</v>
      </c>
      <c r="F76" s="10">
        <v>42828</v>
      </c>
      <c r="G76" t="s">
        <v>8</v>
      </c>
      <c r="H76" t="s">
        <v>140</v>
      </c>
      <c r="I76" t="s">
        <v>123</v>
      </c>
      <c r="J76" s="11">
        <v>1</v>
      </c>
      <c r="K76" s="12">
        <v>129.99</v>
      </c>
      <c r="L76" s="12">
        <v>9.2799999999999994</v>
      </c>
      <c r="M76" s="13">
        <v>1</v>
      </c>
      <c r="N76" s="13">
        <f t="shared" si="8"/>
        <v>24.083321759258979</v>
      </c>
      <c r="O76" s="13">
        <f t="shared" si="9"/>
        <v>5.1389467592598521</v>
      </c>
      <c r="P76" t="str">
        <f t="shared" si="10"/>
        <v>Delayed</v>
      </c>
      <c r="Q76" s="13">
        <f t="shared" si="11"/>
        <v>0</v>
      </c>
      <c r="R76" s="13">
        <f t="shared" si="12"/>
        <v>2.3626273148111068</v>
      </c>
      <c r="S76" s="13">
        <f t="shared" si="13"/>
        <v>21.720694444447872</v>
      </c>
      <c r="T76" t="str">
        <f t="shared" si="14"/>
        <v>4-7 Days Late</v>
      </c>
      <c r="U76" t="str">
        <f t="shared" si="15"/>
        <v>Needs Review</v>
      </c>
      <c r="V76" t="s">
        <v>102</v>
      </c>
    </row>
    <row r="77" spans="1:22">
      <c r="A77" t="s">
        <v>256</v>
      </c>
      <c r="B77" s="10">
        <v>42809.377523148149</v>
      </c>
      <c r="C77" s="10">
        <v>42809.377523148149</v>
      </c>
      <c r="D77" s="10">
        <v>42810.419733796298</v>
      </c>
      <c r="E77" s="10">
        <v>42821.474930555552</v>
      </c>
      <c r="F77" s="10">
        <v>42836</v>
      </c>
      <c r="G77" t="s">
        <v>23</v>
      </c>
      <c r="H77" t="s">
        <v>257</v>
      </c>
      <c r="I77" t="s">
        <v>24</v>
      </c>
      <c r="J77" s="11">
        <v>1</v>
      </c>
      <c r="K77" s="12">
        <v>27.5</v>
      </c>
      <c r="L77" s="12">
        <v>19.05</v>
      </c>
      <c r="M77" s="13">
        <v>5</v>
      </c>
      <c r="N77" s="13">
        <f t="shared" si="8"/>
        <v>12.097407407403807</v>
      </c>
      <c r="O77" s="13">
        <f t="shared" si="9"/>
        <v>0</v>
      </c>
      <c r="P77" t="str">
        <f t="shared" si="10"/>
        <v>On Time</v>
      </c>
      <c r="Q77" s="13">
        <f t="shared" si="11"/>
        <v>0</v>
      </c>
      <c r="R77" s="13">
        <f t="shared" si="12"/>
        <v>1.0422106481491937</v>
      </c>
      <c r="S77" s="13">
        <f t="shared" si="13"/>
        <v>11.055196759254613</v>
      </c>
      <c r="T77" t="str">
        <f t="shared" si="14"/>
        <v>On Time/Early</v>
      </c>
      <c r="U77" t="str">
        <f t="shared" si="15"/>
        <v>Normal</v>
      </c>
      <c r="V77" t="s">
        <v>102</v>
      </c>
    </row>
    <row r="78" spans="1:22">
      <c r="A78" t="s">
        <v>258</v>
      </c>
      <c r="B78" s="10">
        <v>42809.935277777775</v>
      </c>
      <c r="C78" s="10">
        <v>42809.935277777775</v>
      </c>
      <c r="D78" s="10">
        <v>42815.48233796296</v>
      </c>
      <c r="E78" s="10">
        <v>42821.759722222225</v>
      </c>
      <c r="F78" s="10">
        <v>42830</v>
      </c>
      <c r="G78" t="s">
        <v>20</v>
      </c>
      <c r="H78" t="s">
        <v>104</v>
      </c>
      <c r="I78" t="s">
        <v>128</v>
      </c>
      <c r="J78" s="11">
        <v>2</v>
      </c>
      <c r="K78" s="12">
        <v>139.80000000000001</v>
      </c>
      <c r="L78" s="12">
        <v>62.46</v>
      </c>
      <c r="M78" s="13">
        <v>4</v>
      </c>
      <c r="N78" s="13">
        <f t="shared" si="8"/>
        <v>11.824444444449909</v>
      </c>
      <c r="O78" s="13">
        <f t="shared" si="9"/>
        <v>0</v>
      </c>
      <c r="P78" t="str">
        <f t="shared" si="10"/>
        <v>On Time</v>
      </c>
      <c r="Q78" s="13">
        <f t="shared" si="11"/>
        <v>0</v>
      </c>
      <c r="R78" s="13">
        <f t="shared" si="12"/>
        <v>5.5470601851848187</v>
      </c>
      <c r="S78" s="13">
        <f t="shared" si="13"/>
        <v>6.2773842592650908</v>
      </c>
      <c r="T78" t="str">
        <f t="shared" si="14"/>
        <v>On Time/Early</v>
      </c>
      <c r="U78" t="str">
        <f t="shared" si="15"/>
        <v>Normal</v>
      </c>
      <c r="V78" t="s">
        <v>102</v>
      </c>
    </row>
    <row r="79" spans="1:22">
      <c r="A79" t="s">
        <v>259</v>
      </c>
      <c r="B79" s="10">
        <v>42810.695671296293</v>
      </c>
      <c r="C79" s="10">
        <v>42810.695671296293</v>
      </c>
      <c r="D79" s="10">
        <v>42811.420405092591</v>
      </c>
      <c r="E79" s="10">
        <v>42816.498726851853</v>
      </c>
      <c r="F79" s="10">
        <v>42831</v>
      </c>
      <c r="G79" t="s">
        <v>20</v>
      </c>
      <c r="H79" t="s">
        <v>260</v>
      </c>
      <c r="I79" t="s">
        <v>141</v>
      </c>
      <c r="J79" s="11">
        <v>1</v>
      </c>
      <c r="K79" s="12">
        <v>84.99</v>
      </c>
      <c r="L79" s="12">
        <v>18.87</v>
      </c>
      <c r="M79" s="13">
        <v>5</v>
      </c>
      <c r="N79" s="13">
        <f t="shared" si="8"/>
        <v>5.8030555555596948</v>
      </c>
      <c r="O79" s="13">
        <f t="shared" si="9"/>
        <v>0</v>
      </c>
      <c r="P79" t="str">
        <f t="shared" si="10"/>
        <v>On Time</v>
      </c>
      <c r="Q79" s="13">
        <f t="shared" si="11"/>
        <v>0</v>
      </c>
      <c r="R79" s="13">
        <f t="shared" si="12"/>
        <v>0.72473379629809642</v>
      </c>
      <c r="S79" s="13">
        <f t="shared" si="13"/>
        <v>5.0783217592615983</v>
      </c>
      <c r="T79" t="str">
        <f t="shared" si="14"/>
        <v>On Time/Early</v>
      </c>
      <c r="U79" t="str">
        <f t="shared" si="15"/>
        <v>Normal</v>
      </c>
      <c r="V79" t="s">
        <v>102</v>
      </c>
    </row>
    <row r="80" spans="1:22">
      <c r="A80" t="s">
        <v>261</v>
      </c>
      <c r="B80" s="10">
        <v>42811.502546296295</v>
      </c>
      <c r="C80" s="10">
        <v>42811.502546296295</v>
      </c>
      <c r="D80" s="10">
        <v>42828.527557870373</v>
      </c>
      <c r="E80" s="10">
        <v>42832.592118055552</v>
      </c>
      <c r="F80" s="10">
        <v>42832</v>
      </c>
      <c r="G80" t="s">
        <v>16</v>
      </c>
      <c r="H80" t="s">
        <v>138</v>
      </c>
      <c r="I80" t="s">
        <v>262</v>
      </c>
      <c r="J80" s="11">
        <v>1</v>
      </c>
      <c r="K80" s="12">
        <v>24.99</v>
      </c>
      <c r="L80" s="12">
        <v>14.11</v>
      </c>
      <c r="M80" s="13">
        <v>2</v>
      </c>
      <c r="N80" s="13">
        <f t="shared" si="8"/>
        <v>21.089571759257524</v>
      </c>
      <c r="O80" s="13">
        <f t="shared" si="9"/>
        <v>0.59211805555241881</v>
      </c>
      <c r="P80" t="str">
        <f t="shared" si="10"/>
        <v>Delayed</v>
      </c>
      <c r="Q80" s="13">
        <f t="shared" si="11"/>
        <v>0</v>
      </c>
      <c r="R80" s="13">
        <f t="shared" si="12"/>
        <v>17.025011574078235</v>
      </c>
      <c r="S80" s="13">
        <f t="shared" si="13"/>
        <v>4.064560185179289</v>
      </c>
      <c r="T80" t="str">
        <f t="shared" si="14"/>
        <v>1-3 Days Late</v>
      </c>
      <c r="U80" t="str">
        <f t="shared" si="15"/>
        <v>Needs Review</v>
      </c>
      <c r="V80" t="s">
        <v>102</v>
      </c>
    </row>
    <row r="81" spans="1:22">
      <c r="A81" t="s">
        <v>263</v>
      </c>
      <c r="B81" s="10">
        <v>42811.777615740742</v>
      </c>
      <c r="C81" s="10">
        <v>42811.777615740742</v>
      </c>
      <c r="D81" s="10">
        <v>42822.315625000003</v>
      </c>
      <c r="E81" s="10">
        <v>42832.589062500003</v>
      </c>
      <c r="F81" s="10">
        <v>42842</v>
      </c>
      <c r="G81" t="s">
        <v>20</v>
      </c>
      <c r="H81" t="s">
        <v>264</v>
      </c>
      <c r="I81" t="s">
        <v>37</v>
      </c>
      <c r="J81" s="11">
        <v>1</v>
      </c>
      <c r="K81" s="12">
        <v>229.99</v>
      </c>
      <c r="L81" s="12">
        <v>53.16</v>
      </c>
      <c r="M81" s="13">
        <v>1</v>
      </c>
      <c r="N81" s="13">
        <f t="shared" si="8"/>
        <v>20.811446759260434</v>
      </c>
      <c r="O81" s="13">
        <f t="shared" si="9"/>
        <v>0</v>
      </c>
      <c r="P81" t="str">
        <f t="shared" si="10"/>
        <v>On Time</v>
      </c>
      <c r="Q81" s="13">
        <f t="shared" si="11"/>
        <v>0</v>
      </c>
      <c r="R81" s="13">
        <f t="shared" si="12"/>
        <v>10.538009259260434</v>
      </c>
      <c r="S81" s="13">
        <f t="shared" si="13"/>
        <v>10.2734375</v>
      </c>
      <c r="T81" t="str">
        <f t="shared" si="14"/>
        <v>On Time/Early</v>
      </c>
      <c r="U81" t="str">
        <f t="shared" si="15"/>
        <v>Normal</v>
      </c>
      <c r="V81" t="s">
        <v>102</v>
      </c>
    </row>
    <row r="82" spans="1:22">
      <c r="A82" t="s">
        <v>265</v>
      </c>
      <c r="B82" s="10">
        <v>42811.962604166663</v>
      </c>
      <c r="C82" s="10">
        <v>42818.752314814818</v>
      </c>
      <c r="D82" s="10">
        <v>42822.749201388891</v>
      </c>
      <c r="E82" s="10">
        <v>42825.464039351849</v>
      </c>
      <c r="F82" s="10">
        <v>42844</v>
      </c>
      <c r="G82" t="s">
        <v>8</v>
      </c>
      <c r="H82" t="s">
        <v>161</v>
      </c>
      <c r="I82" t="s">
        <v>37</v>
      </c>
      <c r="J82" s="11">
        <v>1</v>
      </c>
      <c r="K82" s="12">
        <v>89.96</v>
      </c>
      <c r="L82" s="12">
        <v>18.88</v>
      </c>
      <c r="M82" s="13">
        <v>5</v>
      </c>
      <c r="N82" s="13">
        <f t="shared" si="8"/>
        <v>13.501435185185983</v>
      </c>
      <c r="O82" s="13">
        <f t="shared" si="9"/>
        <v>0</v>
      </c>
      <c r="P82" t="str">
        <f t="shared" si="10"/>
        <v>On Time</v>
      </c>
      <c r="Q82" s="13">
        <f t="shared" si="11"/>
        <v>162.95305555569939</v>
      </c>
      <c r="R82" s="13">
        <f t="shared" si="12"/>
        <v>3.9968865740738693</v>
      </c>
      <c r="S82" s="13">
        <f t="shared" si="13"/>
        <v>2.7148379629579722</v>
      </c>
      <c r="T82" t="str">
        <f t="shared" si="14"/>
        <v>On Time/Early</v>
      </c>
      <c r="U82" t="str">
        <f t="shared" si="15"/>
        <v>Normal</v>
      </c>
      <c r="V82" t="s">
        <v>102</v>
      </c>
    </row>
    <row r="83" spans="1:22">
      <c r="A83" t="s">
        <v>266</v>
      </c>
      <c r="B83" s="10">
        <v>42813.702916666669</v>
      </c>
      <c r="C83" s="10">
        <v>42813.702916666669</v>
      </c>
      <c r="D83" s="10">
        <v>42815.378807870373</v>
      </c>
      <c r="E83" s="10">
        <v>42817.71802083333</v>
      </c>
      <c r="F83" s="10">
        <v>42831</v>
      </c>
      <c r="G83" t="s">
        <v>8</v>
      </c>
      <c r="H83" t="s">
        <v>140</v>
      </c>
      <c r="I83" t="s">
        <v>112</v>
      </c>
      <c r="J83" s="11">
        <v>1</v>
      </c>
      <c r="K83" s="12">
        <v>99.9</v>
      </c>
      <c r="L83" s="12">
        <v>11.31</v>
      </c>
      <c r="M83" s="13">
        <v>5</v>
      </c>
      <c r="N83" s="13">
        <f t="shared" si="8"/>
        <v>4.015104166661331</v>
      </c>
      <c r="O83" s="13">
        <f t="shared" si="9"/>
        <v>0</v>
      </c>
      <c r="P83" t="str">
        <f t="shared" si="10"/>
        <v>On Time</v>
      </c>
      <c r="Q83" s="13">
        <f t="shared" si="11"/>
        <v>0</v>
      </c>
      <c r="R83" s="13">
        <f t="shared" si="12"/>
        <v>1.6758912037039408</v>
      </c>
      <c r="S83" s="13">
        <f t="shared" si="13"/>
        <v>2.3392129629573901</v>
      </c>
      <c r="T83" t="str">
        <f t="shared" si="14"/>
        <v>On Time/Early</v>
      </c>
      <c r="U83" t="str">
        <f t="shared" si="15"/>
        <v>Normal</v>
      </c>
      <c r="V83" t="s">
        <v>102</v>
      </c>
    </row>
    <row r="84" spans="1:22">
      <c r="A84" t="s">
        <v>267</v>
      </c>
      <c r="B84" s="10">
        <v>42813.774027777778</v>
      </c>
      <c r="C84" s="10">
        <v>42813.774027777778</v>
      </c>
      <c r="D84" s="10">
        <v>42815.728101851855</v>
      </c>
      <c r="E84" s="10">
        <v>42824.320543981485</v>
      </c>
      <c r="F84" s="10">
        <v>42835</v>
      </c>
      <c r="G84" t="s">
        <v>8</v>
      </c>
      <c r="H84" t="s">
        <v>140</v>
      </c>
      <c r="I84" t="s">
        <v>141</v>
      </c>
      <c r="J84" s="11">
        <v>1</v>
      </c>
      <c r="K84" s="12">
        <v>24.88</v>
      </c>
      <c r="L84" s="12">
        <v>10.96</v>
      </c>
      <c r="M84" s="13">
        <v>3</v>
      </c>
      <c r="N84" s="13">
        <f t="shared" si="8"/>
        <v>10.546516203707142</v>
      </c>
      <c r="O84" s="13">
        <f t="shared" si="9"/>
        <v>0</v>
      </c>
      <c r="P84" t="str">
        <f t="shared" si="10"/>
        <v>On Time</v>
      </c>
      <c r="Q84" s="13">
        <f t="shared" si="11"/>
        <v>0</v>
      </c>
      <c r="R84" s="13">
        <f t="shared" si="12"/>
        <v>1.9540740740776528</v>
      </c>
      <c r="S84" s="13">
        <f t="shared" si="13"/>
        <v>8.5924421296294895</v>
      </c>
      <c r="T84" t="str">
        <f t="shared" si="14"/>
        <v>On Time/Early</v>
      </c>
      <c r="U84" t="str">
        <f t="shared" si="15"/>
        <v>Normal</v>
      </c>
      <c r="V84" t="s">
        <v>102</v>
      </c>
    </row>
    <row r="85" spans="1:22">
      <c r="A85" t="s">
        <v>268</v>
      </c>
      <c r="B85" s="10">
        <v>42815.562430555554</v>
      </c>
      <c r="C85" s="10">
        <v>42815.562430555554</v>
      </c>
      <c r="D85" s="10">
        <v>42816.49559027778</v>
      </c>
      <c r="E85" s="10">
        <v>42821.637615740743</v>
      </c>
      <c r="F85" s="10">
        <v>42838</v>
      </c>
      <c r="G85" t="s">
        <v>43</v>
      </c>
      <c r="H85" t="s">
        <v>167</v>
      </c>
      <c r="I85" t="s">
        <v>118</v>
      </c>
      <c r="J85" s="11">
        <v>1</v>
      </c>
      <c r="K85" s="12">
        <v>18.989999999999998</v>
      </c>
      <c r="L85" s="12">
        <v>16.05</v>
      </c>
      <c r="M85" s="13">
        <v>4</v>
      </c>
      <c r="N85" s="13">
        <f t="shared" si="8"/>
        <v>6.0751851851891843</v>
      </c>
      <c r="O85" s="13">
        <f t="shared" si="9"/>
        <v>0</v>
      </c>
      <c r="P85" t="str">
        <f t="shared" si="10"/>
        <v>On Time</v>
      </c>
      <c r="Q85" s="13">
        <f t="shared" si="11"/>
        <v>0</v>
      </c>
      <c r="R85" s="13">
        <f t="shared" si="12"/>
        <v>0.93315972222626442</v>
      </c>
      <c r="S85" s="13">
        <f t="shared" si="13"/>
        <v>5.1420254629629198</v>
      </c>
      <c r="T85" t="str">
        <f t="shared" si="14"/>
        <v>On Time/Early</v>
      </c>
      <c r="U85" t="str">
        <f t="shared" si="15"/>
        <v>Normal</v>
      </c>
      <c r="V85" t="s">
        <v>102</v>
      </c>
    </row>
    <row r="86" spans="1:22">
      <c r="A86" t="s">
        <v>269</v>
      </c>
      <c r="B86" s="10">
        <v>42817.817719907405</v>
      </c>
      <c r="C86" s="10">
        <v>42817.826608796298</v>
      </c>
      <c r="D86" s="10">
        <v>42818.523692129631</v>
      </c>
      <c r="E86" s="10">
        <v>42823.74858796296</v>
      </c>
      <c r="F86" s="10">
        <v>42837</v>
      </c>
      <c r="G86" t="s">
        <v>8</v>
      </c>
      <c r="H86" t="s">
        <v>270</v>
      </c>
      <c r="I86" t="s">
        <v>136</v>
      </c>
      <c r="J86" s="11">
        <v>1</v>
      </c>
      <c r="K86" s="12">
        <v>113</v>
      </c>
      <c r="L86" s="12">
        <v>13.37</v>
      </c>
      <c r="M86" s="13">
        <v>5</v>
      </c>
      <c r="N86" s="13">
        <f t="shared" si="8"/>
        <v>5.9308680555550382</v>
      </c>
      <c r="O86" s="13">
        <f t="shared" si="9"/>
        <v>0</v>
      </c>
      <c r="P86" t="str">
        <f t="shared" si="10"/>
        <v>On Time</v>
      </c>
      <c r="Q86" s="13">
        <f t="shared" si="11"/>
        <v>0.21333333343500271</v>
      </c>
      <c r="R86" s="13">
        <f t="shared" si="12"/>
        <v>0.69708333333255723</v>
      </c>
      <c r="S86" s="13">
        <f t="shared" si="13"/>
        <v>5.2248958333293558</v>
      </c>
      <c r="T86" t="str">
        <f t="shared" si="14"/>
        <v>On Time/Early</v>
      </c>
      <c r="U86" t="str">
        <f t="shared" si="15"/>
        <v>Normal</v>
      </c>
      <c r="V86" t="s">
        <v>102</v>
      </c>
    </row>
    <row r="87" spans="1:22">
      <c r="A87" t="s">
        <v>271</v>
      </c>
      <c r="B87" s="10">
        <v>42817.819236111114</v>
      </c>
      <c r="C87" s="10">
        <v>42817.830034722225</v>
      </c>
      <c r="D87" s="10">
        <v>42818.657361111109</v>
      </c>
      <c r="E87" s="10">
        <v>42823.741041666668</v>
      </c>
      <c r="F87" s="10">
        <v>42837</v>
      </c>
      <c r="G87" t="s">
        <v>8</v>
      </c>
      <c r="H87" t="s">
        <v>204</v>
      </c>
      <c r="I87" t="s">
        <v>58</v>
      </c>
      <c r="J87" s="11">
        <v>1</v>
      </c>
      <c r="K87" s="12">
        <v>15.75</v>
      </c>
      <c r="L87" s="12">
        <v>10.96</v>
      </c>
      <c r="M87" s="13">
        <v>3</v>
      </c>
      <c r="N87" s="13">
        <f t="shared" si="8"/>
        <v>5.921805555553874</v>
      </c>
      <c r="O87" s="13">
        <f t="shared" si="9"/>
        <v>0</v>
      </c>
      <c r="P87" t="str">
        <f t="shared" si="10"/>
        <v>On Time</v>
      </c>
      <c r="Q87" s="13">
        <f t="shared" si="11"/>
        <v>0.25916666665580124</v>
      </c>
      <c r="R87" s="13">
        <f t="shared" si="12"/>
        <v>0.82732638888410293</v>
      </c>
      <c r="S87" s="13">
        <f t="shared" si="13"/>
        <v>5.0836805555591127</v>
      </c>
      <c r="T87" t="str">
        <f t="shared" si="14"/>
        <v>On Time/Early</v>
      </c>
      <c r="U87" t="str">
        <f t="shared" si="15"/>
        <v>Normal</v>
      </c>
      <c r="V87" t="s">
        <v>102</v>
      </c>
    </row>
    <row r="88" spans="1:22">
      <c r="A88" t="s">
        <v>272</v>
      </c>
      <c r="B88" s="10">
        <v>42818.306990740741</v>
      </c>
      <c r="C88" s="10">
        <v>42818.312650462962</v>
      </c>
      <c r="D88" s="10">
        <v>42818.639953703707</v>
      </c>
      <c r="E88" s="10">
        <v>42830.649895833332</v>
      </c>
      <c r="F88" s="10">
        <v>42842</v>
      </c>
      <c r="G88" t="s">
        <v>8</v>
      </c>
      <c r="H88" t="s">
        <v>273</v>
      </c>
      <c r="I88" t="s">
        <v>58</v>
      </c>
      <c r="J88" s="11">
        <v>1</v>
      </c>
      <c r="K88" s="12">
        <v>199</v>
      </c>
      <c r="L88" s="12">
        <v>19.670000000000002</v>
      </c>
      <c r="M88" s="13">
        <v>5</v>
      </c>
      <c r="N88" s="13">
        <f t="shared" si="8"/>
        <v>12.342905092591536</v>
      </c>
      <c r="O88" s="13">
        <f t="shared" si="9"/>
        <v>0</v>
      </c>
      <c r="P88" t="str">
        <f t="shared" si="10"/>
        <v>On Time</v>
      </c>
      <c r="Q88" s="13">
        <f t="shared" si="11"/>
        <v>0.13583333330461755</v>
      </c>
      <c r="R88" s="13">
        <f t="shared" si="12"/>
        <v>0.32730324074509554</v>
      </c>
      <c r="S88" s="13">
        <f t="shared" si="13"/>
        <v>12.009942129625415</v>
      </c>
      <c r="T88" t="str">
        <f t="shared" si="14"/>
        <v>On Time/Early</v>
      </c>
      <c r="U88" t="str">
        <f t="shared" si="15"/>
        <v>Normal</v>
      </c>
      <c r="V88" t="s">
        <v>102</v>
      </c>
    </row>
    <row r="89" spans="1:22">
      <c r="A89" t="s">
        <v>274</v>
      </c>
      <c r="B89" s="10">
        <v>42818.733437499999</v>
      </c>
      <c r="C89" s="10">
        <v>42822.160081018519</v>
      </c>
      <c r="D89" s="10">
        <v>42822.542384259257</v>
      </c>
      <c r="E89" s="10">
        <v>42833.10434027778</v>
      </c>
      <c r="F89" s="10">
        <v>42852</v>
      </c>
      <c r="G89" t="s">
        <v>23</v>
      </c>
      <c r="H89" t="s">
        <v>275</v>
      </c>
      <c r="I89" t="s">
        <v>221</v>
      </c>
      <c r="J89" s="11">
        <v>1</v>
      </c>
      <c r="K89" s="12">
        <v>44</v>
      </c>
      <c r="L89" s="12">
        <v>20.399999999999999</v>
      </c>
      <c r="M89" s="13">
        <v>3</v>
      </c>
      <c r="N89" s="13">
        <f t="shared" si="8"/>
        <v>14.370902777780429</v>
      </c>
      <c r="O89" s="13">
        <f t="shared" si="9"/>
        <v>0</v>
      </c>
      <c r="P89" t="str">
        <f t="shared" si="10"/>
        <v>On Time</v>
      </c>
      <c r="Q89" s="13">
        <f t="shared" si="11"/>
        <v>82.239444444479886</v>
      </c>
      <c r="R89" s="13">
        <f t="shared" si="12"/>
        <v>0.38230324073811062</v>
      </c>
      <c r="S89" s="13">
        <f t="shared" si="13"/>
        <v>10.561956018522324</v>
      </c>
      <c r="T89" t="str">
        <f t="shared" si="14"/>
        <v>On Time/Early</v>
      </c>
      <c r="U89" t="str">
        <f t="shared" si="15"/>
        <v>Normal</v>
      </c>
      <c r="V89" t="s">
        <v>102</v>
      </c>
    </row>
    <row r="90" spans="1:22">
      <c r="A90" t="s">
        <v>276</v>
      </c>
      <c r="B90" s="10">
        <v>42819.823888888888</v>
      </c>
      <c r="C90" s="10">
        <v>42821.441192129627</v>
      </c>
      <c r="D90" s="10">
        <v>42821.485451388886</v>
      </c>
      <c r="E90" s="10">
        <v>42829.301238425927</v>
      </c>
      <c r="F90" s="10">
        <v>42857</v>
      </c>
      <c r="G90" t="s">
        <v>277</v>
      </c>
      <c r="H90" t="s">
        <v>278</v>
      </c>
      <c r="I90" t="s">
        <v>279</v>
      </c>
      <c r="J90" s="11">
        <v>1</v>
      </c>
      <c r="K90" s="12">
        <v>65</v>
      </c>
      <c r="L90" s="12">
        <v>24.94</v>
      </c>
      <c r="M90" s="13">
        <v>4</v>
      </c>
      <c r="N90" s="13">
        <f t="shared" si="8"/>
        <v>9.4773495370391174</v>
      </c>
      <c r="O90" s="13">
        <f t="shared" si="9"/>
        <v>0</v>
      </c>
      <c r="P90" t="str">
        <f t="shared" si="10"/>
        <v>On Time</v>
      </c>
      <c r="Q90" s="13">
        <f t="shared" si="11"/>
        <v>38.815277777728625</v>
      </c>
      <c r="R90" s="13">
        <f t="shared" si="12"/>
        <v>4.4259259258979E-2</v>
      </c>
      <c r="S90" s="13">
        <f t="shared" si="13"/>
        <v>7.8157870370414457</v>
      </c>
      <c r="T90" t="str">
        <f t="shared" si="14"/>
        <v>On Time/Early</v>
      </c>
      <c r="U90" t="str">
        <f t="shared" si="15"/>
        <v>Normal</v>
      </c>
      <c r="V90" t="s">
        <v>102</v>
      </c>
    </row>
    <row r="91" spans="1:22">
      <c r="A91" t="s">
        <v>280</v>
      </c>
      <c r="B91" s="10">
        <v>42820.534907407404</v>
      </c>
      <c r="C91" s="10">
        <v>42820.549016203702</v>
      </c>
      <c r="D91" s="10">
        <v>42821.5390625</v>
      </c>
      <c r="E91" s="10">
        <v>42824.225497685184</v>
      </c>
      <c r="F91" s="10">
        <v>42842</v>
      </c>
      <c r="G91" t="s">
        <v>8</v>
      </c>
      <c r="H91" t="s">
        <v>281</v>
      </c>
      <c r="I91" t="s">
        <v>115</v>
      </c>
      <c r="J91" s="11">
        <v>1</v>
      </c>
      <c r="K91" s="12">
        <v>49.9</v>
      </c>
      <c r="L91" s="12">
        <v>11.74</v>
      </c>
      <c r="M91" s="13">
        <v>5</v>
      </c>
      <c r="N91" s="13">
        <f t="shared" si="8"/>
        <v>3.6905902777798474</v>
      </c>
      <c r="O91" s="13">
        <f t="shared" si="9"/>
        <v>0</v>
      </c>
      <c r="P91" t="str">
        <f t="shared" si="10"/>
        <v>On Time</v>
      </c>
      <c r="Q91" s="13">
        <f t="shared" si="11"/>
        <v>0.33861111116129905</v>
      </c>
      <c r="R91" s="13">
        <f t="shared" si="12"/>
        <v>0.99004629629780538</v>
      </c>
      <c r="S91" s="13">
        <f t="shared" si="13"/>
        <v>2.6864351851836545</v>
      </c>
      <c r="T91" t="str">
        <f t="shared" si="14"/>
        <v>On Time/Early</v>
      </c>
      <c r="U91" t="str">
        <f t="shared" si="15"/>
        <v>Normal</v>
      </c>
      <c r="V91" t="s">
        <v>102</v>
      </c>
    </row>
    <row r="92" spans="1:22">
      <c r="A92" t="s">
        <v>282</v>
      </c>
      <c r="B92" s="10">
        <v>42820.894907407404</v>
      </c>
      <c r="C92" s="10">
        <v>42820.904374999998</v>
      </c>
      <c r="D92" s="10">
        <v>42821.602407407408</v>
      </c>
      <c r="E92" s="10">
        <v>42825.487604166665</v>
      </c>
      <c r="F92" s="10">
        <v>42843</v>
      </c>
      <c r="G92" t="s">
        <v>8</v>
      </c>
      <c r="H92" t="s">
        <v>283</v>
      </c>
      <c r="I92" t="s">
        <v>279</v>
      </c>
      <c r="J92" s="11">
        <v>1</v>
      </c>
      <c r="K92" s="12">
        <v>79.900000000000006</v>
      </c>
      <c r="L92" s="12">
        <v>14.73</v>
      </c>
      <c r="M92" s="13">
        <v>5</v>
      </c>
      <c r="N92" s="13">
        <f t="shared" si="8"/>
        <v>4.5926967592604342</v>
      </c>
      <c r="O92" s="13">
        <f t="shared" si="9"/>
        <v>0</v>
      </c>
      <c r="P92" t="str">
        <f t="shared" si="10"/>
        <v>On Time</v>
      </c>
      <c r="Q92" s="13">
        <f t="shared" si="11"/>
        <v>0.22722222225274891</v>
      </c>
      <c r="R92" s="13">
        <f t="shared" si="12"/>
        <v>0.69803240741021</v>
      </c>
      <c r="S92" s="13">
        <f t="shared" si="13"/>
        <v>3.8851967592563597</v>
      </c>
      <c r="T92" t="str">
        <f t="shared" si="14"/>
        <v>On Time/Early</v>
      </c>
      <c r="U92" t="str">
        <f t="shared" si="15"/>
        <v>Normal</v>
      </c>
      <c r="V92" t="s">
        <v>102</v>
      </c>
    </row>
    <row r="93" spans="1:22">
      <c r="A93" t="s">
        <v>284</v>
      </c>
      <c r="B93" s="10">
        <v>42821.025000000001</v>
      </c>
      <c r="C93" s="10">
        <v>42821.042766203704</v>
      </c>
      <c r="D93" s="10">
        <v>42825.335659722223</v>
      </c>
      <c r="E93" s="10">
        <v>42837.65415509259</v>
      </c>
      <c r="F93" s="10">
        <v>42850</v>
      </c>
      <c r="G93" t="s">
        <v>33</v>
      </c>
      <c r="H93" t="s">
        <v>285</v>
      </c>
      <c r="I93" t="s">
        <v>120</v>
      </c>
      <c r="J93" s="11">
        <v>1</v>
      </c>
      <c r="K93" s="12">
        <v>580.27</v>
      </c>
      <c r="L93" s="12">
        <v>22.76</v>
      </c>
      <c r="M93" s="13">
        <v>4</v>
      </c>
      <c r="N93" s="13">
        <f t="shared" si="8"/>
        <v>16.629155092588917</v>
      </c>
      <c r="O93" s="13">
        <f t="shared" si="9"/>
        <v>0</v>
      </c>
      <c r="P93" t="str">
        <f t="shared" si="10"/>
        <v>On Time</v>
      </c>
      <c r="Q93" s="13">
        <f t="shared" si="11"/>
        <v>0.42638888885267079</v>
      </c>
      <c r="R93" s="13">
        <f t="shared" si="12"/>
        <v>4.2928935185191222</v>
      </c>
      <c r="S93" s="13">
        <f t="shared" si="13"/>
        <v>12.3184953703676</v>
      </c>
      <c r="T93" t="str">
        <f t="shared" si="14"/>
        <v>On Time/Early</v>
      </c>
      <c r="U93" t="str">
        <f t="shared" si="15"/>
        <v>Normal</v>
      </c>
      <c r="V93" t="s">
        <v>102</v>
      </c>
    </row>
    <row r="94" spans="1:22">
      <c r="A94" t="s">
        <v>286</v>
      </c>
      <c r="B94" s="10">
        <v>42821.410902777781</v>
      </c>
      <c r="C94" s="10">
        <v>42821.420381944445</v>
      </c>
      <c r="D94" s="10">
        <v>42821.645590277774</v>
      </c>
      <c r="E94" s="10">
        <v>42823.432662037034</v>
      </c>
      <c r="F94" s="10">
        <v>42838</v>
      </c>
      <c r="G94" t="s">
        <v>8</v>
      </c>
      <c r="H94" t="s">
        <v>140</v>
      </c>
      <c r="I94" t="s">
        <v>58</v>
      </c>
      <c r="J94" s="11">
        <v>2</v>
      </c>
      <c r="K94" s="12">
        <v>118.82</v>
      </c>
      <c r="L94" s="12">
        <v>18.82</v>
      </c>
      <c r="M94" s="13">
        <v>5</v>
      </c>
      <c r="N94" s="13">
        <f t="shared" si="8"/>
        <v>2.0217592592525762</v>
      </c>
      <c r="O94" s="13">
        <f t="shared" si="9"/>
        <v>0</v>
      </c>
      <c r="P94" t="str">
        <f t="shared" si="10"/>
        <v>On Time</v>
      </c>
      <c r="Q94" s="13">
        <f t="shared" si="11"/>
        <v>0.22749999992083758</v>
      </c>
      <c r="R94" s="13">
        <f t="shared" si="12"/>
        <v>0.22520833332964685</v>
      </c>
      <c r="S94" s="13">
        <f t="shared" si="13"/>
        <v>1.7870717592595611</v>
      </c>
      <c r="T94" t="str">
        <f t="shared" si="14"/>
        <v>On Time/Early</v>
      </c>
      <c r="U94" t="str">
        <f t="shared" si="15"/>
        <v>Normal</v>
      </c>
      <c r="V94" t="s">
        <v>102</v>
      </c>
    </row>
    <row r="95" spans="1:22">
      <c r="A95" t="s">
        <v>287</v>
      </c>
      <c r="B95" s="10">
        <v>42821.452002314814</v>
      </c>
      <c r="C95" s="10">
        <v>42821.459918981483</v>
      </c>
      <c r="D95" s="10">
        <v>42824.55097222222</v>
      </c>
      <c r="E95" s="10">
        <v>42828.57335648148</v>
      </c>
      <c r="F95" s="10">
        <v>42844</v>
      </c>
      <c r="G95" t="s">
        <v>36</v>
      </c>
      <c r="H95" t="s">
        <v>288</v>
      </c>
      <c r="I95" t="s">
        <v>120</v>
      </c>
      <c r="J95" s="11">
        <v>1</v>
      </c>
      <c r="K95" s="12">
        <v>99</v>
      </c>
      <c r="L95" s="12">
        <v>17.43</v>
      </c>
      <c r="M95" s="13">
        <v>2</v>
      </c>
      <c r="N95" s="13">
        <f t="shared" si="8"/>
        <v>7.1213541666656965</v>
      </c>
      <c r="O95" s="13">
        <f t="shared" si="9"/>
        <v>0</v>
      </c>
      <c r="P95" t="str">
        <f t="shared" si="10"/>
        <v>On Time</v>
      </c>
      <c r="Q95" s="13">
        <f t="shared" si="11"/>
        <v>0.19000000006053597</v>
      </c>
      <c r="R95" s="13">
        <f t="shared" si="12"/>
        <v>3.0910532407360733</v>
      </c>
      <c r="S95" s="13">
        <f t="shared" si="13"/>
        <v>4.0223842592604342</v>
      </c>
      <c r="T95" t="str">
        <f t="shared" si="14"/>
        <v>On Time/Early</v>
      </c>
      <c r="U95" t="str">
        <f t="shared" si="15"/>
        <v>Normal</v>
      </c>
      <c r="V95" t="s">
        <v>102</v>
      </c>
    </row>
    <row r="96" spans="1:22">
      <c r="A96" t="s">
        <v>289</v>
      </c>
      <c r="B96" s="10">
        <v>42821.771226851852</v>
      </c>
      <c r="C96" s="10">
        <v>42823.090740740743</v>
      </c>
      <c r="D96" s="10">
        <v>42823.500057870369</v>
      </c>
      <c r="E96" s="10">
        <v>42860.602812500001</v>
      </c>
      <c r="F96" s="10">
        <v>42857</v>
      </c>
      <c r="G96" t="s">
        <v>57</v>
      </c>
      <c r="H96" t="s">
        <v>290</v>
      </c>
      <c r="I96" t="s">
        <v>31</v>
      </c>
      <c r="J96" s="11">
        <v>1</v>
      </c>
      <c r="K96" s="12">
        <v>45.49</v>
      </c>
      <c r="L96" s="12">
        <v>24.84</v>
      </c>
      <c r="M96" s="13">
        <v>5</v>
      </c>
      <c r="N96" s="13">
        <f t="shared" si="8"/>
        <v>38.831585648149485</v>
      </c>
      <c r="O96" s="13">
        <f t="shared" si="9"/>
        <v>3.6028125000011642</v>
      </c>
      <c r="P96" t="str">
        <f t="shared" si="10"/>
        <v>Delayed</v>
      </c>
      <c r="Q96" s="13">
        <f t="shared" si="11"/>
        <v>31.668333333393093</v>
      </c>
      <c r="R96" s="13">
        <f t="shared" si="12"/>
        <v>0.40931712962628808</v>
      </c>
      <c r="S96" s="13">
        <f t="shared" si="13"/>
        <v>37.102754629631818</v>
      </c>
      <c r="T96" t="str">
        <f t="shared" si="14"/>
        <v>4-7 Days Late</v>
      </c>
      <c r="U96" t="str">
        <f t="shared" si="15"/>
        <v>Needs Review</v>
      </c>
      <c r="V96" t="s">
        <v>102</v>
      </c>
    </row>
    <row r="97" spans="1:22">
      <c r="A97" t="s">
        <v>291</v>
      </c>
      <c r="B97" s="10">
        <v>42821.854027777779</v>
      </c>
      <c r="C97" s="10">
        <v>42821.863287037035</v>
      </c>
      <c r="D97" s="10">
        <v>42822.488171296296</v>
      </c>
      <c r="E97" s="10">
        <v>42824.572592592594</v>
      </c>
      <c r="F97" s="10">
        <v>42838</v>
      </c>
      <c r="G97" t="s">
        <v>8</v>
      </c>
      <c r="H97" t="s">
        <v>140</v>
      </c>
      <c r="I97" t="s">
        <v>118</v>
      </c>
      <c r="J97" s="11">
        <v>1</v>
      </c>
      <c r="K97" s="12">
        <v>49.99</v>
      </c>
      <c r="L97" s="12">
        <v>8.7200000000000006</v>
      </c>
      <c r="M97" s="13">
        <v>1</v>
      </c>
      <c r="N97" s="13">
        <f t="shared" si="8"/>
        <v>2.7185648148151813</v>
      </c>
      <c r="O97" s="13">
        <f t="shared" si="9"/>
        <v>0</v>
      </c>
      <c r="P97" t="str">
        <f t="shared" si="10"/>
        <v>On Time</v>
      </c>
      <c r="Q97" s="13">
        <f t="shared" si="11"/>
        <v>0.22222222213167697</v>
      </c>
      <c r="R97" s="13">
        <f t="shared" si="12"/>
        <v>0.62488425926130731</v>
      </c>
      <c r="S97" s="13">
        <f t="shared" si="13"/>
        <v>2.0844212962983875</v>
      </c>
      <c r="T97" t="str">
        <f t="shared" si="14"/>
        <v>On Time/Early</v>
      </c>
      <c r="U97" t="str">
        <f t="shared" si="15"/>
        <v>Normal</v>
      </c>
      <c r="V97" t="s">
        <v>102</v>
      </c>
    </row>
    <row r="98" spans="1:22">
      <c r="A98" t="s">
        <v>292</v>
      </c>
      <c r="B98" s="10">
        <v>42822.495324074072</v>
      </c>
      <c r="C98" s="10">
        <v>42822.505636574075</v>
      </c>
      <c r="D98" s="10">
        <v>42824.453101851854</v>
      </c>
      <c r="E98" s="10">
        <v>42830.641030092593</v>
      </c>
      <c r="F98" s="10">
        <v>42849</v>
      </c>
      <c r="G98" t="s">
        <v>20</v>
      </c>
      <c r="H98" t="s">
        <v>293</v>
      </c>
      <c r="I98" t="s">
        <v>180</v>
      </c>
      <c r="J98" s="11">
        <v>1</v>
      </c>
      <c r="K98" s="12">
        <v>60</v>
      </c>
      <c r="L98" s="12">
        <v>15.63</v>
      </c>
      <c r="M98" s="13">
        <v>5</v>
      </c>
      <c r="N98" s="13">
        <f t="shared" si="8"/>
        <v>8.1457060185202863</v>
      </c>
      <c r="O98" s="13">
        <f t="shared" si="9"/>
        <v>0</v>
      </c>
      <c r="P98" t="str">
        <f t="shared" si="10"/>
        <v>On Time</v>
      </c>
      <c r="Q98" s="13">
        <f t="shared" si="11"/>
        <v>0.24750000005587935</v>
      </c>
      <c r="R98" s="13">
        <f t="shared" si="12"/>
        <v>1.9474652777789743</v>
      </c>
      <c r="S98" s="13">
        <f t="shared" si="13"/>
        <v>6.1879282407389837</v>
      </c>
      <c r="T98" t="str">
        <f t="shared" si="14"/>
        <v>On Time/Early</v>
      </c>
      <c r="U98" t="str">
        <f t="shared" si="15"/>
        <v>Normal</v>
      </c>
      <c r="V98" t="s">
        <v>102</v>
      </c>
    </row>
    <row r="99" spans="1:22">
      <c r="A99" t="s">
        <v>294</v>
      </c>
      <c r="B99" s="10">
        <v>42822.601203703707</v>
      </c>
      <c r="C99" s="10">
        <v>42824.04546296296</v>
      </c>
      <c r="D99" s="10">
        <v>42825.390266203707</v>
      </c>
      <c r="E99" s="10">
        <v>42830.512430555558</v>
      </c>
      <c r="F99" s="10">
        <v>42842</v>
      </c>
      <c r="G99" t="s">
        <v>8</v>
      </c>
      <c r="H99" t="s">
        <v>227</v>
      </c>
      <c r="I99" t="s">
        <v>9</v>
      </c>
      <c r="J99" s="11">
        <v>1</v>
      </c>
      <c r="K99" s="12">
        <v>84.9</v>
      </c>
      <c r="L99" s="12">
        <v>11.2</v>
      </c>
      <c r="M99" s="13">
        <v>5</v>
      </c>
      <c r="N99" s="13">
        <f t="shared" si="8"/>
        <v>7.9112268518510973</v>
      </c>
      <c r="O99" s="13">
        <f t="shared" si="9"/>
        <v>0</v>
      </c>
      <c r="P99" t="str">
        <f t="shared" si="10"/>
        <v>On Time</v>
      </c>
      <c r="Q99" s="13">
        <f t="shared" si="11"/>
        <v>34.662222222075798</v>
      </c>
      <c r="R99" s="13">
        <f t="shared" si="12"/>
        <v>1.3448032407468418</v>
      </c>
      <c r="S99" s="13">
        <f t="shared" si="13"/>
        <v>5.1221643518510973</v>
      </c>
      <c r="T99" t="str">
        <f t="shared" si="14"/>
        <v>On Time/Early</v>
      </c>
      <c r="U99" t="str">
        <f t="shared" si="15"/>
        <v>Normal</v>
      </c>
      <c r="V99" t="s">
        <v>102</v>
      </c>
    </row>
    <row r="100" spans="1:22">
      <c r="A100" t="s">
        <v>295</v>
      </c>
      <c r="B100" s="10">
        <v>42824.494467592594</v>
      </c>
      <c r="C100" s="10">
        <v>42824.545266203706</v>
      </c>
      <c r="D100" s="10">
        <v>42825.808009259257</v>
      </c>
      <c r="E100" s="10">
        <v>42829.958356481482</v>
      </c>
      <c r="F100" s="10">
        <v>42857</v>
      </c>
      <c r="G100" t="s">
        <v>16</v>
      </c>
      <c r="H100" t="s">
        <v>138</v>
      </c>
      <c r="I100" t="s">
        <v>136</v>
      </c>
      <c r="J100" s="11">
        <v>1</v>
      </c>
      <c r="K100" s="12">
        <v>89.9</v>
      </c>
      <c r="L100" s="12">
        <v>16.88</v>
      </c>
      <c r="M100" s="13">
        <v>5</v>
      </c>
      <c r="N100" s="13">
        <f t="shared" si="8"/>
        <v>5.4638888888875954</v>
      </c>
      <c r="O100" s="13">
        <f t="shared" si="9"/>
        <v>0</v>
      </c>
      <c r="P100" t="str">
        <f t="shared" si="10"/>
        <v>On Time</v>
      </c>
      <c r="Q100" s="13">
        <f t="shared" si="11"/>
        <v>1.219166666676756</v>
      </c>
      <c r="R100" s="13">
        <f t="shared" si="12"/>
        <v>1.2627430555512547</v>
      </c>
      <c r="S100" s="13">
        <f t="shared" si="13"/>
        <v>4.1503472222248092</v>
      </c>
      <c r="T100" t="str">
        <f t="shared" si="14"/>
        <v>On Time/Early</v>
      </c>
      <c r="U100" t="str">
        <f t="shared" si="15"/>
        <v>Normal</v>
      </c>
      <c r="V100" t="s">
        <v>102</v>
      </c>
    </row>
    <row r="101" spans="1:22">
      <c r="A101" t="s">
        <v>296</v>
      </c>
      <c r="B101" s="10">
        <v>42824.548819444448</v>
      </c>
      <c r="C101" s="10">
        <v>42825.55265046296</v>
      </c>
      <c r="D101" s="10">
        <v>42825.591782407406</v>
      </c>
      <c r="E101" s="10">
        <v>42830.577766203707</v>
      </c>
      <c r="F101" s="10">
        <v>42860</v>
      </c>
      <c r="G101" t="s">
        <v>33</v>
      </c>
      <c r="H101" t="s">
        <v>297</v>
      </c>
      <c r="I101" t="s">
        <v>128</v>
      </c>
      <c r="J101" s="11">
        <v>1</v>
      </c>
      <c r="K101" s="12">
        <v>889</v>
      </c>
      <c r="L101" s="12">
        <v>18.8</v>
      </c>
      <c r="M101" s="13">
        <v>5</v>
      </c>
      <c r="N101" s="13">
        <f t="shared" si="8"/>
        <v>6.02894675925927</v>
      </c>
      <c r="O101" s="13">
        <f t="shared" si="9"/>
        <v>0</v>
      </c>
      <c r="P101" t="str">
        <f t="shared" si="10"/>
        <v>On Time</v>
      </c>
      <c r="Q101" s="13">
        <f t="shared" si="11"/>
        <v>24.091944444284309</v>
      </c>
      <c r="R101" s="13">
        <f t="shared" si="12"/>
        <v>3.9131944446125999E-2</v>
      </c>
      <c r="S101" s="13">
        <f t="shared" si="13"/>
        <v>4.9859837963012978</v>
      </c>
      <c r="T101" t="str">
        <f t="shared" si="14"/>
        <v>On Time/Early</v>
      </c>
      <c r="U101" t="str">
        <f t="shared" si="15"/>
        <v>Normal</v>
      </c>
      <c r="V101" t="s">
        <v>102</v>
      </c>
    </row>
    <row r="102" spans="1:22">
      <c r="A102" t="s">
        <v>298</v>
      </c>
      <c r="B102" s="10">
        <v>42824.741759259261</v>
      </c>
      <c r="C102" s="10">
        <v>42824.751562500001</v>
      </c>
      <c r="D102" s="10">
        <v>42830.679224537038</v>
      </c>
      <c r="E102" s="10">
        <v>42838.544293981482</v>
      </c>
      <c r="F102" s="10">
        <v>42844</v>
      </c>
      <c r="G102" t="s">
        <v>8</v>
      </c>
      <c r="H102" t="s">
        <v>299</v>
      </c>
      <c r="I102" t="s">
        <v>128</v>
      </c>
      <c r="J102" s="11">
        <v>1</v>
      </c>
      <c r="K102" s="12">
        <v>59</v>
      </c>
      <c r="L102" s="12">
        <v>14.18</v>
      </c>
      <c r="M102" s="13">
        <v>4</v>
      </c>
      <c r="N102" s="13">
        <f t="shared" si="8"/>
        <v>13.802534722221026</v>
      </c>
      <c r="O102" s="13">
        <f t="shared" si="9"/>
        <v>0</v>
      </c>
      <c r="P102" t="str">
        <f t="shared" si="10"/>
        <v>On Time</v>
      </c>
      <c r="Q102" s="13">
        <f t="shared" si="11"/>
        <v>0.23527777777053416</v>
      </c>
      <c r="R102" s="13">
        <f t="shared" si="12"/>
        <v>5.9276620370364981</v>
      </c>
      <c r="S102" s="13">
        <f t="shared" si="13"/>
        <v>7.8650694444440887</v>
      </c>
      <c r="T102" t="str">
        <f t="shared" si="14"/>
        <v>On Time/Early</v>
      </c>
      <c r="U102" t="str">
        <f t="shared" si="15"/>
        <v>Normal</v>
      </c>
      <c r="V102" t="s">
        <v>102</v>
      </c>
    </row>
    <row r="103" spans="1:22">
      <c r="A103" t="s">
        <v>300</v>
      </c>
      <c r="B103" s="10">
        <v>42824.834780092591</v>
      </c>
      <c r="C103" s="10">
        <v>42824.843900462962</v>
      </c>
      <c r="D103" s="10">
        <v>42835.691030092596</v>
      </c>
      <c r="E103" s="10">
        <v>42837.447650462964</v>
      </c>
      <c r="F103" s="10">
        <v>42860</v>
      </c>
      <c r="G103" t="s">
        <v>8</v>
      </c>
      <c r="H103" t="s">
        <v>140</v>
      </c>
      <c r="I103" t="s">
        <v>37</v>
      </c>
      <c r="J103" s="11">
        <v>1</v>
      </c>
      <c r="K103" s="12">
        <v>179.96</v>
      </c>
      <c r="L103" s="12">
        <v>22.17</v>
      </c>
      <c r="M103" s="13">
        <v>1</v>
      </c>
      <c r="N103" s="13">
        <f t="shared" si="8"/>
        <v>12.612870370372548</v>
      </c>
      <c r="O103" s="13">
        <f t="shared" si="9"/>
        <v>0</v>
      </c>
      <c r="P103" t="str">
        <f t="shared" si="10"/>
        <v>On Time</v>
      </c>
      <c r="Q103" s="13">
        <f t="shared" si="11"/>
        <v>0.218888888892252</v>
      </c>
      <c r="R103" s="13">
        <f t="shared" si="12"/>
        <v>10.847129629633855</v>
      </c>
      <c r="S103" s="13">
        <f t="shared" si="13"/>
        <v>1.7566203703681822</v>
      </c>
      <c r="T103" t="str">
        <f t="shared" si="14"/>
        <v>On Time/Early</v>
      </c>
      <c r="U103" t="str">
        <f t="shared" si="15"/>
        <v>Normal</v>
      </c>
      <c r="V103" t="s">
        <v>102</v>
      </c>
    </row>
    <row r="104" spans="1:22">
      <c r="A104" t="s">
        <v>301</v>
      </c>
      <c r="B104" s="10">
        <v>42825.327407407407</v>
      </c>
      <c r="C104" s="10">
        <v>42825.336967592593</v>
      </c>
      <c r="D104" s="10">
        <v>42825.542384259257</v>
      </c>
      <c r="E104" s="10">
        <v>42829.443101851852</v>
      </c>
      <c r="F104" s="10">
        <v>42845</v>
      </c>
      <c r="G104" t="s">
        <v>30</v>
      </c>
      <c r="H104" t="s">
        <v>302</v>
      </c>
      <c r="I104" t="s">
        <v>235</v>
      </c>
      <c r="J104" s="11">
        <v>1</v>
      </c>
      <c r="K104" s="12">
        <v>19.899999999999999</v>
      </c>
      <c r="L104" s="12">
        <v>10.96</v>
      </c>
      <c r="M104" s="13">
        <v>5</v>
      </c>
      <c r="N104" s="13">
        <f t="shared" si="8"/>
        <v>4.1156944444446708</v>
      </c>
      <c r="O104" s="13">
        <f t="shared" si="9"/>
        <v>0</v>
      </c>
      <c r="P104" t="str">
        <f t="shared" si="10"/>
        <v>On Time</v>
      </c>
      <c r="Q104" s="13">
        <f t="shared" si="11"/>
        <v>0.22944444447057322</v>
      </c>
      <c r="R104" s="13">
        <f t="shared" si="12"/>
        <v>0.20541666666395031</v>
      </c>
      <c r="S104" s="13">
        <f t="shared" si="13"/>
        <v>3.9007175925944466</v>
      </c>
      <c r="T104" t="str">
        <f t="shared" si="14"/>
        <v>On Time/Early</v>
      </c>
      <c r="U104" t="str">
        <f t="shared" si="15"/>
        <v>Normal</v>
      </c>
      <c r="V104" t="s">
        <v>102</v>
      </c>
    </row>
    <row r="105" spans="1:22">
      <c r="A105" t="s">
        <v>303</v>
      </c>
      <c r="B105" s="10">
        <v>42826.267708333333</v>
      </c>
      <c r="C105" s="10">
        <v>42829.251840277779</v>
      </c>
      <c r="D105" s="10">
        <v>42845.482256944444</v>
      </c>
      <c r="E105" s="10">
        <v>42862.609675925924</v>
      </c>
      <c r="F105" s="10">
        <v>42851</v>
      </c>
      <c r="G105" t="s">
        <v>8</v>
      </c>
      <c r="H105" t="s">
        <v>140</v>
      </c>
      <c r="I105" t="s">
        <v>185</v>
      </c>
      <c r="J105" s="11">
        <v>1</v>
      </c>
      <c r="K105" s="12">
        <v>139.99</v>
      </c>
      <c r="L105" s="12">
        <v>21.06</v>
      </c>
      <c r="M105" s="13">
        <v>1</v>
      </c>
      <c r="N105" s="13">
        <f t="shared" si="8"/>
        <v>36.341967592590663</v>
      </c>
      <c r="O105" s="13">
        <f t="shared" si="9"/>
        <v>11.609675925923511</v>
      </c>
      <c r="P105" t="str">
        <f t="shared" si="10"/>
        <v>Delayed</v>
      </c>
      <c r="Q105" s="13">
        <f t="shared" si="11"/>
        <v>71.619166666700039</v>
      </c>
      <c r="R105" s="13">
        <f t="shared" si="12"/>
        <v>16.230416666665406</v>
      </c>
      <c r="S105" s="13">
        <f t="shared" si="13"/>
        <v>17.127418981479423</v>
      </c>
      <c r="T105" t="str">
        <f t="shared" si="14"/>
        <v>8+ Days Late</v>
      </c>
      <c r="U105" t="str">
        <f t="shared" si="15"/>
        <v>Needs Review</v>
      </c>
      <c r="V105" t="s">
        <v>102</v>
      </c>
    </row>
    <row r="106" spans="1:22">
      <c r="A106" t="s">
        <v>304</v>
      </c>
      <c r="B106" s="10">
        <v>42826.573020833333</v>
      </c>
      <c r="C106" s="10">
        <v>42826.585219907407</v>
      </c>
      <c r="D106" s="10">
        <v>42835.753298611111</v>
      </c>
      <c r="E106" s="10">
        <v>42843.557037037041</v>
      </c>
      <c r="F106" s="10">
        <v>42867</v>
      </c>
      <c r="G106" t="s">
        <v>23</v>
      </c>
      <c r="H106" t="s">
        <v>275</v>
      </c>
      <c r="I106" t="s">
        <v>37</v>
      </c>
      <c r="J106" s="11">
        <v>1</v>
      </c>
      <c r="K106" s="12">
        <v>129.6</v>
      </c>
      <c r="L106" s="12">
        <v>21.36</v>
      </c>
      <c r="M106" s="13">
        <v>4</v>
      </c>
      <c r="N106" s="13">
        <f t="shared" si="8"/>
        <v>16.984016203707142</v>
      </c>
      <c r="O106" s="13">
        <f t="shared" si="9"/>
        <v>0</v>
      </c>
      <c r="P106" t="str">
        <f t="shared" si="10"/>
        <v>On Time</v>
      </c>
      <c r="Q106" s="13">
        <f t="shared" si="11"/>
        <v>0.29277777776587754</v>
      </c>
      <c r="R106" s="13">
        <f t="shared" si="12"/>
        <v>9.1680787037039408</v>
      </c>
      <c r="S106" s="13">
        <f t="shared" si="13"/>
        <v>7.8037384259296232</v>
      </c>
      <c r="T106" t="str">
        <f t="shared" si="14"/>
        <v>On Time/Early</v>
      </c>
      <c r="U106" t="str">
        <f t="shared" si="15"/>
        <v>Normal</v>
      </c>
      <c r="V106" t="s">
        <v>102</v>
      </c>
    </row>
    <row r="107" spans="1:22">
      <c r="A107" t="s">
        <v>305</v>
      </c>
      <c r="B107" s="10">
        <v>42826.772986111115</v>
      </c>
      <c r="C107" s="10">
        <v>42826.781458333331</v>
      </c>
      <c r="D107" s="10">
        <v>42828.630370370367</v>
      </c>
      <c r="E107" s="10">
        <v>42838.734201388892</v>
      </c>
      <c r="F107" s="10">
        <v>42866</v>
      </c>
      <c r="G107" t="s">
        <v>306</v>
      </c>
      <c r="H107" t="s">
        <v>307</v>
      </c>
      <c r="I107" t="s">
        <v>136</v>
      </c>
      <c r="J107" s="11">
        <v>1</v>
      </c>
      <c r="K107" s="12">
        <v>69.900000000000006</v>
      </c>
      <c r="L107" s="12">
        <v>31.81</v>
      </c>
      <c r="M107" s="13">
        <v>4</v>
      </c>
      <c r="N107" s="13">
        <f t="shared" si="8"/>
        <v>11.961215277777228</v>
      </c>
      <c r="O107" s="13">
        <f t="shared" si="9"/>
        <v>0</v>
      </c>
      <c r="P107" t="str">
        <f t="shared" si="10"/>
        <v>On Time</v>
      </c>
      <c r="Q107" s="13">
        <f t="shared" si="11"/>
        <v>0.20333333319285884</v>
      </c>
      <c r="R107" s="13">
        <f t="shared" si="12"/>
        <v>1.848912037035916</v>
      </c>
      <c r="S107" s="13">
        <f t="shared" si="13"/>
        <v>10.103831018524943</v>
      </c>
      <c r="T107" t="str">
        <f t="shared" si="14"/>
        <v>On Time/Early</v>
      </c>
      <c r="U107" t="str">
        <f t="shared" si="15"/>
        <v>Normal</v>
      </c>
      <c r="V107" t="s">
        <v>102</v>
      </c>
    </row>
    <row r="108" spans="1:22">
      <c r="A108" t="s">
        <v>308</v>
      </c>
      <c r="B108" s="10">
        <v>42826.799479166664</v>
      </c>
      <c r="C108" s="10">
        <v>42826.807442129626</v>
      </c>
      <c r="D108" s="10">
        <v>42828.518090277779</v>
      </c>
      <c r="E108" s="10">
        <v>42831.558518518519</v>
      </c>
      <c r="F108" s="10">
        <v>42849</v>
      </c>
      <c r="G108" t="s">
        <v>8</v>
      </c>
      <c r="H108" t="s">
        <v>309</v>
      </c>
      <c r="I108" t="s">
        <v>185</v>
      </c>
      <c r="J108" s="11">
        <v>1</v>
      </c>
      <c r="K108" s="12">
        <v>137</v>
      </c>
      <c r="L108" s="12">
        <v>11.57</v>
      </c>
      <c r="M108" s="13">
        <v>5</v>
      </c>
      <c r="N108" s="13">
        <f t="shared" si="8"/>
        <v>4.7590393518548808</v>
      </c>
      <c r="O108" s="13">
        <f t="shared" si="9"/>
        <v>0</v>
      </c>
      <c r="P108" t="str">
        <f t="shared" si="10"/>
        <v>On Time</v>
      </c>
      <c r="Q108" s="13">
        <f t="shared" si="11"/>
        <v>0.19111111108213663</v>
      </c>
      <c r="R108" s="13">
        <f t="shared" si="12"/>
        <v>1.7106481481532683</v>
      </c>
      <c r="S108" s="13">
        <f t="shared" si="13"/>
        <v>3.0404282407398568</v>
      </c>
      <c r="T108" t="str">
        <f t="shared" si="14"/>
        <v>On Time/Early</v>
      </c>
      <c r="U108" t="str">
        <f t="shared" si="15"/>
        <v>Normal</v>
      </c>
      <c r="V108" t="s">
        <v>102</v>
      </c>
    </row>
    <row r="109" spans="1:22">
      <c r="A109" t="s">
        <v>310</v>
      </c>
      <c r="B109" s="10">
        <v>42826.862002314818</v>
      </c>
      <c r="C109" s="10">
        <v>42829.253888888888</v>
      </c>
      <c r="D109" s="10">
        <v>42830.578564814816</v>
      </c>
      <c r="E109" s="10">
        <v>42832.487916666665</v>
      </c>
      <c r="F109" s="10">
        <v>42851</v>
      </c>
      <c r="G109" t="s">
        <v>8</v>
      </c>
      <c r="H109" t="s">
        <v>182</v>
      </c>
      <c r="I109" t="s">
        <v>58</v>
      </c>
      <c r="J109" s="11">
        <v>1</v>
      </c>
      <c r="K109" s="12">
        <v>6</v>
      </c>
      <c r="L109" s="12">
        <v>10.96</v>
      </c>
      <c r="M109" s="13">
        <v>5</v>
      </c>
      <c r="N109" s="13">
        <f t="shared" si="8"/>
        <v>5.6259143518473138</v>
      </c>
      <c r="O109" s="13">
        <f t="shared" si="9"/>
        <v>0</v>
      </c>
      <c r="P109" t="str">
        <f t="shared" si="10"/>
        <v>On Time</v>
      </c>
      <c r="Q109" s="13">
        <f t="shared" si="11"/>
        <v>57.405277777696028</v>
      </c>
      <c r="R109" s="13">
        <f t="shared" si="12"/>
        <v>1.3246759259272949</v>
      </c>
      <c r="S109" s="13">
        <f t="shared" si="13"/>
        <v>1.9093518518493511</v>
      </c>
      <c r="T109" t="str">
        <f t="shared" si="14"/>
        <v>On Time/Early</v>
      </c>
      <c r="U109" t="str">
        <f t="shared" si="15"/>
        <v>Normal</v>
      </c>
      <c r="V109" t="s">
        <v>102</v>
      </c>
    </row>
    <row r="110" spans="1:22">
      <c r="A110" t="s">
        <v>311</v>
      </c>
      <c r="B110" s="10">
        <v>42827.012499999997</v>
      </c>
      <c r="C110" s="10">
        <v>42827.045057870368</v>
      </c>
      <c r="D110" s="10">
        <v>42829.59269675926</v>
      </c>
      <c r="E110" s="10">
        <v>42837.572800925926</v>
      </c>
      <c r="F110" s="10">
        <v>42851</v>
      </c>
      <c r="G110" t="s">
        <v>20</v>
      </c>
      <c r="H110" t="s">
        <v>312</v>
      </c>
      <c r="I110" t="s">
        <v>185</v>
      </c>
      <c r="J110" s="11">
        <v>4</v>
      </c>
      <c r="K110" s="12">
        <v>1596</v>
      </c>
      <c r="L110" s="12">
        <v>123.92</v>
      </c>
      <c r="M110" s="13">
        <v>1</v>
      </c>
      <c r="N110" s="13">
        <f t="shared" si="8"/>
        <v>10.560300925928459</v>
      </c>
      <c r="O110" s="13">
        <f t="shared" si="9"/>
        <v>0</v>
      </c>
      <c r="P110" t="str">
        <f t="shared" si="10"/>
        <v>On Time</v>
      </c>
      <c r="Q110" s="13">
        <f t="shared" si="11"/>
        <v>0.781388888892252</v>
      </c>
      <c r="R110" s="13">
        <f t="shared" si="12"/>
        <v>2.5476388888928341</v>
      </c>
      <c r="S110" s="13">
        <f t="shared" si="13"/>
        <v>7.9801041666651145</v>
      </c>
      <c r="T110" t="str">
        <f t="shared" si="14"/>
        <v>On Time/Early</v>
      </c>
      <c r="U110" t="str">
        <f t="shared" si="15"/>
        <v>Normal</v>
      </c>
      <c r="V110" t="s">
        <v>102</v>
      </c>
    </row>
    <row r="111" spans="1:22">
      <c r="A111" t="s">
        <v>313</v>
      </c>
      <c r="B111" s="10">
        <v>42829.964745370373</v>
      </c>
      <c r="C111" s="10">
        <v>42829.974120370367</v>
      </c>
      <c r="D111" s="10">
        <v>42830.578599537039</v>
      </c>
      <c r="E111" s="10">
        <v>42842.554201388892</v>
      </c>
      <c r="F111" s="10">
        <v>42852</v>
      </c>
      <c r="G111" t="s">
        <v>8</v>
      </c>
      <c r="H111" t="s">
        <v>314</v>
      </c>
      <c r="I111" t="s">
        <v>143</v>
      </c>
      <c r="J111" s="11">
        <v>1</v>
      </c>
      <c r="K111" s="12">
        <v>329.9</v>
      </c>
      <c r="L111" s="12">
        <v>16.48</v>
      </c>
      <c r="M111" s="13">
        <v>3</v>
      </c>
      <c r="N111" s="13">
        <f t="shared" si="8"/>
        <v>12.589456018518831</v>
      </c>
      <c r="O111" s="13">
        <f t="shared" si="9"/>
        <v>0</v>
      </c>
      <c r="P111" t="str">
        <f t="shared" si="10"/>
        <v>On Time</v>
      </c>
      <c r="Q111" s="13">
        <f t="shared" si="11"/>
        <v>0.22499999986030161</v>
      </c>
      <c r="R111" s="13">
        <f t="shared" si="12"/>
        <v>0.60447916667180834</v>
      </c>
      <c r="S111" s="13">
        <f t="shared" si="13"/>
        <v>11.975601851852844</v>
      </c>
      <c r="T111" t="str">
        <f t="shared" si="14"/>
        <v>On Time/Early</v>
      </c>
      <c r="U111" t="str">
        <f t="shared" si="15"/>
        <v>Normal</v>
      </c>
      <c r="V111" t="s">
        <v>102</v>
      </c>
    </row>
    <row r="112" spans="1:22">
      <c r="A112" t="s">
        <v>315</v>
      </c>
      <c r="B112" s="10">
        <v>42830.064641203702</v>
      </c>
      <c r="C112" s="10">
        <v>42832.279513888891</v>
      </c>
      <c r="D112" s="10">
        <v>42836.349953703706</v>
      </c>
      <c r="E112" s="10">
        <v>42842.706307870372</v>
      </c>
      <c r="F112" s="10">
        <v>42858</v>
      </c>
      <c r="G112" t="s">
        <v>8</v>
      </c>
      <c r="H112" t="s">
        <v>214</v>
      </c>
      <c r="I112" t="s">
        <v>58</v>
      </c>
      <c r="J112" s="11">
        <v>1</v>
      </c>
      <c r="K112" s="12">
        <v>59.9</v>
      </c>
      <c r="L112" s="12">
        <v>16.12</v>
      </c>
      <c r="M112" s="13">
        <v>5</v>
      </c>
      <c r="N112" s="13">
        <f t="shared" si="8"/>
        <v>12.641666666670062</v>
      </c>
      <c r="O112" s="13">
        <f t="shared" si="9"/>
        <v>0</v>
      </c>
      <c r="P112" t="str">
        <f t="shared" si="10"/>
        <v>On Time</v>
      </c>
      <c r="Q112" s="13">
        <f t="shared" si="11"/>
        <v>53.156944444519468</v>
      </c>
      <c r="R112" s="13">
        <f t="shared" si="12"/>
        <v>4.0704398148154723</v>
      </c>
      <c r="S112" s="13">
        <f t="shared" si="13"/>
        <v>6.3563541666662786</v>
      </c>
      <c r="T112" t="str">
        <f t="shared" si="14"/>
        <v>On Time/Early</v>
      </c>
      <c r="U112" t="str">
        <f t="shared" si="15"/>
        <v>Normal</v>
      </c>
      <c r="V112" t="s">
        <v>102</v>
      </c>
    </row>
    <row r="113" spans="1:22">
      <c r="A113" t="s">
        <v>316</v>
      </c>
      <c r="B113" s="10">
        <v>42832.367488425924</v>
      </c>
      <c r="C113" s="10">
        <v>42833.113182870373</v>
      </c>
      <c r="D113" s="10">
        <v>42850.578796296293</v>
      </c>
      <c r="E113" s="10">
        <v>42860.672303240739</v>
      </c>
      <c r="F113" s="10">
        <v>42864</v>
      </c>
      <c r="G113" t="s">
        <v>8</v>
      </c>
      <c r="H113" t="s">
        <v>225</v>
      </c>
      <c r="I113" t="s">
        <v>141</v>
      </c>
      <c r="J113" s="11">
        <v>1</v>
      </c>
      <c r="K113" s="12">
        <v>39.299999999999997</v>
      </c>
      <c r="L113" s="12">
        <v>11.74</v>
      </c>
      <c r="M113" s="13">
        <v>5</v>
      </c>
      <c r="N113" s="13">
        <f t="shared" si="8"/>
        <v>28.304814814815472</v>
      </c>
      <c r="O113" s="13">
        <f t="shared" si="9"/>
        <v>0</v>
      </c>
      <c r="P113" t="str">
        <f t="shared" si="10"/>
        <v>On Time</v>
      </c>
      <c r="Q113" s="13">
        <f t="shared" si="11"/>
        <v>17.896666666783858</v>
      </c>
      <c r="R113" s="13">
        <f t="shared" si="12"/>
        <v>17.46561342592031</v>
      </c>
      <c r="S113" s="13">
        <f t="shared" si="13"/>
        <v>10.093506944445835</v>
      </c>
      <c r="T113" t="str">
        <f t="shared" si="14"/>
        <v>On Time/Early</v>
      </c>
      <c r="U113" t="str">
        <f t="shared" si="15"/>
        <v>Normal</v>
      </c>
      <c r="V113" t="s">
        <v>102</v>
      </c>
    </row>
    <row r="114" spans="1:22">
      <c r="A114" t="s">
        <v>317</v>
      </c>
      <c r="B114" s="10">
        <v>42832.425555555557</v>
      </c>
      <c r="C114" s="10">
        <v>42832.433437500003</v>
      </c>
      <c r="D114" s="10">
        <v>42835.588993055557</v>
      </c>
      <c r="E114" s="10">
        <v>42844.636944444443</v>
      </c>
      <c r="F114" s="10">
        <v>42871</v>
      </c>
      <c r="G114" t="s">
        <v>43</v>
      </c>
      <c r="H114" t="s">
        <v>318</v>
      </c>
      <c r="I114" t="s">
        <v>141</v>
      </c>
      <c r="J114" s="11">
        <v>2</v>
      </c>
      <c r="K114" s="12">
        <v>29.98</v>
      </c>
      <c r="L114" s="12">
        <v>32.1</v>
      </c>
      <c r="M114" s="13">
        <v>5</v>
      </c>
      <c r="N114" s="13">
        <f t="shared" si="8"/>
        <v>12.211388888885267</v>
      </c>
      <c r="O114" s="13">
        <f t="shared" si="9"/>
        <v>0</v>
      </c>
      <c r="P114" t="str">
        <f t="shared" si="10"/>
        <v>On Time</v>
      </c>
      <c r="Q114" s="13">
        <f t="shared" si="11"/>
        <v>0.18916666670702398</v>
      </c>
      <c r="R114" s="13">
        <f t="shared" si="12"/>
        <v>3.1555555555532919</v>
      </c>
      <c r="S114" s="13">
        <f t="shared" si="13"/>
        <v>9.0479513888858492</v>
      </c>
      <c r="T114" t="str">
        <f t="shared" si="14"/>
        <v>On Time/Early</v>
      </c>
      <c r="U114" t="str">
        <f t="shared" si="15"/>
        <v>Normal</v>
      </c>
      <c r="V114" t="s">
        <v>102</v>
      </c>
    </row>
    <row r="115" spans="1:22">
      <c r="A115" t="s">
        <v>319</v>
      </c>
      <c r="B115" s="10">
        <v>42832.842569444445</v>
      </c>
      <c r="C115" s="10">
        <v>42832.84952546296</v>
      </c>
      <c r="D115" s="10">
        <v>42837.286319444444</v>
      </c>
      <c r="E115" s="10">
        <v>42853.683252314811</v>
      </c>
      <c r="F115" s="10">
        <v>42860</v>
      </c>
      <c r="G115" t="s">
        <v>320</v>
      </c>
      <c r="H115" t="s">
        <v>321</v>
      </c>
      <c r="I115" t="s">
        <v>180</v>
      </c>
      <c r="J115" s="11">
        <v>1</v>
      </c>
      <c r="K115" s="12">
        <v>65.900000000000006</v>
      </c>
      <c r="L115" s="12">
        <v>17.3</v>
      </c>
      <c r="M115" s="13">
        <v>5</v>
      </c>
      <c r="N115" s="13">
        <f t="shared" si="8"/>
        <v>20.840682870366436</v>
      </c>
      <c r="O115" s="13">
        <f t="shared" si="9"/>
        <v>0</v>
      </c>
      <c r="P115" t="str">
        <f t="shared" si="10"/>
        <v>On Time</v>
      </c>
      <c r="Q115" s="13">
        <f t="shared" si="11"/>
        <v>0.16694444435415789</v>
      </c>
      <c r="R115" s="13">
        <f t="shared" si="12"/>
        <v>4.4367939814837882</v>
      </c>
      <c r="S115" s="13">
        <f t="shared" si="13"/>
        <v>16.396932870367891</v>
      </c>
      <c r="T115" t="str">
        <f t="shared" si="14"/>
        <v>On Time/Early</v>
      </c>
      <c r="U115" t="str">
        <f t="shared" si="15"/>
        <v>Normal</v>
      </c>
      <c r="V115" t="s">
        <v>102</v>
      </c>
    </row>
    <row r="116" spans="1:22">
      <c r="A116" t="s">
        <v>322</v>
      </c>
      <c r="B116" s="10">
        <v>42832.852743055555</v>
      </c>
      <c r="C116" s="10">
        <v>42832.862893518519</v>
      </c>
      <c r="D116" s="10">
        <v>42833.364282407405</v>
      </c>
      <c r="E116" s="10">
        <v>42864.62290509259</v>
      </c>
      <c r="F116" s="10">
        <v>42870</v>
      </c>
      <c r="G116" t="s">
        <v>50</v>
      </c>
      <c r="H116" t="s">
        <v>323</v>
      </c>
      <c r="I116" t="s">
        <v>154</v>
      </c>
      <c r="J116" s="11">
        <v>1</v>
      </c>
      <c r="K116" s="12">
        <v>179.99</v>
      </c>
      <c r="L116" s="12">
        <v>30.19</v>
      </c>
      <c r="M116" s="13">
        <v>4</v>
      </c>
      <c r="N116" s="13">
        <f t="shared" si="8"/>
        <v>31.770162037035334</v>
      </c>
      <c r="O116" s="13">
        <f t="shared" si="9"/>
        <v>0</v>
      </c>
      <c r="P116" t="str">
        <f t="shared" si="10"/>
        <v>On Time</v>
      </c>
      <c r="Q116" s="13">
        <f t="shared" si="11"/>
        <v>0.24361111113103107</v>
      </c>
      <c r="R116" s="13">
        <f t="shared" si="12"/>
        <v>0.50138888888614019</v>
      </c>
      <c r="S116" s="13">
        <f t="shared" si="13"/>
        <v>31.258622685185401</v>
      </c>
      <c r="T116" t="str">
        <f t="shared" si="14"/>
        <v>On Time/Early</v>
      </c>
      <c r="U116" t="str">
        <f t="shared" si="15"/>
        <v>Normal</v>
      </c>
      <c r="V116" t="s">
        <v>102</v>
      </c>
    </row>
    <row r="117" spans="1:22">
      <c r="A117" t="s">
        <v>324</v>
      </c>
      <c r="B117" s="10">
        <v>42833.721550925926</v>
      </c>
      <c r="C117" s="10">
        <v>42833.729409722226</v>
      </c>
      <c r="D117" s="10">
        <v>42836.325057870374</v>
      </c>
      <c r="E117" s="10">
        <v>42843.572152777779</v>
      </c>
      <c r="F117" s="10">
        <v>42863</v>
      </c>
      <c r="G117" t="s">
        <v>43</v>
      </c>
      <c r="H117" t="s">
        <v>318</v>
      </c>
      <c r="I117" t="s">
        <v>24</v>
      </c>
      <c r="J117" s="11">
        <v>1</v>
      </c>
      <c r="K117" s="12">
        <v>74</v>
      </c>
      <c r="L117" s="12">
        <v>16.22</v>
      </c>
      <c r="M117" s="13">
        <v>4</v>
      </c>
      <c r="N117" s="13">
        <f t="shared" si="8"/>
        <v>9.8506018518528435</v>
      </c>
      <c r="O117" s="13">
        <f t="shared" si="9"/>
        <v>0</v>
      </c>
      <c r="P117" t="str">
        <f t="shared" si="10"/>
        <v>On Time</v>
      </c>
      <c r="Q117" s="13">
        <f t="shared" si="11"/>
        <v>0.18861111119622365</v>
      </c>
      <c r="R117" s="13">
        <f t="shared" si="12"/>
        <v>2.5956481481480296</v>
      </c>
      <c r="S117" s="13">
        <f t="shared" si="13"/>
        <v>7.2470949074049713</v>
      </c>
      <c r="T117" t="str">
        <f t="shared" si="14"/>
        <v>On Time/Early</v>
      </c>
      <c r="U117" t="str">
        <f t="shared" si="15"/>
        <v>Normal</v>
      </c>
      <c r="V117" t="s">
        <v>102</v>
      </c>
    </row>
    <row r="118" spans="1:22">
      <c r="A118" t="s">
        <v>325</v>
      </c>
      <c r="B118" s="10">
        <v>42835.019918981481</v>
      </c>
      <c r="C118" s="10">
        <v>42835.043657407405</v>
      </c>
      <c r="D118" s="10">
        <v>42836.552581018521</v>
      </c>
      <c r="E118" s="10">
        <v>42843.699780092589</v>
      </c>
      <c r="F118" s="10">
        <v>42865</v>
      </c>
      <c r="G118" t="s">
        <v>30</v>
      </c>
      <c r="H118" t="s">
        <v>326</v>
      </c>
      <c r="I118" t="s">
        <v>185</v>
      </c>
      <c r="J118" s="11">
        <v>1</v>
      </c>
      <c r="K118" s="12">
        <v>90</v>
      </c>
      <c r="L118" s="12">
        <v>16.329999999999998</v>
      </c>
      <c r="M118" s="13">
        <v>5</v>
      </c>
      <c r="N118" s="13">
        <f t="shared" si="8"/>
        <v>8.679861111108039</v>
      </c>
      <c r="O118" s="13">
        <f t="shared" si="9"/>
        <v>0</v>
      </c>
      <c r="P118" t="str">
        <f t="shared" si="10"/>
        <v>On Time</v>
      </c>
      <c r="Q118" s="13">
        <f t="shared" si="11"/>
        <v>0.56972222216427326</v>
      </c>
      <c r="R118" s="13">
        <f t="shared" si="12"/>
        <v>1.5089236111161881</v>
      </c>
      <c r="S118" s="13">
        <f t="shared" si="13"/>
        <v>7.1471990740683395</v>
      </c>
      <c r="T118" t="str">
        <f t="shared" si="14"/>
        <v>On Time/Early</v>
      </c>
      <c r="U118" t="str">
        <f t="shared" si="15"/>
        <v>Normal</v>
      </c>
      <c r="V118" t="s">
        <v>102</v>
      </c>
    </row>
    <row r="119" spans="1:22">
      <c r="A119" t="s">
        <v>327</v>
      </c>
      <c r="B119" s="10">
        <v>42835.884259259263</v>
      </c>
      <c r="C119" s="10">
        <v>42835.892523148148</v>
      </c>
      <c r="D119" s="10">
        <v>42836.685023148151</v>
      </c>
      <c r="E119" s="10">
        <v>42842.461944444447</v>
      </c>
      <c r="F119" s="10">
        <v>42857</v>
      </c>
      <c r="G119" t="s">
        <v>8</v>
      </c>
      <c r="H119" t="s">
        <v>161</v>
      </c>
      <c r="I119" t="s">
        <v>31</v>
      </c>
      <c r="J119" s="11">
        <v>1</v>
      </c>
      <c r="K119" s="12">
        <v>45</v>
      </c>
      <c r="L119" s="12">
        <v>10.96</v>
      </c>
      <c r="M119" s="13">
        <v>5</v>
      </c>
      <c r="N119" s="13">
        <f t="shared" si="8"/>
        <v>6.5776851851842366</v>
      </c>
      <c r="O119" s="13">
        <f t="shared" si="9"/>
        <v>0</v>
      </c>
      <c r="P119" t="str">
        <f t="shared" si="10"/>
        <v>On Time</v>
      </c>
      <c r="Q119" s="13">
        <f t="shared" si="11"/>
        <v>0.19833333324640989</v>
      </c>
      <c r="R119" s="13">
        <f t="shared" si="12"/>
        <v>0.79250000000320142</v>
      </c>
      <c r="S119" s="13">
        <f t="shared" si="13"/>
        <v>5.7769212962957681</v>
      </c>
      <c r="T119" t="str">
        <f t="shared" si="14"/>
        <v>On Time/Early</v>
      </c>
      <c r="U119" t="str">
        <f t="shared" si="15"/>
        <v>Normal</v>
      </c>
      <c r="V119" t="s">
        <v>102</v>
      </c>
    </row>
    <row r="120" spans="1:22">
      <c r="A120" t="s">
        <v>328</v>
      </c>
      <c r="B120" s="10">
        <v>42836.846192129633</v>
      </c>
      <c r="C120" s="10">
        <v>42836.854409722226</v>
      </c>
      <c r="D120" s="10">
        <v>42837.409699074073</v>
      </c>
      <c r="E120" s="10">
        <v>42843.567881944444</v>
      </c>
      <c r="F120" s="10">
        <v>42874</v>
      </c>
      <c r="G120" t="s">
        <v>30</v>
      </c>
      <c r="H120" t="s">
        <v>329</v>
      </c>
      <c r="I120" t="s">
        <v>330</v>
      </c>
      <c r="J120" s="11">
        <v>1</v>
      </c>
      <c r="K120" s="12">
        <v>28.99</v>
      </c>
      <c r="L120" s="12">
        <v>14.52</v>
      </c>
      <c r="M120" s="13">
        <v>4</v>
      </c>
      <c r="N120" s="13">
        <f t="shared" si="8"/>
        <v>6.7216898148108157</v>
      </c>
      <c r="O120" s="13">
        <f t="shared" si="9"/>
        <v>0</v>
      </c>
      <c r="P120" t="str">
        <f t="shared" si="10"/>
        <v>On Time</v>
      </c>
      <c r="Q120" s="13">
        <f t="shared" si="11"/>
        <v>0.19722222222480923</v>
      </c>
      <c r="R120" s="13">
        <f t="shared" si="12"/>
        <v>0.55528935184702277</v>
      </c>
      <c r="S120" s="13">
        <f t="shared" si="13"/>
        <v>6.1581828703710926</v>
      </c>
      <c r="T120" t="str">
        <f t="shared" si="14"/>
        <v>On Time/Early</v>
      </c>
      <c r="U120" t="str">
        <f t="shared" si="15"/>
        <v>Normal</v>
      </c>
      <c r="V120" t="s">
        <v>102</v>
      </c>
    </row>
    <row r="121" spans="1:22">
      <c r="A121" t="s">
        <v>331</v>
      </c>
      <c r="B121" s="10">
        <v>42836.901435185187</v>
      </c>
      <c r="C121" s="10">
        <v>42838.112870370373</v>
      </c>
      <c r="D121" s="10">
        <v>42843.700277777774</v>
      </c>
      <c r="E121" s="10">
        <v>42859.601226851853</v>
      </c>
      <c r="F121" s="10">
        <v>42870</v>
      </c>
      <c r="G121" t="s">
        <v>23</v>
      </c>
      <c r="H121" t="s">
        <v>332</v>
      </c>
      <c r="I121" t="s">
        <v>118</v>
      </c>
      <c r="J121" s="11">
        <v>1</v>
      </c>
      <c r="K121" s="12">
        <v>18.95</v>
      </c>
      <c r="L121" s="12">
        <v>20.8</v>
      </c>
      <c r="M121" s="13">
        <v>4</v>
      </c>
      <c r="N121" s="13">
        <f t="shared" si="8"/>
        <v>22.699791666665988</v>
      </c>
      <c r="O121" s="13">
        <f t="shared" si="9"/>
        <v>0</v>
      </c>
      <c r="P121" t="str">
        <f t="shared" si="10"/>
        <v>On Time</v>
      </c>
      <c r="Q121" s="13">
        <f t="shared" si="11"/>
        <v>29.074444444442634</v>
      </c>
      <c r="R121" s="13">
        <f t="shared" si="12"/>
        <v>5.5874074074017699</v>
      </c>
      <c r="S121" s="13">
        <f t="shared" si="13"/>
        <v>15.900949074079108</v>
      </c>
      <c r="T121" t="str">
        <f t="shared" si="14"/>
        <v>On Time/Early</v>
      </c>
      <c r="U121" t="str">
        <f t="shared" si="15"/>
        <v>Normal</v>
      </c>
      <c r="V121" t="s">
        <v>102</v>
      </c>
    </row>
    <row r="122" spans="1:22">
      <c r="A122" t="s">
        <v>333</v>
      </c>
      <c r="B122" s="10">
        <v>42837.679791666669</v>
      </c>
      <c r="C122" s="10">
        <v>42837.687673611108</v>
      </c>
      <c r="D122" s="10">
        <v>42838.594606481478</v>
      </c>
      <c r="E122" s="10">
        <v>42857.632916666669</v>
      </c>
      <c r="F122" s="10">
        <v>42865</v>
      </c>
      <c r="G122" t="s">
        <v>16</v>
      </c>
      <c r="H122" t="s">
        <v>138</v>
      </c>
      <c r="I122" t="s">
        <v>136</v>
      </c>
      <c r="J122" s="11">
        <v>1</v>
      </c>
      <c r="K122" s="12">
        <v>96</v>
      </c>
      <c r="L122" s="12">
        <v>19.260000000000002</v>
      </c>
      <c r="M122" s="13">
        <v>5</v>
      </c>
      <c r="N122" s="13">
        <f t="shared" si="8"/>
        <v>19.953125</v>
      </c>
      <c r="O122" s="13">
        <f t="shared" si="9"/>
        <v>0</v>
      </c>
      <c r="P122" t="str">
        <f t="shared" si="10"/>
        <v>On Time</v>
      </c>
      <c r="Q122" s="13">
        <f t="shared" si="11"/>
        <v>0.189166666532401</v>
      </c>
      <c r="R122" s="13">
        <f t="shared" si="12"/>
        <v>0.90693287036992842</v>
      </c>
      <c r="S122" s="13">
        <f t="shared" si="13"/>
        <v>19.038310185191222</v>
      </c>
      <c r="T122" t="str">
        <f t="shared" si="14"/>
        <v>On Time/Early</v>
      </c>
      <c r="U122" t="str">
        <f t="shared" si="15"/>
        <v>Normal</v>
      </c>
      <c r="V122" t="s">
        <v>102</v>
      </c>
    </row>
    <row r="123" spans="1:22">
      <c r="A123" t="s">
        <v>334</v>
      </c>
      <c r="B123" s="10">
        <v>42841.577569444446</v>
      </c>
      <c r="C123" s="10">
        <v>42841.584490740737</v>
      </c>
      <c r="D123" s="10">
        <v>42842.65556712963</v>
      </c>
      <c r="E123" s="10">
        <v>42857.649247685185</v>
      </c>
      <c r="F123" s="10">
        <v>42877</v>
      </c>
      <c r="G123" t="s">
        <v>277</v>
      </c>
      <c r="H123" t="s">
        <v>335</v>
      </c>
      <c r="I123" t="s">
        <v>221</v>
      </c>
      <c r="J123" s="11">
        <v>1</v>
      </c>
      <c r="K123" s="12">
        <v>279.89999999999998</v>
      </c>
      <c r="L123" s="12">
        <v>26.45</v>
      </c>
      <c r="M123" s="13">
        <v>5</v>
      </c>
      <c r="N123" s="13">
        <f t="shared" si="8"/>
        <v>16.071678240739857</v>
      </c>
      <c r="O123" s="13">
        <f t="shared" si="9"/>
        <v>0</v>
      </c>
      <c r="P123" t="str">
        <f t="shared" si="10"/>
        <v>On Time</v>
      </c>
      <c r="Q123" s="13">
        <f t="shared" si="11"/>
        <v>0.16611111100064591</v>
      </c>
      <c r="R123" s="13">
        <f t="shared" si="12"/>
        <v>1.0710763888928341</v>
      </c>
      <c r="S123" s="13">
        <f t="shared" si="13"/>
        <v>14.993680555555329</v>
      </c>
      <c r="T123" t="str">
        <f t="shared" si="14"/>
        <v>On Time/Early</v>
      </c>
      <c r="U123" t="str">
        <f t="shared" si="15"/>
        <v>Normal</v>
      </c>
      <c r="V123" t="s">
        <v>102</v>
      </c>
    </row>
    <row r="124" spans="1:22">
      <c r="A124" t="s">
        <v>336</v>
      </c>
      <c r="B124" s="10">
        <v>42841.72079861111</v>
      </c>
      <c r="C124" s="10">
        <v>42841.72934027778</v>
      </c>
      <c r="D124" s="10">
        <v>42843.665983796294</v>
      </c>
      <c r="E124" s="10">
        <v>42845.349178240744</v>
      </c>
      <c r="F124" s="10">
        <v>42864</v>
      </c>
      <c r="G124" t="s">
        <v>8</v>
      </c>
      <c r="H124" t="s">
        <v>140</v>
      </c>
      <c r="I124" t="s">
        <v>143</v>
      </c>
      <c r="J124" s="11">
        <v>1</v>
      </c>
      <c r="K124" s="12">
        <v>79.989999999999995</v>
      </c>
      <c r="L124" s="12">
        <v>11.17</v>
      </c>
      <c r="M124" s="13">
        <v>4</v>
      </c>
      <c r="N124" s="13">
        <f t="shared" si="8"/>
        <v>3.6283796296338551</v>
      </c>
      <c r="O124" s="13">
        <f t="shared" si="9"/>
        <v>0</v>
      </c>
      <c r="P124" t="str">
        <f t="shared" si="10"/>
        <v>On Time</v>
      </c>
      <c r="Q124" s="13">
        <f t="shared" si="11"/>
        <v>0.20500000007450581</v>
      </c>
      <c r="R124" s="13">
        <f t="shared" si="12"/>
        <v>1.9366435185147566</v>
      </c>
      <c r="S124" s="13">
        <f t="shared" si="13"/>
        <v>1.6831944444493274</v>
      </c>
      <c r="T124" t="str">
        <f t="shared" si="14"/>
        <v>On Time/Early</v>
      </c>
      <c r="U124" t="str">
        <f t="shared" si="15"/>
        <v>Normal</v>
      </c>
      <c r="V124" t="s">
        <v>102</v>
      </c>
    </row>
    <row r="125" spans="1:22">
      <c r="A125" t="s">
        <v>337</v>
      </c>
      <c r="B125" s="10">
        <v>42841.839270833334</v>
      </c>
      <c r="C125" s="10">
        <v>42841.848344907405</v>
      </c>
      <c r="D125" s="10">
        <v>42843.429479166669</v>
      </c>
      <c r="E125" s="10">
        <v>42863.405381944445</v>
      </c>
      <c r="F125" s="10">
        <v>42877</v>
      </c>
      <c r="G125" t="s">
        <v>175</v>
      </c>
      <c r="H125" t="s">
        <v>338</v>
      </c>
      <c r="I125" t="s">
        <v>339</v>
      </c>
      <c r="J125" s="11">
        <v>1</v>
      </c>
      <c r="K125" s="12">
        <v>99</v>
      </c>
      <c r="L125" s="12">
        <v>29.62</v>
      </c>
      <c r="M125" s="13">
        <v>4</v>
      </c>
      <c r="N125" s="13">
        <f t="shared" si="8"/>
        <v>21.56611111111124</v>
      </c>
      <c r="O125" s="13">
        <f t="shared" si="9"/>
        <v>0</v>
      </c>
      <c r="P125" t="str">
        <f t="shared" si="10"/>
        <v>On Time</v>
      </c>
      <c r="Q125" s="13">
        <f t="shared" si="11"/>
        <v>0.21777777769602835</v>
      </c>
      <c r="R125" s="13">
        <f t="shared" si="12"/>
        <v>1.5811342592642177</v>
      </c>
      <c r="S125" s="13">
        <f t="shared" si="13"/>
        <v>19.975902777776355</v>
      </c>
      <c r="T125" t="str">
        <f t="shared" si="14"/>
        <v>On Time/Early</v>
      </c>
      <c r="U125" t="str">
        <f t="shared" si="15"/>
        <v>Normal</v>
      </c>
      <c r="V125" t="s">
        <v>102</v>
      </c>
    </row>
    <row r="126" spans="1:22">
      <c r="A126" t="s">
        <v>340</v>
      </c>
      <c r="B126" s="10">
        <v>42843.515277777777</v>
      </c>
      <c r="C126" s="10">
        <v>42843.524560185186</v>
      </c>
      <c r="D126" s="10">
        <v>42844.405046296299</v>
      </c>
      <c r="E126" s="10">
        <v>42857.600208333337</v>
      </c>
      <c r="F126" s="10">
        <v>42866</v>
      </c>
      <c r="G126" t="s">
        <v>33</v>
      </c>
      <c r="H126" t="s">
        <v>341</v>
      </c>
      <c r="I126" t="s">
        <v>252</v>
      </c>
      <c r="J126" s="11">
        <v>1</v>
      </c>
      <c r="K126" s="12">
        <v>84</v>
      </c>
      <c r="L126" s="12">
        <v>14.76</v>
      </c>
      <c r="M126" s="13">
        <v>5</v>
      </c>
      <c r="N126" s="13">
        <f t="shared" si="8"/>
        <v>14.084930555560277</v>
      </c>
      <c r="O126" s="13">
        <f t="shared" si="9"/>
        <v>0</v>
      </c>
      <c r="P126" t="str">
        <f t="shared" si="10"/>
        <v>On Time</v>
      </c>
      <c r="Q126" s="13">
        <f t="shared" si="11"/>
        <v>0.22277777781710029</v>
      </c>
      <c r="R126" s="13">
        <f t="shared" si="12"/>
        <v>0.88048611111298669</v>
      </c>
      <c r="S126" s="13">
        <f t="shared" si="13"/>
        <v>13.195162037038244</v>
      </c>
      <c r="T126" t="str">
        <f t="shared" si="14"/>
        <v>On Time/Early</v>
      </c>
      <c r="U126" t="str">
        <f t="shared" si="15"/>
        <v>Normal</v>
      </c>
      <c r="V126" t="s">
        <v>102</v>
      </c>
    </row>
    <row r="127" spans="1:22">
      <c r="A127" t="s">
        <v>342</v>
      </c>
      <c r="B127" s="10">
        <v>42843.724687499998</v>
      </c>
      <c r="C127" s="10">
        <v>42843.732800925929</v>
      </c>
      <c r="D127" s="10">
        <v>42845.433518518519</v>
      </c>
      <c r="E127" s="10">
        <v>42867.484837962962</v>
      </c>
      <c r="F127" s="10">
        <v>42871</v>
      </c>
      <c r="G127" t="s">
        <v>23</v>
      </c>
      <c r="H127" t="s">
        <v>343</v>
      </c>
      <c r="I127" t="s">
        <v>143</v>
      </c>
      <c r="J127" s="11">
        <v>2</v>
      </c>
      <c r="K127" s="12">
        <v>619.79999999999995</v>
      </c>
      <c r="L127" s="12">
        <v>39.200000000000003</v>
      </c>
      <c r="M127" s="13">
        <v>5</v>
      </c>
      <c r="N127" s="13">
        <f t="shared" si="8"/>
        <v>23.760150462963793</v>
      </c>
      <c r="O127" s="13">
        <f t="shared" si="9"/>
        <v>0</v>
      </c>
      <c r="P127" t="str">
        <f t="shared" si="10"/>
        <v>On Time</v>
      </c>
      <c r="Q127" s="13">
        <f t="shared" si="11"/>
        <v>0.19472222233889624</v>
      </c>
      <c r="R127" s="13">
        <f t="shared" si="12"/>
        <v>1.700717592590081</v>
      </c>
      <c r="S127" s="13">
        <f t="shared" si="13"/>
        <v>22.051319444442925</v>
      </c>
      <c r="T127" t="str">
        <f t="shared" si="14"/>
        <v>On Time/Early</v>
      </c>
      <c r="U127" t="str">
        <f t="shared" si="15"/>
        <v>Normal</v>
      </c>
      <c r="V127" t="s">
        <v>102</v>
      </c>
    </row>
    <row r="128" spans="1:22">
      <c r="A128" t="s">
        <v>344</v>
      </c>
      <c r="B128" s="10">
        <v>42844.575752314813</v>
      </c>
      <c r="C128" s="10">
        <v>42844.677349537036</v>
      </c>
      <c r="D128" s="10">
        <v>42852.61347222222</v>
      </c>
      <c r="E128" s="10">
        <v>42867.522951388892</v>
      </c>
      <c r="F128" s="10">
        <v>42866</v>
      </c>
      <c r="G128" t="s">
        <v>16</v>
      </c>
      <c r="H128" t="s">
        <v>138</v>
      </c>
      <c r="I128" t="s">
        <v>123</v>
      </c>
      <c r="J128" s="11">
        <v>1</v>
      </c>
      <c r="K128" s="12">
        <v>379</v>
      </c>
      <c r="L128" s="12">
        <v>16.82</v>
      </c>
      <c r="M128" s="13">
        <v>5</v>
      </c>
      <c r="N128" s="13">
        <f t="shared" si="8"/>
        <v>22.947199074078526</v>
      </c>
      <c r="O128" s="13">
        <f t="shared" si="9"/>
        <v>1.5229513888916699</v>
      </c>
      <c r="P128" t="str">
        <f t="shared" si="10"/>
        <v>Delayed</v>
      </c>
      <c r="Q128" s="13">
        <f t="shared" si="11"/>
        <v>2.438333333353512</v>
      </c>
      <c r="R128" s="13">
        <f t="shared" si="12"/>
        <v>7.9361226851833635</v>
      </c>
      <c r="S128" s="13">
        <f t="shared" si="13"/>
        <v>14.909479166672099</v>
      </c>
      <c r="T128" t="str">
        <f t="shared" si="14"/>
        <v>1-3 Days Late</v>
      </c>
      <c r="U128" t="str">
        <f t="shared" si="15"/>
        <v>Needs Review</v>
      </c>
      <c r="V128" t="s">
        <v>102</v>
      </c>
    </row>
    <row r="129" spans="1:22">
      <c r="A129" t="s">
        <v>345</v>
      </c>
      <c r="B129" s="10">
        <v>42844.83258101852</v>
      </c>
      <c r="C129" s="10">
        <v>42844.840486111112</v>
      </c>
      <c r="D129" s="10">
        <v>42845.347418981481</v>
      </c>
      <c r="E129" s="10">
        <v>42859.492476851854</v>
      </c>
      <c r="F129" s="10">
        <v>42872</v>
      </c>
      <c r="G129" t="s">
        <v>20</v>
      </c>
      <c r="H129" t="s">
        <v>346</v>
      </c>
      <c r="I129" t="s">
        <v>180</v>
      </c>
      <c r="J129" s="11">
        <v>1</v>
      </c>
      <c r="K129" s="12">
        <v>69.900000000000006</v>
      </c>
      <c r="L129" s="12">
        <v>17.920000000000002</v>
      </c>
      <c r="M129" s="13">
        <v>5</v>
      </c>
      <c r="N129" s="13">
        <f t="shared" si="8"/>
        <v>14.659895833334303</v>
      </c>
      <c r="O129" s="13">
        <f t="shared" si="9"/>
        <v>0</v>
      </c>
      <c r="P129" t="str">
        <f t="shared" si="10"/>
        <v>On Time</v>
      </c>
      <c r="Q129" s="13">
        <f t="shared" si="11"/>
        <v>0.18972222221782431</v>
      </c>
      <c r="R129" s="13">
        <f t="shared" si="12"/>
        <v>0.50693287036847323</v>
      </c>
      <c r="S129" s="13">
        <f t="shared" si="13"/>
        <v>14.145057870373421</v>
      </c>
      <c r="T129" t="str">
        <f t="shared" si="14"/>
        <v>On Time/Early</v>
      </c>
      <c r="U129" t="str">
        <f t="shared" si="15"/>
        <v>Normal</v>
      </c>
      <c r="V129" t="s">
        <v>102</v>
      </c>
    </row>
    <row r="130" spans="1:22">
      <c r="A130" t="s">
        <v>347</v>
      </c>
      <c r="B130" s="10">
        <v>42845.058969907404</v>
      </c>
      <c r="C130" s="10">
        <v>42845.066053240742</v>
      </c>
      <c r="D130" s="10">
        <v>42845.440243055556</v>
      </c>
      <c r="E130" s="10">
        <v>42864.369537037041</v>
      </c>
      <c r="F130" s="10">
        <v>42884</v>
      </c>
      <c r="G130" t="s">
        <v>175</v>
      </c>
      <c r="H130" t="s">
        <v>348</v>
      </c>
      <c r="I130" t="s">
        <v>58</v>
      </c>
      <c r="J130" s="11">
        <v>1</v>
      </c>
      <c r="K130" s="12">
        <v>370</v>
      </c>
      <c r="L130" s="12">
        <v>28.85</v>
      </c>
      <c r="M130" s="13">
        <v>5</v>
      </c>
      <c r="N130" s="13">
        <f t="shared" ref="N130:N193" si="16">IFERROR(E130-B130,"")</f>
        <v>19.310567129636183</v>
      </c>
      <c r="O130" s="13">
        <f t="shared" ref="O130:O193" si="17">IFERROR(MAX(0,E130-F130),"")</f>
        <v>0</v>
      </c>
      <c r="P130" t="str">
        <f t="shared" ref="P130:P193" si="18">IF(O130&gt;0,"Delayed","On Time")</f>
        <v>On Time</v>
      </c>
      <c r="Q130" s="13">
        <f t="shared" ref="Q130:Q193" si="19">IFERROR((C130-B130)*24,"")</f>
        <v>0.17000000010011718</v>
      </c>
      <c r="R130" s="13">
        <f t="shared" ref="R130:R193" si="20">IFERROR(D130-C130,"")</f>
        <v>0.37418981481459923</v>
      </c>
      <c r="S130" s="13">
        <f t="shared" ref="S130:S193" si="21">IFERROR(E130-D130,"")</f>
        <v>18.929293981484079</v>
      </c>
      <c r="T130" t="str">
        <f t="shared" ref="T130:T193" si="22">IF(O130=0,"On Time/Early",IF(O130&lt;=3,"1-3 Days Late",IF(O130&lt;=7,"4-7 Days Late","8+ Days Late")))</f>
        <v>On Time/Early</v>
      </c>
      <c r="U130" t="str">
        <f t="shared" ref="U130:U193" si="23">IF(P130="Delayed","Needs Review","Normal")</f>
        <v>Normal</v>
      </c>
      <c r="V130" t="s">
        <v>102</v>
      </c>
    </row>
    <row r="131" spans="1:22">
      <c r="A131" t="s">
        <v>349</v>
      </c>
      <c r="B131" s="10">
        <v>42845.53974537037</v>
      </c>
      <c r="C131" s="10">
        <v>42845.549201388887</v>
      </c>
      <c r="D131" s="10">
        <v>42849.613217592596</v>
      </c>
      <c r="E131" s="10">
        <v>42854.425844907404</v>
      </c>
      <c r="F131" s="10">
        <v>42867</v>
      </c>
      <c r="G131" t="s">
        <v>20</v>
      </c>
      <c r="H131" t="s">
        <v>104</v>
      </c>
      <c r="I131" t="s">
        <v>180</v>
      </c>
      <c r="J131" s="11">
        <v>1</v>
      </c>
      <c r="K131" s="12">
        <v>49.9</v>
      </c>
      <c r="L131" s="12">
        <v>14.52</v>
      </c>
      <c r="M131" s="13">
        <v>5</v>
      </c>
      <c r="N131" s="13">
        <f t="shared" si="16"/>
        <v>8.8860995370341698</v>
      </c>
      <c r="O131" s="13">
        <f t="shared" si="17"/>
        <v>0</v>
      </c>
      <c r="P131" t="str">
        <f t="shared" si="18"/>
        <v>On Time</v>
      </c>
      <c r="Q131" s="13">
        <f t="shared" si="19"/>
        <v>0.22694444441003725</v>
      </c>
      <c r="R131" s="13">
        <f t="shared" si="20"/>
        <v>4.0640162037088885</v>
      </c>
      <c r="S131" s="13">
        <f t="shared" si="21"/>
        <v>4.8126273148081964</v>
      </c>
      <c r="T131" t="str">
        <f t="shared" si="22"/>
        <v>On Time/Early</v>
      </c>
      <c r="U131" t="str">
        <f t="shared" si="23"/>
        <v>Normal</v>
      </c>
      <c r="V131" t="s">
        <v>102</v>
      </c>
    </row>
    <row r="132" spans="1:22">
      <c r="A132" t="s">
        <v>350</v>
      </c>
      <c r="B132" s="10">
        <v>42845.604247685187</v>
      </c>
      <c r="C132" s="10">
        <v>42845.612268518518</v>
      </c>
      <c r="D132" s="10">
        <v>42850.358530092592</v>
      </c>
      <c r="E132" s="10">
        <v>42859.5390625</v>
      </c>
      <c r="F132" s="10">
        <v>42877</v>
      </c>
      <c r="G132" t="s">
        <v>110</v>
      </c>
      <c r="H132" t="s">
        <v>351</v>
      </c>
      <c r="I132" t="s">
        <v>136</v>
      </c>
      <c r="J132" s="11">
        <v>1</v>
      </c>
      <c r="K132" s="12">
        <v>19.899999999999999</v>
      </c>
      <c r="L132" s="12">
        <v>17.78</v>
      </c>
      <c r="M132" s="13">
        <v>3</v>
      </c>
      <c r="N132" s="13">
        <f t="shared" si="16"/>
        <v>13.934814814812853</v>
      </c>
      <c r="O132" s="13">
        <f t="shared" si="17"/>
        <v>0</v>
      </c>
      <c r="P132" t="str">
        <f t="shared" si="18"/>
        <v>On Time</v>
      </c>
      <c r="Q132" s="13">
        <f t="shared" si="19"/>
        <v>0.19249999994644895</v>
      </c>
      <c r="R132" s="13">
        <f t="shared" si="20"/>
        <v>4.7462615740732872</v>
      </c>
      <c r="S132" s="13">
        <f t="shared" si="21"/>
        <v>9.1805324074084638</v>
      </c>
      <c r="T132" t="str">
        <f t="shared" si="22"/>
        <v>On Time/Early</v>
      </c>
      <c r="U132" t="str">
        <f t="shared" si="23"/>
        <v>Normal</v>
      </c>
      <c r="V132" t="s">
        <v>102</v>
      </c>
    </row>
    <row r="133" spans="1:22">
      <c r="A133" t="s">
        <v>352</v>
      </c>
      <c r="B133" s="10">
        <v>42846.945694444446</v>
      </c>
      <c r="C133" s="10">
        <v>42850.337187500001</v>
      </c>
      <c r="D133" s="10">
        <v>42852.211574074077</v>
      </c>
      <c r="E133" s="10">
        <v>42861.372245370374</v>
      </c>
      <c r="F133" s="10">
        <v>42872</v>
      </c>
      <c r="G133" t="s">
        <v>30</v>
      </c>
      <c r="H133" t="s">
        <v>353</v>
      </c>
      <c r="I133" t="s">
        <v>34</v>
      </c>
      <c r="J133" s="11">
        <v>1</v>
      </c>
      <c r="K133" s="12">
        <v>59</v>
      </c>
      <c r="L133" s="12">
        <v>16.11</v>
      </c>
      <c r="M133" s="13">
        <v>5</v>
      </c>
      <c r="N133" s="13">
        <f t="shared" si="16"/>
        <v>14.426550925927586</v>
      </c>
      <c r="O133" s="13">
        <f t="shared" si="17"/>
        <v>0</v>
      </c>
      <c r="P133" t="str">
        <f t="shared" si="18"/>
        <v>On Time</v>
      </c>
      <c r="Q133" s="13">
        <f t="shared" si="19"/>
        <v>81.395833333313931</v>
      </c>
      <c r="R133" s="13">
        <f t="shared" si="20"/>
        <v>1.8743865740761976</v>
      </c>
      <c r="S133" s="13">
        <f t="shared" si="21"/>
        <v>9.1606712962966412</v>
      </c>
      <c r="T133" t="str">
        <f t="shared" si="22"/>
        <v>On Time/Early</v>
      </c>
      <c r="U133" t="str">
        <f t="shared" si="23"/>
        <v>Normal</v>
      </c>
      <c r="V133" t="s">
        <v>102</v>
      </c>
    </row>
    <row r="134" spans="1:22">
      <c r="A134" t="s">
        <v>354</v>
      </c>
      <c r="B134" s="10">
        <v>42848.002754629626</v>
      </c>
      <c r="C134" s="10">
        <v>42850.337164351855</v>
      </c>
      <c r="D134" s="10">
        <v>42857.586550925924</v>
      </c>
      <c r="E134" s="10">
        <v>42865.282222222224</v>
      </c>
      <c r="F134" s="10">
        <v>42874</v>
      </c>
      <c r="G134" t="s">
        <v>16</v>
      </c>
      <c r="H134" t="s">
        <v>138</v>
      </c>
      <c r="I134" t="s">
        <v>58</v>
      </c>
      <c r="J134" s="11">
        <v>1</v>
      </c>
      <c r="K134" s="12">
        <v>151</v>
      </c>
      <c r="L134" s="12">
        <v>15.23</v>
      </c>
      <c r="M134" s="13">
        <v>4</v>
      </c>
      <c r="N134" s="13">
        <f t="shared" si="16"/>
        <v>17.279467592597939</v>
      </c>
      <c r="O134" s="13">
        <f t="shared" si="17"/>
        <v>0</v>
      </c>
      <c r="P134" t="str">
        <f t="shared" si="18"/>
        <v>On Time</v>
      </c>
      <c r="Q134" s="13">
        <f t="shared" si="19"/>
        <v>56.02583333349321</v>
      </c>
      <c r="R134" s="13">
        <f t="shared" si="20"/>
        <v>7.2493865740689216</v>
      </c>
      <c r="S134" s="13">
        <f t="shared" si="21"/>
        <v>7.6956712963001337</v>
      </c>
      <c r="T134" t="str">
        <f t="shared" si="22"/>
        <v>On Time/Early</v>
      </c>
      <c r="U134" t="str">
        <f t="shared" si="23"/>
        <v>Normal</v>
      </c>
      <c r="V134" t="s">
        <v>102</v>
      </c>
    </row>
    <row r="135" spans="1:22">
      <c r="A135" t="s">
        <v>355</v>
      </c>
      <c r="B135" s="10">
        <v>42848.915439814817</v>
      </c>
      <c r="C135" s="10">
        <v>42848.923773148148</v>
      </c>
      <c r="D135" s="10">
        <v>42850.428726851853</v>
      </c>
      <c r="E135" s="10">
        <v>42852.55400462963</v>
      </c>
      <c r="F135" s="10">
        <v>42870</v>
      </c>
      <c r="G135" t="s">
        <v>33</v>
      </c>
      <c r="H135" t="s">
        <v>356</v>
      </c>
      <c r="I135" t="s">
        <v>58</v>
      </c>
      <c r="J135" s="11">
        <v>1</v>
      </c>
      <c r="K135" s="12">
        <v>54.9</v>
      </c>
      <c r="L135" s="12">
        <v>14.55</v>
      </c>
      <c r="M135" s="13">
        <v>5</v>
      </c>
      <c r="N135" s="13">
        <f t="shared" si="16"/>
        <v>3.6385648148134351</v>
      </c>
      <c r="O135" s="13">
        <f t="shared" si="17"/>
        <v>0</v>
      </c>
      <c r="P135" t="str">
        <f t="shared" si="18"/>
        <v>On Time</v>
      </c>
      <c r="Q135" s="13">
        <f t="shared" si="19"/>
        <v>0.19999999995343387</v>
      </c>
      <c r="R135" s="13">
        <f t="shared" si="20"/>
        <v>1.504953703704814</v>
      </c>
      <c r="S135" s="13">
        <f t="shared" si="21"/>
        <v>2.125277777777228</v>
      </c>
      <c r="T135" t="str">
        <f t="shared" si="22"/>
        <v>On Time/Early</v>
      </c>
      <c r="U135" t="str">
        <f t="shared" si="23"/>
        <v>Normal</v>
      </c>
      <c r="V135" t="s">
        <v>102</v>
      </c>
    </row>
    <row r="136" spans="1:22">
      <c r="A136" t="s">
        <v>357</v>
      </c>
      <c r="B136" s="10">
        <v>42849.458194444444</v>
      </c>
      <c r="C136" s="10">
        <v>42849.468877314815</v>
      </c>
      <c r="D136" s="10">
        <v>42849.555277777778</v>
      </c>
      <c r="E136" s="10">
        <v>42860.502476851849</v>
      </c>
      <c r="F136" s="10">
        <v>42885</v>
      </c>
      <c r="G136" t="s">
        <v>277</v>
      </c>
      <c r="H136" t="s">
        <v>335</v>
      </c>
      <c r="I136" t="s">
        <v>136</v>
      </c>
      <c r="J136" s="11">
        <v>1</v>
      </c>
      <c r="K136" s="12">
        <v>119.99</v>
      </c>
      <c r="L136" s="12">
        <v>25.04</v>
      </c>
      <c r="M136" s="13">
        <v>5</v>
      </c>
      <c r="N136" s="13">
        <f t="shared" si="16"/>
        <v>11.044282407405262</v>
      </c>
      <c r="O136" s="13">
        <f t="shared" si="17"/>
        <v>0</v>
      </c>
      <c r="P136" t="str">
        <f t="shared" si="18"/>
        <v>On Time</v>
      </c>
      <c r="Q136" s="13">
        <f t="shared" si="19"/>
        <v>0.25638888892717659</v>
      </c>
      <c r="R136" s="13">
        <f t="shared" si="20"/>
        <v>8.6400462962046731E-2</v>
      </c>
      <c r="S136" s="13">
        <f t="shared" si="21"/>
        <v>10.94719907407125</v>
      </c>
      <c r="T136" t="str">
        <f t="shared" si="22"/>
        <v>On Time/Early</v>
      </c>
      <c r="U136" t="str">
        <f t="shared" si="23"/>
        <v>Normal</v>
      </c>
      <c r="V136" t="s">
        <v>102</v>
      </c>
    </row>
    <row r="137" spans="1:22">
      <c r="A137" t="s">
        <v>358</v>
      </c>
      <c r="B137" s="10">
        <v>42849.587326388886</v>
      </c>
      <c r="C137" s="10">
        <v>42851.400219907409</v>
      </c>
      <c r="D137" s="10">
        <v>42864.434976851851</v>
      </c>
      <c r="E137" s="10">
        <v>42870.333078703705</v>
      </c>
      <c r="F137" s="10">
        <v>42881</v>
      </c>
      <c r="G137" t="s">
        <v>20</v>
      </c>
      <c r="H137" t="s">
        <v>359</v>
      </c>
      <c r="I137" t="s">
        <v>37</v>
      </c>
      <c r="J137" s="11">
        <v>2</v>
      </c>
      <c r="K137" s="12">
        <v>399.92</v>
      </c>
      <c r="L137" s="12">
        <v>87.72</v>
      </c>
      <c r="M137" s="13">
        <v>3</v>
      </c>
      <c r="N137" s="13">
        <f t="shared" si="16"/>
        <v>20.745752314818674</v>
      </c>
      <c r="O137" s="13">
        <f t="shared" si="17"/>
        <v>0</v>
      </c>
      <c r="P137" t="str">
        <f t="shared" si="18"/>
        <v>On Time</v>
      </c>
      <c r="Q137" s="13">
        <f t="shared" si="19"/>
        <v>43.509444444556721</v>
      </c>
      <c r="R137" s="13">
        <f t="shared" si="20"/>
        <v>13.034756944442051</v>
      </c>
      <c r="S137" s="13">
        <f t="shared" si="21"/>
        <v>5.8981018518534256</v>
      </c>
      <c r="T137" t="str">
        <f t="shared" si="22"/>
        <v>On Time/Early</v>
      </c>
      <c r="U137" t="str">
        <f t="shared" si="23"/>
        <v>Normal</v>
      </c>
      <c r="V137" t="s">
        <v>102</v>
      </c>
    </row>
    <row r="138" spans="1:22">
      <c r="A138" t="s">
        <v>360</v>
      </c>
      <c r="B138" s="10">
        <v>42849.854305555556</v>
      </c>
      <c r="C138" s="10">
        <v>42849.864733796298</v>
      </c>
      <c r="D138" s="10">
        <v>42850.484895833331</v>
      </c>
      <c r="E138" s="10">
        <v>42858.560150462959</v>
      </c>
      <c r="F138" s="10">
        <v>42872</v>
      </c>
      <c r="G138" t="s">
        <v>8</v>
      </c>
      <c r="H138" t="s">
        <v>361</v>
      </c>
      <c r="I138" t="s">
        <v>112</v>
      </c>
      <c r="J138" s="11">
        <v>4</v>
      </c>
      <c r="K138" s="12">
        <v>120</v>
      </c>
      <c r="L138" s="12">
        <v>54.04</v>
      </c>
      <c r="M138" s="13">
        <v>1</v>
      </c>
      <c r="N138" s="13">
        <f t="shared" si="16"/>
        <v>8.705844907402934</v>
      </c>
      <c r="O138" s="13">
        <f t="shared" si="17"/>
        <v>0</v>
      </c>
      <c r="P138" t="str">
        <f t="shared" si="18"/>
        <v>On Time</v>
      </c>
      <c r="Q138" s="13">
        <f t="shared" si="19"/>
        <v>0.250277777784504</v>
      </c>
      <c r="R138" s="13">
        <f t="shared" si="20"/>
        <v>0.62016203703387873</v>
      </c>
      <c r="S138" s="13">
        <f t="shared" si="21"/>
        <v>8.0752546296280343</v>
      </c>
      <c r="T138" t="str">
        <f t="shared" si="22"/>
        <v>On Time/Early</v>
      </c>
      <c r="U138" t="str">
        <f t="shared" si="23"/>
        <v>Normal</v>
      </c>
      <c r="V138" t="s">
        <v>102</v>
      </c>
    </row>
    <row r="139" spans="1:22">
      <c r="A139" t="s">
        <v>362</v>
      </c>
      <c r="B139" s="10">
        <v>42849.887326388889</v>
      </c>
      <c r="C139" s="10">
        <v>42849.896053240744</v>
      </c>
      <c r="D139" s="10">
        <v>42852.254652777781</v>
      </c>
      <c r="E139" s="10">
        <v>42864.505752314813</v>
      </c>
      <c r="F139" s="10">
        <v>42880</v>
      </c>
      <c r="G139" t="s">
        <v>57</v>
      </c>
      <c r="H139" t="s">
        <v>363</v>
      </c>
      <c r="I139" t="s">
        <v>58</v>
      </c>
      <c r="J139" s="11">
        <v>1</v>
      </c>
      <c r="K139" s="12">
        <v>89</v>
      </c>
      <c r="L139" s="12">
        <v>26.88</v>
      </c>
      <c r="M139" s="13">
        <v>5</v>
      </c>
      <c r="N139" s="13">
        <f t="shared" si="16"/>
        <v>14.618425925924385</v>
      </c>
      <c r="O139" s="13">
        <f t="shared" si="17"/>
        <v>0</v>
      </c>
      <c r="P139" t="str">
        <f t="shared" si="18"/>
        <v>On Time</v>
      </c>
      <c r="Q139" s="13">
        <f t="shared" si="19"/>
        <v>0.20944444451015443</v>
      </c>
      <c r="R139" s="13">
        <f t="shared" si="20"/>
        <v>2.3585995370376622</v>
      </c>
      <c r="S139" s="13">
        <f t="shared" si="21"/>
        <v>12.251099537032133</v>
      </c>
      <c r="T139" t="str">
        <f t="shared" si="22"/>
        <v>On Time/Early</v>
      </c>
      <c r="U139" t="str">
        <f t="shared" si="23"/>
        <v>Normal</v>
      </c>
      <c r="V139" t="s">
        <v>102</v>
      </c>
    </row>
    <row r="140" spans="1:22">
      <c r="A140" t="s">
        <v>364</v>
      </c>
      <c r="B140" s="10">
        <v>42849.923298611109</v>
      </c>
      <c r="C140" s="10">
        <v>42849.932175925926</v>
      </c>
      <c r="D140" s="10">
        <v>42852.464826388888</v>
      </c>
      <c r="E140" s="10">
        <v>42859.565891203703</v>
      </c>
      <c r="F140" s="10">
        <v>42874</v>
      </c>
      <c r="G140" t="s">
        <v>30</v>
      </c>
      <c r="H140" t="s">
        <v>365</v>
      </c>
      <c r="I140" t="s">
        <v>101</v>
      </c>
      <c r="J140" s="11">
        <v>1</v>
      </c>
      <c r="K140" s="12">
        <v>139.9</v>
      </c>
      <c r="L140" s="12">
        <v>19.57</v>
      </c>
      <c r="M140" s="13">
        <v>5</v>
      </c>
      <c r="N140" s="13">
        <f t="shared" si="16"/>
        <v>9.6425925925941556</v>
      </c>
      <c r="O140" s="13">
        <f t="shared" si="17"/>
        <v>0</v>
      </c>
      <c r="P140" t="str">
        <f t="shared" si="18"/>
        <v>On Time</v>
      </c>
      <c r="Q140" s="13">
        <f t="shared" si="19"/>
        <v>0.21305555559229106</v>
      </c>
      <c r="R140" s="13">
        <f t="shared" si="20"/>
        <v>2.5326504629629198</v>
      </c>
      <c r="S140" s="13">
        <f t="shared" si="21"/>
        <v>7.1010648148148903</v>
      </c>
      <c r="T140" t="str">
        <f t="shared" si="22"/>
        <v>On Time/Early</v>
      </c>
      <c r="U140" t="str">
        <f t="shared" si="23"/>
        <v>Normal</v>
      </c>
      <c r="V140" t="s">
        <v>102</v>
      </c>
    </row>
    <row r="141" spans="1:22">
      <c r="A141" t="s">
        <v>366</v>
      </c>
      <c r="B141" s="10">
        <v>42850.846076388887</v>
      </c>
      <c r="C141" s="10">
        <v>42850.850856481484</v>
      </c>
      <c r="D141" s="10">
        <v>42858.600011574075</v>
      </c>
      <c r="E141" s="10">
        <v>42864.35597222222</v>
      </c>
      <c r="F141" s="10">
        <v>42878</v>
      </c>
      <c r="G141" t="s">
        <v>20</v>
      </c>
      <c r="H141" t="s">
        <v>367</v>
      </c>
      <c r="I141" t="s">
        <v>368</v>
      </c>
      <c r="J141" s="11">
        <v>1</v>
      </c>
      <c r="K141" s="12">
        <v>189.9</v>
      </c>
      <c r="L141" s="12">
        <v>16.54</v>
      </c>
      <c r="M141" s="13">
        <v>5</v>
      </c>
      <c r="N141" s="13">
        <f t="shared" si="16"/>
        <v>13.509895833332848</v>
      </c>
      <c r="O141" s="13">
        <f t="shared" si="17"/>
        <v>0</v>
      </c>
      <c r="P141" t="str">
        <f t="shared" si="18"/>
        <v>On Time</v>
      </c>
      <c r="Q141" s="13">
        <f t="shared" si="19"/>
        <v>0.1147222223225981</v>
      </c>
      <c r="R141" s="13">
        <f t="shared" si="20"/>
        <v>7.7491550925915362</v>
      </c>
      <c r="S141" s="13">
        <f t="shared" si="21"/>
        <v>5.7559606481445371</v>
      </c>
      <c r="T141" t="str">
        <f t="shared" si="22"/>
        <v>On Time/Early</v>
      </c>
      <c r="U141" t="str">
        <f t="shared" si="23"/>
        <v>Normal</v>
      </c>
      <c r="V141" t="s">
        <v>102</v>
      </c>
    </row>
    <row r="142" spans="1:22">
      <c r="A142" t="s">
        <v>369</v>
      </c>
      <c r="B142" s="10">
        <v>42851.322916666664</v>
      </c>
      <c r="C142" s="10">
        <v>42852.54886574074</v>
      </c>
      <c r="D142" s="10">
        <v>42858.651076388887</v>
      </c>
      <c r="E142" s="10">
        <v>42863.342453703706</v>
      </c>
      <c r="F142" s="10">
        <v>42871</v>
      </c>
      <c r="G142" t="s">
        <v>8</v>
      </c>
      <c r="H142" t="s">
        <v>140</v>
      </c>
      <c r="I142" t="s">
        <v>101</v>
      </c>
      <c r="J142" s="11">
        <v>1</v>
      </c>
      <c r="K142" s="12">
        <v>18.5</v>
      </c>
      <c r="L142" s="12">
        <v>10.96</v>
      </c>
      <c r="M142" s="13">
        <v>3</v>
      </c>
      <c r="N142" s="13">
        <f t="shared" si="16"/>
        <v>12.019537037042028</v>
      </c>
      <c r="O142" s="13">
        <f t="shared" si="17"/>
        <v>0</v>
      </c>
      <c r="P142" t="str">
        <f t="shared" si="18"/>
        <v>On Time</v>
      </c>
      <c r="Q142" s="13">
        <f t="shared" si="19"/>
        <v>29.422777777828742</v>
      </c>
      <c r="R142" s="13">
        <f t="shared" si="20"/>
        <v>6.1022106481468654</v>
      </c>
      <c r="S142" s="13">
        <f t="shared" si="21"/>
        <v>4.6913773148189648</v>
      </c>
      <c r="T142" t="str">
        <f t="shared" si="22"/>
        <v>On Time/Early</v>
      </c>
      <c r="U142" t="str">
        <f t="shared" si="23"/>
        <v>Normal</v>
      </c>
      <c r="V142" t="s">
        <v>102</v>
      </c>
    </row>
    <row r="143" spans="1:22">
      <c r="A143" t="s">
        <v>370</v>
      </c>
      <c r="B143" s="10">
        <v>42853.662754629629</v>
      </c>
      <c r="C143" s="10">
        <v>42854.114965277775</v>
      </c>
      <c r="D143" s="10">
        <v>42858.244201388887</v>
      </c>
      <c r="E143" s="10">
        <v>42868.411620370367</v>
      </c>
      <c r="F143" s="10">
        <v>42881</v>
      </c>
      <c r="G143" t="s">
        <v>36</v>
      </c>
      <c r="H143" t="s">
        <v>371</v>
      </c>
      <c r="I143" t="s">
        <v>31</v>
      </c>
      <c r="J143" s="11">
        <v>2</v>
      </c>
      <c r="K143" s="12">
        <v>1499.8</v>
      </c>
      <c r="L143" s="12">
        <v>41.9</v>
      </c>
      <c r="M143" s="13">
        <v>3</v>
      </c>
      <c r="N143" s="13">
        <f t="shared" si="16"/>
        <v>14.748865740737529</v>
      </c>
      <c r="O143" s="13">
        <f t="shared" si="17"/>
        <v>0</v>
      </c>
      <c r="P143" t="str">
        <f t="shared" si="18"/>
        <v>On Time</v>
      </c>
      <c r="Q143" s="13">
        <f t="shared" si="19"/>
        <v>10.853055555489846</v>
      </c>
      <c r="R143" s="13">
        <f t="shared" si="20"/>
        <v>4.1292361111118225</v>
      </c>
      <c r="S143" s="13">
        <f t="shared" si="21"/>
        <v>10.167418981480296</v>
      </c>
      <c r="T143" t="str">
        <f t="shared" si="22"/>
        <v>On Time/Early</v>
      </c>
      <c r="U143" t="str">
        <f t="shared" si="23"/>
        <v>Normal</v>
      </c>
      <c r="V143" t="s">
        <v>102</v>
      </c>
    </row>
    <row r="144" spans="1:22">
      <c r="A144" t="s">
        <v>372</v>
      </c>
      <c r="B144" s="10">
        <v>42854.657916666663</v>
      </c>
      <c r="C144" s="10">
        <v>42858.648043981484</v>
      </c>
      <c r="D144" s="10">
        <v>42865.488842592589</v>
      </c>
      <c r="E144" s="10">
        <v>42870.656006944446</v>
      </c>
      <c r="F144" s="10">
        <v>42887</v>
      </c>
      <c r="G144" t="s">
        <v>8</v>
      </c>
      <c r="H144" t="s">
        <v>373</v>
      </c>
      <c r="I144" t="s">
        <v>58</v>
      </c>
      <c r="J144" s="11">
        <v>1</v>
      </c>
      <c r="K144" s="12">
        <v>550</v>
      </c>
      <c r="L144" s="12">
        <v>64.209999999999994</v>
      </c>
      <c r="M144" s="13">
        <v>5</v>
      </c>
      <c r="N144" s="13">
        <f t="shared" si="16"/>
        <v>15.998090277782467</v>
      </c>
      <c r="O144" s="13">
        <f t="shared" si="17"/>
        <v>0</v>
      </c>
      <c r="P144" t="str">
        <f t="shared" si="18"/>
        <v>On Time</v>
      </c>
      <c r="Q144" s="13">
        <f t="shared" si="19"/>
        <v>95.763055555697065</v>
      </c>
      <c r="R144" s="13">
        <f t="shared" si="20"/>
        <v>6.8407986111051287</v>
      </c>
      <c r="S144" s="13">
        <f t="shared" si="21"/>
        <v>5.167164351856627</v>
      </c>
      <c r="T144" t="str">
        <f t="shared" si="22"/>
        <v>On Time/Early</v>
      </c>
      <c r="U144" t="str">
        <f t="shared" si="23"/>
        <v>Normal</v>
      </c>
      <c r="V144" t="s">
        <v>102</v>
      </c>
    </row>
    <row r="145" spans="1:22">
      <c r="A145" t="s">
        <v>374</v>
      </c>
      <c r="B145" s="10">
        <v>42855.728449074071</v>
      </c>
      <c r="C145" s="10">
        <v>42857.613136574073</v>
      </c>
      <c r="D145" s="10">
        <v>42865.644143518519</v>
      </c>
      <c r="E145" s="10">
        <v>42997.701041666667</v>
      </c>
      <c r="F145" s="10">
        <v>42886</v>
      </c>
      <c r="G145" t="s">
        <v>23</v>
      </c>
      <c r="H145" t="s">
        <v>375</v>
      </c>
      <c r="I145" t="s">
        <v>180</v>
      </c>
      <c r="J145" s="11">
        <v>1</v>
      </c>
      <c r="K145" s="12">
        <v>59.5</v>
      </c>
      <c r="L145" s="12">
        <v>21.05</v>
      </c>
      <c r="M145" s="13">
        <v>5</v>
      </c>
      <c r="N145" s="13">
        <f t="shared" si="16"/>
        <v>141.9725925925959</v>
      </c>
      <c r="O145" s="13">
        <f t="shared" si="17"/>
        <v>111.70104166666715</v>
      </c>
      <c r="P145" t="str">
        <f t="shared" si="18"/>
        <v>Delayed</v>
      </c>
      <c r="Q145" s="13">
        <f t="shared" si="19"/>
        <v>45.23250000004191</v>
      </c>
      <c r="R145" s="13">
        <f t="shared" si="20"/>
        <v>8.031006944445835</v>
      </c>
      <c r="S145" s="13">
        <f t="shared" si="21"/>
        <v>132.05689814814832</v>
      </c>
      <c r="T145" t="str">
        <f t="shared" si="22"/>
        <v>8+ Days Late</v>
      </c>
      <c r="U145" t="str">
        <f t="shared" si="23"/>
        <v>Needs Review</v>
      </c>
      <c r="V145" t="s">
        <v>102</v>
      </c>
    </row>
    <row r="146" spans="1:22">
      <c r="A146" t="s">
        <v>376</v>
      </c>
      <c r="B146" s="10">
        <v>42856.503240740742</v>
      </c>
      <c r="C146" s="10">
        <v>42856.54383101852</v>
      </c>
      <c r="D146" s="10">
        <v>42857.580613425926</v>
      </c>
      <c r="E146" s="10">
        <v>42865.515347222223</v>
      </c>
      <c r="F146" s="10">
        <v>42894</v>
      </c>
      <c r="G146" t="s">
        <v>43</v>
      </c>
      <c r="H146" t="s">
        <v>377</v>
      </c>
      <c r="I146" t="s">
        <v>279</v>
      </c>
      <c r="J146" s="11">
        <v>3</v>
      </c>
      <c r="K146" s="12">
        <v>82.8</v>
      </c>
      <c r="L146" s="12">
        <v>45.09</v>
      </c>
      <c r="M146" s="13">
        <v>5</v>
      </c>
      <c r="N146" s="13">
        <f t="shared" si="16"/>
        <v>9.0121064814811689</v>
      </c>
      <c r="O146" s="13">
        <f t="shared" si="17"/>
        <v>0</v>
      </c>
      <c r="P146" t="str">
        <f t="shared" si="18"/>
        <v>On Time</v>
      </c>
      <c r="Q146" s="13">
        <f t="shared" si="19"/>
        <v>0.97416666668141261</v>
      </c>
      <c r="R146" s="13">
        <f t="shared" si="20"/>
        <v>1.0367824074055534</v>
      </c>
      <c r="S146" s="13">
        <f t="shared" si="21"/>
        <v>7.9347337962972233</v>
      </c>
      <c r="T146" t="str">
        <f t="shared" si="22"/>
        <v>On Time/Early</v>
      </c>
      <c r="U146" t="str">
        <f t="shared" si="23"/>
        <v>Normal</v>
      </c>
      <c r="V146" t="s">
        <v>102</v>
      </c>
    </row>
    <row r="147" spans="1:22">
      <c r="A147" t="s">
        <v>378</v>
      </c>
      <c r="B147" s="10">
        <v>42856.78162037037</v>
      </c>
      <c r="C147" s="10">
        <v>42856.788298611114</v>
      </c>
      <c r="D147" s="10">
        <v>42857.62358796296</v>
      </c>
      <c r="E147" s="10">
        <v>42865.38108796296</v>
      </c>
      <c r="F147" s="10">
        <v>42880</v>
      </c>
      <c r="G147" t="s">
        <v>8</v>
      </c>
      <c r="H147" t="s">
        <v>379</v>
      </c>
      <c r="I147" t="s">
        <v>380</v>
      </c>
      <c r="J147" s="11">
        <v>1</v>
      </c>
      <c r="K147" s="12">
        <v>99.5</v>
      </c>
      <c r="L147" s="12">
        <v>15.91</v>
      </c>
      <c r="M147" s="13">
        <v>5</v>
      </c>
      <c r="N147" s="13">
        <f t="shared" si="16"/>
        <v>8.5994675925903721</v>
      </c>
      <c r="O147" s="13">
        <f t="shared" si="17"/>
        <v>0</v>
      </c>
      <c r="P147" t="str">
        <f t="shared" si="18"/>
        <v>On Time</v>
      </c>
      <c r="Q147" s="13">
        <f t="shared" si="19"/>
        <v>0.16027777787530795</v>
      </c>
      <c r="R147" s="13">
        <f t="shared" si="20"/>
        <v>0.83528935184585862</v>
      </c>
      <c r="S147" s="13">
        <f t="shared" si="21"/>
        <v>7.757499999999709</v>
      </c>
      <c r="T147" t="str">
        <f t="shared" si="22"/>
        <v>On Time/Early</v>
      </c>
      <c r="U147" t="str">
        <f t="shared" si="23"/>
        <v>Normal</v>
      </c>
      <c r="V147" t="s">
        <v>102</v>
      </c>
    </row>
    <row r="148" spans="1:22">
      <c r="A148" t="s">
        <v>381</v>
      </c>
      <c r="B148" s="10">
        <v>42857.572488425925</v>
      </c>
      <c r="C148" s="10">
        <v>42857.580023148148</v>
      </c>
      <c r="D148" s="10">
        <v>42858.692557870374</v>
      </c>
      <c r="E148" s="10">
        <v>42864.342824074076</v>
      </c>
      <c r="F148" s="10">
        <v>42878</v>
      </c>
      <c r="G148" t="s">
        <v>8</v>
      </c>
      <c r="H148" t="s">
        <v>140</v>
      </c>
      <c r="I148" t="s">
        <v>143</v>
      </c>
      <c r="J148" s="11">
        <v>1</v>
      </c>
      <c r="K148" s="12">
        <v>327.99</v>
      </c>
      <c r="L148" s="12">
        <v>13.69</v>
      </c>
      <c r="M148" s="13">
        <v>5</v>
      </c>
      <c r="N148" s="13">
        <f t="shared" si="16"/>
        <v>6.7703356481506489</v>
      </c>
      <c r="O148" s="13">
        <f t="shared" si="17"/>
        <v>0</v>
      </c>
      <c r="P148" t="str">
        <f t="shared" si="18"/>
        <v>On Time</v>
      </c>
      <c r="Q148" s="13">
        <f t="shared" si="19"/>
        <v>0.18083333334652707</v>
      </c>
      <c r="R148" s="13">
        <f t="shared" si="20"/>
        <v>1.1125347222259734</v>
      </c>
      <c r="S148" s="13">
        <f t="shared" si="21"/>
        <v>5.6502662037019036</v>
      </c>
      <c r="T148" t="str">
        <f t="shared" si="22"/>
        <v>On Time/Early</v>
      </c>
      <c r="U148" t="str">
        <f t="shared" si="23"/>
        <v>Normal</v>
      </c>
      <c r="V148" t="s">
        <v>102</v>
      </c>
    </row>
    <row r="149" spans="1:22">
      <c r="A149" t="s">
        <v>382</v>
      </c>
      <c r="B149" s="10">
        <v>42857.929988425924</v>
      </c>
      <c r="C149" s="10">
        <v>42858.481539351851</v>
      </c>
      <c r="D149" s="10">
        <v>42867.432013888887</v>
      </c>
      <c r="E149" s="10">
        <v>42873.46371527778</v>
      </c>
      <c r="F149" s="10">
        <v>42881</v>
      </c>
      <c r="G149" t="s">
        <v>30</v>
      </c>
      <c r="H149" t="s">
        <v>365</v>
      </c>
      <c r="I149" t="s">
        <v>143</v>
      </c>
      <c r="J149" s="11">
        <v>1</v>
      </c>
      <c r="K149" s="12">
        <v>199.9</v>
      </c>
      <c r="L149" s="12">
        <v>15.57</v>
      </c>
      <c r="M149" s="13">
        <v>4</v>
      </c>
      <c r="N149" s="13">
        <f t="shared" si="16"/>
        <v>15.533726851856045</v>
      </c>
      <c r="O149" s="13">
        <f t="shared" si="17"/>
        <v>0</v>
      </c>
      <c r="P149" t="str">
        <f t="shared" si="18"/>
        <v>On Time</v>
      </c>
      <c r="Q149" s="13">
        <f t="shared" si="19"/>
        <v>13.237222222262062</v>
      </c>
      <c r="R149" s="13">
        <f t="shared" si="20"/>
        <v>8.950474537035916</v>
      </c>
      <c r="S149" s="13">
        <f t="shared" si="21"/>
        <v>6.031701388892543</v>
      </c>
      <c r="T149" t="str">
        <f t="shared" si="22"/>
        <v>On Time/Early</v>
      </c>
      <c r="U149" t="str">
        <f t="shared" si="23"/>
        <v>Normal</v>
      </c>
      <c r="V149" t="s">
        <v>102</v>
      </c>
    </row>
    <row r="150" spans="1:22">
      <c r="A150" t="s">
        <v>383</v>
      </c>
      <c r="B150" s="10">
        <v>42858.346759259257</v>
      </c>
      <c r="C150" s="10">
        <v>42859.274525462963</v>
      </c>
      <c r="D150" s="10">
        <v>42865.64329861111</v>
      </c>
      <c r="E150" s="10">
        <v>42874.64162037037</v>
      </c>
      <c r="F150" s="10">
        <v>42881</v>
      </c>
      <c r="G150" t="s">
        <v>8</v>
      </c>
      <c r="H150" t="s">
        <v>140</v>
      </c>
      <c r="I150" t="s">
        <v>384</v>
      </c>
      <c r="J150" s="11">
        <v>1</v>
      </c>
      <c r="K150" s="12">
        <v>32.9</v>
      </c>
      <c r="L150" s="12">
        <v>14.11</v>
      </c>
      <c r="M150" s="13">
        <v>5</v>
      </c>
      <c r="N150" s="13">
        <f t="shared" si="16"/>
        <v>16.294861111113278</v>
      </c>
      <c r="O150" s="13">
        <f t="shared" si="17"/>
        <v>0</v>
      </c>
      <c r="P150" t="str">
        <f t="shared" si="18"/>
        <v>On Time</v>
      </c>
      <c r="Q150" s="13">
        <f t="shared" si="19"/>
        <v>22.26638888893649</v>
      </c>
      <c r="R150" s="13">
        <f t="shared" si="20"/>
        <v>6.3687731481477385</v>
      </c>
      <c r="S150" s="13">
        <f t="shared" si="21"/>
        <v>8.9983217592598521</v>
      </c>
      <c r="T150" t="str">
        <f t="shared" si="22"/>
        <v>On Time/Early</v>
      </c>
      <c r="U150" t="str">
        <f t="shared" si="23"/>
        <v>Normal</v>
      </c>
      <c r="V150" t="s">
        <v>102</v>
      </c>
    </row>
    <row r="151" spans="1:22">
      <c r="A151" t="s">
        <v>385</v>
      </c>
      <c r="B151" s="10">
        <v>42858.43440972222</v>
      </c>
      <c r="C151" s="10">
        <v>42859.437708333331</v>
      </c>
      <c r="D151" s="10">
        <v>42859.615717592591</v>
      </c>
      <c r="E151" s="10">
        <v>42878.633796296293</v>
      </c>
      <c r="F151" s="10">
        <v>42891</v>
      </c>
      <c r="G151" t="s">
        <v>23</v>
      </c>
      <c r="H151" t="s">
        <v>386</v>
      </c>
      <c r="I151" t="s">
        <v>128</v>
      </c>
      <c r="J151" s="11">
        <v>1</v>
      </c>
      <c r="K151" s="12">
        <v>389</v>
      </c>
      <c r="L151" s="12">
        <v>55.13</v>
      </c>
      <c r="M151" s="13">
        <v>2</v>
      </c>
      <c r="N151" s="13">
        <f t="shared" si="16"/>
        <v>20.199386574073287</v>
      </c>
      <c r="O151" s="13">
        <f t="shared" si="17"/>
        <v>0</v>
      </c>
      <c r="P151" t="str">
        <f t="shared" si="18"/>
        <v>On Time</v>
      </c>
      <c r="Q151" s="13">
        <f t="shared" si="19"/>
        <v>24.079166666662786</v>
      </c>
      <c r="R151" s="13">
        <f t="shared" si="20"/>
        <v>0.17800925925985212</v>
      </c>
      <c r="S151" s="13">
        <f t="shared" si="21"/>
        <v>19.018078703702486</v>
      </c>
      <c r="T151" t="str">
        <f t="shared" si="22"/>
        <v>On Time/Early</v>
      </c>
      <c r="U151" t="str">
        <f t="shared" si="23"/>
        <v>Normal</v>
      </c>
      <c r="V151" t="s">
        <v>102</v>
      </c>
    </row>
    <row r="152" spans="1:22">
      <c r="A152" t="s">
        <v>387</v>
      </c>
      <c r="B152" s="10">
        <v>42858.451111111113</v>
      </c>
      <c r="C152" s="10">
        <v>42858.465497685182</v>
      </c>
      <c r="D152" s="10">
        <v>42860.690995370373</v>
      </c>
      <c r="E152" s="10">
        <v>42877.97115740741</v>
      </c>
      <c r="F152" s="10">
        <v>42891</v>
      </c>
      <c r="G152" t="s">
        <v>23</v>
      </c>
      <c r="H152" t="s">
        <v>275</v>
      </c>
      <c r="I152" t="s">
        <v>101</v>
      </c>
      <c r="J152" s="11">
        <v>1</v>
      </c>
      <c r="K152" s="12">
        <v>119</v>
      </c>
      <c r="L152" s="12">
        <v>33.380000000000003</v>
      </c>
      <c r="M152" s="13">
        <v>5</v>
      </c>
      <c r="N152" s="13">
        <f t="shared" si="16"/>
        <v>19.520046296296641</v>
      </c>
      <c r="O152" s="13">
        <f t="shared" si="17"/>
        <v>0</v>
      </c>
      <c r="P152" t="str">
        <f t="shared" si="18"/>
        <v>On Time</v>
      </c>
      <c r="Q152" s="13">
        <f t="shared" si="19"/>
        <v>0.345277777640149</v>
      </c>
      <c r="R152" s="13">
        <f t="shared" si="20"/>
        <v>2.2254976851909305</v>
      </c>
      <c r="S152" s="13">
        <f t="shared" si="21"/>
        <v>17.280162037037371</v>
      </c>
      <c r="T152" t="str">
        <f t="shared" si="22"/>
        <v>On Time/Early</v>
      </c>
      <c r="U152" t="str">
        <f t="shared" si="23"/>
        <v>Normal</v>
      </c>
      <c r="V152" t="s">
        <v>102</v>
      </c>
    </row>
    <row r="153" spans="1:22">
      <c r="A153" t="s">
        <v>388</v>
      </c>
      <c r="B153" s="10">
        <v>42859.856562499997</v>
      </c>
      <c r="C153" s="10">
        <v>42859.862997685188</v>
      </c>
      <c r="D153" s="10">
        <v>42864.463900462964</v>
      </c>
      <c r="E153" s="10">
        <v>42874.456319444442</v>
      </c>
      <c r="F153" s="10">
        <v>42884</v>
      </c>
      <c r="G153" t="s">
        <v>16</v>
      </c>
      <c r="H153" t="s">
        <v>389</v>
      </c>
      <c r="I153" t="s">
        <v>31</v>
      </c>
      <c r="J153" s="11">
        <v>1</v>
      </c>
      <c r="K153" s="12">
        <v>402.85</v>
      </c>
      <c r="L153" s="12">
        <v>54.37</v>
      </c>
      <c r="M153" s="13">
        <v>1</v>
      </c>
      <c r="N153" s="13">
        <f t="shared" si="16"/>
        <v>14.59975694444438</v>
      </c>
      <c r="O153" s="13">
        <f t="shared" si="17"/>
        <v>0</v>
      </c>
      <c r="P153" t="str">
        <f t="shared" si="18"/>
        <v>On Time</v>
      </c>
      <c r="Q153" s="13">
        <f t="shared" si="19"/>
        <v>0.15444444457534701</v>
      </c>
      <c r="R153" s="13">
        <f t="shared" si="20"/>
        <v>4.6009027777763549</v>
      </c>
      <c r="S153" s="13">
        <f t="shared" si="21"/>
        <v>9.9924189814773854</v>
      </c>
      <c r="T153" t="str">
        <f t="shared" si="22"/>
        <v>On Time/Early</v>
      </c>
      <c r="U153" t="str">
        <f t="shared" si="23"/>
        <v>Normal</v>
      </c>
      <c r="V153" t="s">
        <v>102</v>
      </c>
    </row>
    <row r="154" spans="1:22">
      <c r="A154" t="s">
        <v>390</v>
      </c>
      <c r="B154" s="10">
        <v>42859.909629629627</v>
      </c>
      <c r="C154" s="10">
        <v>42859.918634259258</v>
      </c>
      <c r="D154" s="10">
        <v>42860.642199074071</v>
      </c>
      <c r="E154" s="10">
        <v>42867.546284722222</v>
      </c>
      <c r="F154" s="10">
        <v>42884</v>
      </c>
      <c r="G154" t="s">
        <v>20</v>
      </c>
      <c r="H154" t="s">
        <v>391</v>
      </c>
      <c r="I154" t="s">
        <v>123</v>
      </c>
      <c r="J154" s="11">
        <v>1</v>
      </c>
      <c r="K154" s="12">
        <v>169.9</v>
      </c>
      <c r="L154" s="12">
        <v>21.27</v>
      </c>
      <c r="M154" s="13">
        <v>1</v>
      </c>
      <c r="N154" s="13">
        <f t="shared" si="16"/>
        <v>7.6366550925959018</v>
      </c>
      <c r="O154" s="13">
        <f t="shared" si="17"/>
        <v>0</v>
      </c>
      <c r="P154" t="str">
        <f t="shared" si="18"/>
        <v>On Time</v>
      </c>
      <c r="Q154" s="13">
        <f t="shared" si="19"/>
        <v>0.21611111116362736</v>
      </c>
      <c r="R154" s="13">
        <f t="shared" si="20"/>
        <v>0.72356481481256196</v>
      </c>
      <c r="S154" s="13">
        <f t="shared" si="21"/>
        <v>6.904085648151522</v>
      </c>
      <c r="T154" t="str">
        <f t="shared" si="22"/>
        <v>On Time/Early</v>
      </c>
      <c r="U154" t="str">
        <f t="shared" si="23"/>
        <v>Normal</v>
      </c>
      <c r="V154" t="s">
        <v>102</v>
      </c>
    </row>
    <row r="155" spans="1:22">
      <c r="A155" t="s">
        <v>392</v>
      </c>
      <c r="B155" s="10">
        <v>42860.622777777775</v>
      </c>
      <c r="C155" s="10">
        <v>42860.628622685188</v>
      </c>
      <c r="D155" s="10">
        <v>42872.329143518517</v>
      </c>
      <c r="E155" s="10">
        <v>42878.501226851855</v>
      </c>
      <c r="F155" s="10">
        <v>42891</v>
      </c>
      <c r="G155" t="s">
        <v>8</v>
      </c>
      <c r="H155" t="s">
        <v>393</v>
      </c>
      <c r="I155" t="s">
        <v>101</v>
      </c>
      <c r="J155" s="11">
        <v>1</v>
      </c>
      <c r="K155" s="12">
        <v>45.9</v>
      </c>
      <c r="L155" s="12">
        <v>10.96</v>
      </c>
      <c r="M155" s="13">
        <v>5</v>
      </c>
      <c r="N155" s="13">
        <f t="shared" si="16"/>
        <v>17.878449074079981</v>
      </c>
      <c r="O155" s="13">
        <f t="shared" si="17"/>
        <v>0</v>
      </c>
      <c r="P155" t="str">
        <f t="shared" si="18"/>
        <v>On Time</v>
      </c>
      <c r="Q155" s="13">
        <f t="shared" si="19"/>
        <v>0.14027777791488916</v>
      </c>
      <c r="R155" s="13">
        <f t="shared" si="20"/>
        <v>11.700520833328483</v>
      </c>
      <c r="S155" s="13">
        <f t="shared" si="21"/>
        <v>6.172083333338378</v>
      </c>
      <c r="T155" t="str">
        <f t="shared" si="22"/>
        <v>On Time/Early</v>
      </c>
      <c r="U155" t="str">
        <f t="shared" si="23"/>
        <v>Normal</v>
      </c>
      <c r="V155" t="s">
        <v>102</v>
      </c>
    </row>
    <row r="156" spans="1:22">
      <c r="A156" t="s">
        <v>394</v>
      </c>
      <c r="B156" s="10">
        <v>42860.74523148148</v>
      </c>
      <c r="C156" s="10">
        <v>42861.274513888886</v>
      </c>
      <c r="D156" s="10">
        <v>42864.318055555559</v>
      </c>
      <c r="E156" s="10">
        <v>42879.522685185184</v>
      </c>
      <c r="F156" s="10">
        <v>42895</v>
      </c>
      <c r="G156" t="s">
        <v>57</v>
      </c>
      <c r="H156" t="s">
        <v>395</v>
      </c>
      <c r="I156" t="s">
        <v>58</v>
      </c>
      <c r="J156" s="11">
        <v>1</v>
      </c>
      <c r="K156" s="12">
        <v>160</v>
      </c>
      <c r="L156" s="12">
        <v>25.61</v>
      </c>
      <c r="M156" s="13">
        <v>4</v>
      </c>
      <c r="N156" s="13">
        <f t="shared" si="16"/>
        <v>18.777453703703941</v>
      </c>
      <c r="O156" s="13">
        <f t="shared" si="17"/>
        <v>0</v>
      </c>
      <c r="P156" t="str">
        <f t="shared" si="18"/>
        <v>On Time</v>
      </c>
      <c r="Q156" s="13">
        <f t="shared" si="19"/>
        <v>12.702777777740266</v>
      </c>
      <c r="R156" s="13">
        <f t="shared" si="20"/>
        <v>3.0435416666732635</v>
      </c>
      <c r="S156" s="13">
        <f t="shared" si="21"/>
        <v>15.204629629624833</v>
      </c>
      <c r="T156" t="str">
        <f t="shared" si="22"/>
        <v>On Time/Early</v>
      </c>
      <c r="U156" t="str">
        <f t="shared" si="23"/>
        <v>Normal</v>
      </c>
      <c r="V156" t="s">
        <v>102</v>
      </c>
    </row>
    <row r="157" spans="1:22">
      <c r="A157" t="s">
        <v>396</v>
      </c>
      <c r="B157" s="10">
        <v>42860.795995370368</v>
      </c>
      <c r="C157" s="10">
        <v>42860.807175925926</v>
      </c>
      <c r="D157" s="10">
        <v>42863.487627314818</v>
      </c>
      <c r="E157" s="10">
        <v>42868.508576388886</v>
      </c>
      <c r="F157" s="10">
        <v>42885</v>
      </c>
      <c r="G157" t="s">
        <v>20</v>
      </c>
      <c r="H157" t="s">
        <v>104</v>
      </c>
      <c r="I157" t="s">
        <v>112</v>
      </c>
      <c r="J157" s="11">
        <v>1</v>
      </c>
      <c r="K157" s="12">
        <v>78.75</v>
      </c>
      <c r="L157" s="12">
        <v>15.11</v>
      </c>
      <c r="M157" s="13">
        <v>4</v>
      </c>
      <c r="N157" s="13">
        <f t="shared" si="16"/>
        <v>7.7125810185170849</v>
      </c>
      <c r="O157" s="13">
        <f t="shared" si="17"/>
        <v>0</v>
      </c>
      <c r="P157" t="str">
        <f t="shared" si="18"/>
        <v>On Time</v>
      </c>
      <c r="Q157" s="13">
        <f t="shared" si="19"/>
        <v>0.26833333336981013</v>
      </c>
      <c r="R157" s="13">
        <f t="shared" si="20"/>
        <v>2.6804513888928341</v>
      </c>
      <c r="S157" s="13">
        <f t="shared" si="21"/>
        <v>5.0209490740671754</v>
      </c>
      <c r="T157" t="str">
        <f t="shared" si="22"/>
        <v>On Time/Early</v>
      </c>
      <c r="U157" t="str">
        <f t="shared" si="23"/>
        <v>Normal</v>
      </c>
      <c r="V157" t="s">
        <v>102</v>
      </c>
    </row>
    <row r="158" spans="1:22">
      <c r="A158" t="s">
        <v>397</v>
      </c>
      <c r="B158" s="10">
        <v>42861.357870370368</v>
      </c>
      <c r="C158" s="10">
        <v>42861.364710648151</v>
      </c>
      <c r="D158" s="10">
        <v>42864.438379629632</v>
      </c>
      <c r="E158" s="10">
        <v>42877.666712962964</v>
      </c>
      <c r="F158" s="10">
        <v>42893</v>
      </c>
      <c r="G158" t="s">
        <v>43</v>
      </c>
      <c r="H158" t="s">
        <v>398</v>
      </c>
      <c r="I158" t="s">
        <v>136</v>
      </c>
      <c r="J158" s="11">
        <v>1</v>
      </c>
      <c r="K158" s="12">
        <v>189</v>
      </c>
      <c r="L158" s="12">
        <v>25.09</v>
      </c>
      <c r="M158" s="13">
        <v>5</v>
      </c>
      <c r="N158" s="13">
        <f t="shared" si="16"/>
        <v>16.308842592596193</v>
      </c>
      <c r="O158" s="13">
        <f t="shared" si="17"/>
        <v>0</v>
      </c>
      <c r="P158" t="str">
        <f t="shared" si="18"/>
        <v>On Time</v>
      </c>
      <c r="Q158" s="13">
        <f t="shared" si="19"/>
        <v>0.16416666680015624</v>
      </c>
      <c r="R158" s="13">
        <f t="shared" si="20"/>
        <v>3.0736689814802958</v>
      </c>
      <c r="S158" s="13">
        <f t="shared" si="21"/>
        <v>13.228333333332557</v>
      </c>
      <c r="T158" t="str">
        <f t="shared" si="22"/>
        <v>On Time/Early</v>
      </c>
      <c r="U158" t="str">
        <f t="shared" si="23"/>
        <v>Normal</v>
      </c>
      <c r="V158" t="s">
        <v>102</v>
      </c>
    </row>
    <row r="159" spans="1:22">
      <c r="A159" t="s">
        <v>399</v>
      </c>
      <c r="B159" s="10">
        <v>42861.589918981481</v>
      </c>
      <c r="C159" s="10">
        <v>42861.59883101852</v>
      </c>
      <c r="D159" s="10">
        <v>42864.640289351853</v>
      </c>
      <c r="E159" s="10">
        <v>42866.901018518518</v>
      </c>
      <c r="F159" s="10">
        <v>42886</v>
      </c>
      <c r="G159" t="s">
        <v>8</v>
      </c>
      <c r="H159" t="s">
        <v>204</v>
      </c>
      <c r="I159" t="s">
        <v>221</v>
      </c>
      <c r="J159" s="11">
        <v>1</v>
      </c>
      <c r="K159" s="12">
        <v>238</v>
      </c>
      <c r="L159" s="12">
        <v>16.420000000000002</v>
      </c>
      <c r="M159" s="13">
        <v>4</v>
      </c>
      <c r="N159" s="13">
        <f t="shared" si="16"/>
        <v>5.3110995370370802</v>
      </c>
      <c r="O159" s="13">
        <f t="shared" si="17"/>
        <v>0</v>
      </c>
      <c r="P159" t="str">
        <f t="shared" si="18"/>
        <v>On Time</v>
      </c>
      <c r="Q159" s="13">
        <f t="shared" si="19"/>
        <v>0.21388888894580305</v>
      </c>
      <c r="R159" s="13">
        <f t="shared" si="20"/>
        <v>3.0414583333331393</v>
      </c>
      <c r="S159" s="13">
        <f t="shared" si="21"/>
        <v>2.2607291666645324</v>
      </c>
      <c r="T159" t="str">
        <f t="shared" si="22"/>
        <v>On Time/Early</v>
      </c>
      <c r="U159" t="str">
        <f t="shared" si="23"/>
        <v>Normal</v>
      </c>
      <c r="V159" t="s">
        <v>102</v>
      </c>
    </row>
    <row r="160" spans="1:22">
      <c r="A160" t="s">
        <v>400</v>
      </c>
      <c r="B160" s="10">
        <v>42861.634282407409</v>
      </c>
      <c r="C160" s="10">
        <v>42861.642476851855</v>
      </c>
      <c r="D160" s="10">
        <v>42864.641481481478</v>
      </c>
      <c r="E160" s="10">
        <v>42870.375011574077</v>
      </c>
      <c r="F160" s="10">
        <v>42888</v>
      </c>
      <c r="G160" t="s">
        <v>43</v>
      </c>
      <c r="H160" t="s">
        <v>401</v>
      </c>
      <c r="I160" t="s">
        <v>128</v>
      </c>
      <c r="J160" s="11">
        <v>1</v>
      </c>
      <c r="K160" s="12">
        <v>89.18</v>
      </c>
      <c r="L160" s="12">
        <v>17.87</v>
      </c>
      <c r="M160" s="13">
        <v>5</v>
      </c>
      <c r="N160" s="13">
        <f t="shared" si="16"/>
        <v>8.7407291666677338</v>
      </c>
      <c r="O160" s="13">
        <f t="shared" si="17"/>
        <v>0</v>
      </c>
      <c r="P160" t="str">
        <f t="shared" si="18"/>
        <v>On Time</v>
      </c>
      <c r="Q160" s="13">
        <f t="shared" si="19"/>
        <v>0.1966666667140089</v>
      </c>
      <c r="R160" s="13">
        <f t="shared" si="20"/>
        <v>2.9990046296225046</v>
      </c>
      <c r="S160" s="13">
        <f t="shared" si="21"/>
        <v>5.7335300925988122</v>
      </c>
      <c r="T160" t="str">
        <f t="shared" si="22"/>
        <v>On Time/Early</v>
      </c>
      <c r="U160" t="str">
        <f t="shared" si="23"/>
        <v>Normal</v>
      </c>
      <c r="V160" t="s">
        <v>102</v>
      </c>
    </row>
    <row r="161" spans="1:22">
      <c r="A161" t="s">
        <v>402</v>
      </c>
      <c r="B161" s="10">
        <v>42861.766122685185</v>
      </c>
      <c r="C161" s="10">
        <v>42861.774456018517</v>
      </c>
      <c r="D161" s="10">
        <v>42864.597754629627</v>
      </c>
      <c r="E161" s="10">
        <v>42871.421875</v>
      </c>
      <c r="F161" s="10">
        <v>42884</v>
      </c>
      <c r="G161" t="s">
        <v>8</v>
      </c>
      <c r="H161" t="s">
        <v>403</v>
      </c>
      <c r="I161" t="s">
        <v>180</v>
      </c>
      <c r="J161" s="11">
        <v>1</v>
      </c>
      <c r="K161" s="12">
        <v>68.900000000000006</v>
      </c>
      <c r="L161" s="12">
        <v>12.82</v>
      </c>
      <c r="M161" s="13">
        <v>5</v>
      </c>
      <c r="N161" s="13">
        <f t="shared" si="16"/>
        <v>9.6557523148148903</v>
      </c>
      <c r="O161" s="13">
        <f t="shared" si="17"/>
        <v>0</v>
      </c>
      <c r="P161" t="str">
        <f t="shared" si="18"/>
        <v>On Time</v>
      </c>
      <c r="Q161" s="13">
        <f t="shared" si="19"/>
        <v>0.19999999995343387</v>
      </c>
      <c r="R161" s="13">
        <f t="shared" si="20"/>
        <v>2.8232986111106584</v>
      </c>
      <c r="S161" s="13">
        <f t="shared" si="21"/>
        <v>6.8241203703728388</v>
      </c>
      <c r="T161" t="str">
        <f t="shared" si="22"/>
        <v>On Time/Early</v>
      </c>
      <c r="U161" t="str">
        <f t="shared" si="23"/>
        <v>Normal</v>
      </c>
      <c r="V161" t="s">
        <v>102</v>
      </c>
    </row>
    <row r="162" spans="1:22">
      <c r="A162" t="s">
        <v>404</v>
      </c>
      <c r="B162" s="10">
        <v>42861.814155092594</v>
      </c>
      <c r="C162" s="10">
        <v>42861.823020833333</v>
      </c>
      <c r="D162" s="10">
        <v>42865.604363425926</v>
      </c>
      <c r="E162" s="10">
        <v>42877.512627314813</v>
      </c>
      <c r="F162" s="10">
        <v>42886</v>
      </c>
      <c r="G162" t="s">
        <v>8</v>
      </c>
      <c r="H162" t="s">
        <v>140</v>
      </c>
      <c r="I162" t="s">
        <v>128</v>
      </c>
      <c r="J162" s="11">
        <v>4</v>
      </c>
      <c r="K162" s="12">
        <v>151.96</v>
      </c>
      <c r="L162" s="12">
        <v>60.4</v>
      </c>
      <c r="M162" s="13">
        <v>5</v>
      </c>
      <c r="N162" s="13">
        <f t="shared" si="16"/>
        <v>15.698472222218697</v>
      </c>
      <c r="O162" s="13">
        <f t="shared" si="17"/>
        <v>0</v>
      </c>
      <c r="P162" t="str">
        <f t="shared" si="18"/>
        <v>On Time</v>
      </c>
      <c r="Q162" s="13">
        <f t="shared" si="19"/>
        <v>0.2127777777495794</v>
      </c>
      <c r="R162" s="13">
        <f t="shared" si="20"/>
        <v>3.7813425925924093</v>
      </c>
      <c r="S162" s="13">
        <f t="shared" si="21"/>
        <v>11.908263888886722</v>
      </c>
      <c r="T162" t="str">
        <f t="shared" si="22"/>
        <v>On Time/Early</v>
      </c>
      <c r="U162" t="str">
        <f t="shared" si="23"/>
        <v>Normal</v>
      </c>
      <c r="V162" t="s">
        <v>102</v>
      </c>
    </row>
    <row r="163" spans="1:22">
      <c r="A163" t="s">
        <v>405</v>
      </c>
      <c r="B163" s="10">
        <v>42862.545219907406</v>
      </c>
      <c r="C163" s="10">
        <v>42862.552303240744</v>
      </c>
      <c r="D163" s="10">
        <v>42872.497569444444</v>
      </c>
      <c r="E163" s="10">
        <v>42877.633900462963</v>
      </c>
      <c r="F163" s="10">
        <v>42886</v>
      </c>
      <c r="G163" t="s">
        <v>8</v>
      </c>
      <c r="H163" t="s">
        <v>406</v>
      </c>
      <c r="I163" t="s">
        <v>101</v>
      </c>
      <c r="J163" s="11">
        <v>1</v>
      </c>
      <c r="K163" s="12">
        <v>129.9</v>
      </c>
      <c r="L163" s="12">
        <v>13.93</v>
      </c>
      <c r="M163" s="13">
        <v>1</v>
      </c>
      <c r="N163" s="13">
        <f t="shared" si="16"/>
        <v>15.088680555556493</v>
      </c>
      <c r="O163" s="13">
        <f t="shared" si="17"/>
        <v>0</v>
      </c>
      <c r="P163" t="str">
        <f t="shared" si="18"/>
        <v>On Time</v>
      </c>
      <c r="Q163" s="13">
        <f t="shared" si="19"/>
        <v>0.17000000010011718</v>
      </c>
      <c r="R163" s="13">
        <f t="shared" si="20"/>
        <v>9.9452662037001573</v>
      </c>
      <c r="S163" s="13">
        <f t="shared" si="21"/>
        <v>5.1363310185188311</v>
      </c>
      <c r="T163" t="str">
        <f t="shared" si="22"/>
        <v>On Time/Early</v>
      </c>
      <c r="U163" t="str">
        <f t="shared" si="23"/>
        <v>Normal</v>
      </c>
      <c r="V163" t="s">
        <v>102</v>
      </c>
    </row>
    <row r="164" spans="1:22">
      <c r="A164" t="s">
        <v>407</v>
      </c>
      <c r="B164" s="10">
        <v>42862.817673611113</v>
      </c>
      <c r="C164" s="10">
        <v>42864.392835648148</v>
      </c>
      <c r="D164" s="10">
        <v>42871.476990740739</v>
      </c>
      <c r="E164" s="10">
        <v>42872.651458333334</v>
      </c>
      <c r="F164" s="10">
        <v>42874</v>
      </c>
      <c r="G164" t="s">
        <v>8</v>
      </c>
      <c r="H164" t="s">
        <v>408</v>
      </c>
      <c r="I164" t="s">
        <v>112</v>
      </c>
      <c r="J164" s="11">
        <v>1</v>
      </c>
      <c r="K164" s="12">
        <v>49.9</v>
      </c>
      <c r="L164" s="12">
        <v>7.78</v>
      </c>
      <c r="M164" s="13">
        <v>5</v>
      </c>
      <c r="N164" s="13">
        <f t="shared" si="16"/>
        <v>9.8337847222210257</v>
      </c>
      <c r="O164" s="13">
        <f t="shared" si="17"/>
        <v>0</v>
      </c>
      <c r="P164" t="str">
        <f t="shared" si="18"/>
        <v>On Time</v>
      </c>
      <c r="Q164" s="13">
        <f t="shared" si="19"/>
        <v>37.803888888854999</v>
      </c>
      <c r="R164" s="13">
        <f t="shared" si="20"/>
        <v>7.0841550925906631</v>
      </c>
      <c r="S164" s="13">
        <f t="shared" si="21"/>
        <v>1.1744675925947377</v>
      </c>
      <c r="T164" t="str">
        <f t="shared" si="22"/>
        <v>On Time/Early</v>
      </c>
      <c r="U164" t="str">
        <f t="shared" si="23"/>
        <v>Normal</v>
      </c>
      <c r="V164" t="s">
        <v>102</v>
      </c>
    </row>
    <row r="165" spans="1:22">
      <c r="A165" t="s">
        <v>409</v>
      </c>
      <c r="B165" s="10">
        <v>42862.84412037037</v>
      </c>
      <c r="C165" s="10">
        <v>42864.399560185186</v>
      </c>
      <c r="D165" s="10">
        <v>42865.659756944442</v>
      </c>
      <c r="E165" s="10">
        <v>42871.567800925928</v>
      </c>
      <c r="F165" s="10">
        <v>42884</v>
      </c>
      <c r="G165" t="s">
        <v>33</v>
      </c>
      <c r="H165" t="s">
        <v>410</v>
      </c>
      <c r="I165" t="s">
        <v>221</v>
      </c>
      <c r="J165" s="11">
        <v>1</v>
      </c>
      <c r="K165" s="12">
        <v>129.9</v>
      </c>
      <c r="L165" s="12">
        <v>14.78</v>
      </c>
      <c r="M165" s="13">
        <v>4</v>
      </c>
      <c r="N165" s="13">
        <f t="shared" si="16"/>
        <v>8.7236805555585306</v>
      </c>
      <c r="O165" s="13">
        <f t="shared" si="17"/>
        <v>0</v>
      </c>
      <c r="P165" t="str">
        <f t="shared" si="18"/>
        <v>On Time</v>
      </c>
      <c r="Q165" s="13">
        <f t="shared" si="19"/>
        <v>37.330555555585306</v>
      </c>
      <c r="R165" s="13">
        <f t="shared" si="20"/>
        <v>1.2601967592563597</v>
      </c>
      <c r="S165" s="13">
        <f t="shared" si="21"/>
        <v>5.9080439814861165</v>
      </c>
      <c r="T165" t="str">
        <f t="shared" si="22"/>
        <v>On Time/Early</v>
      </c>
      <c r="U165" t="str">
        <f t="shared" si="23"/>
        <v>Normal</v>
      </c>
      <c r="V165" t="s">
        <v>102</v>
      </c>
    </row>
    <row r="166" spans="1:22">
      <c r="A166" t="s">
        <v>411</v>
      </c>
      <c r="B166" s="10">
        <v>42862.848796296297</v>
      </c>
      <c r="C166" s="10">
        <v>42864.392546296294</v>
      </c>
      <c r="D166" s="10">
        <v>42866.513749999998</v>
      </c>
      <c r="E166" s="10">
        <v>42874.661122685182</v>
      </c>
      <c r="F166" s="10">
        <v>42888</v>
      </c>
      <c r="G166" t="s">
        <v>30</v>
      </c>
      <c r="H166" t="s">
        <v>412</v>
      </c>
      <c r="I166" t="s">
        <v>112</v>
      </c>
      <c r="J166" s="11">
        <v>1</v>
      </c>
      <c r="K166" s="12">
        <v>34.9</v>
      </c>
      <c r="L166" s="12">
        <v>15.1</v>
      </c>
      <c r="M166" s="13">
        <v>5</v>
      </c>
      <c r="N166" s="13">
        <f t="shared" si="16"/>
        <v>11.812326388884685</v>
      </c>
      <c r="O166" s="13">
        <f t="shared" si="17"/>
        <v>0</v>
      </c>
      <c r="P166" t="str">
        <f t="shared" si="18"/>
        <v>On Time</v>
      </c>
      <c r="Q166" s="13">
        <f t="shared" si="19"/>
        <v>37.049999999930151</v>
      </c>
      <c r="R166" s="13">
        <f t="shared" si="20"/>
        <v>2.1212037037039408</v>
      </c>
      <c r="S166" s="13">
        <f t="shared" si="21"/>
        <v>8.1473726851836545</v>
      </c>
      <c r="T166" t="str">
        <f t="shared" si="22"/>
        <v>On Time/Early</v>
      </c>
      <c r="U166" t="str">
        <f t="shared" si="23"/>
        <v>Normal</v>
      </c>
      <c r="V166" t="s">
        <v>102</v>
      </c>
    </row>
    <row r="167" spans="1:22">
      <c r="A167" t="s">
        <v>413</v>
      </c>
      <c r="B167" s="10">
        <v>42863.559571759259</v>
      </c>
      <c r="C167" s="10">
        <v>42863.566192129627</v>
      </c>
      <c r="D167" s="10">
        <v>42874.565000000002</v>
      </c>
      <c r="E167" s="10">
        <v>42887.526805555557</v>
      </c>
      <c r="F167" s="10">
        <v>42907</v>
      </c>
      <c r="G167" t="s">
        <v>50</v>
      </c>
      <c r="H167" t="s">
        <v>414</v>
      </c>
      <c r="I167" t="s">
        <v>37</v>
      </c>
      <c r="J167" s="11">
        <v>1</v>
      </c>
      <c r="K167" s="12">
        <v>279.99</v>
      </c>
      <c r="L167" s="12">
        <v>96.18</v>
      </c>
      <c r="M167" s="13">
        <v>5</v>
      </c>
      <c r="N167" s="13">
        <f t="shared" si="16"/>
        <v>23.967233796298387</v>
      </c>
      <c r="O167" s="13">
        <f t="shared" si="17"/>
        <v>0</v>
      </c>
      <c r="P167" t="str">
        <f t="shared" si="18"/>
        <v>On Time</v>
      </c>
      <c r="Q167" s="13">
        <f t="shared" si="19"/>
        <v>0.15888888883637264</v>
      </c>
      <c r="R167" s="13">
        <f t="shared" si="20"/>
        <v>10.998807870375458</v>
      </c>
      <c r="S167" s="13">
        <f t="shared" si="21"/>
        <v>12.961805555554747</v>
      </c>
      <c r="T167" t="str">
        <f t="shared" si="22"/>
        <v>On Time/Early</v>
      </c>
      <c r="U167" t="str">
        <f t="shared" si="23"/>
        <v>Normal</v>
      </c>
      <c r="V167" t="s">
        <v>102</v>
      </c>
    </row>
    <row r="168" spans="1:22">
      <c r="A168" t="s">
        <v>415</v>
      </c>
      <c r="B168" s="10">
        <v>42864.615671296298</v>
      </c>
      <c r="C168" s="10">
        <v>42865.274571759262</v>
      </c>
      <c r="D168" s="10">
        <v>42884.621701388889</v>
      </c>
      <c r="E168" s="10">
        <v>42895.696053240739</v>
      </c>
      <c r="F168" s="10">
        <v>42907</v>
      </c>
      <c r="G168" t="s">
        <v>110</v>
      </c>
      <c r="H168" t="s">
        <v>416</v>
      </c>
      <c r="I168" t="s">
        <v>149</v>
      </c>
      <c r="J168" s="11">
        <v>1</v>
      </c>
      <c r="K168" s="12">
        <v>2740</v>
      </c>
      <c r="L168" s="12">
        <v>54.5</v>
      </c>
      <c r="M168" s="13">
        <v>2</v>
      </c>
      <c r="N168" s="13">
        <f t="shared" si="16"/>
        <v>31.080381944440887</v>
      </c>
      <c r="O168" s="13">
        <f t="shared" si="17"/>
        <v>0</v>
      </c>
      <c r="P168" t="str">
        <f t="shared" si="18"/>
        <v>On Time</v>
      </c>
      <c r="Q168" s="13">
        <f t="shared" si="19"/>
        <v>15.813611111138016</v>
      </c>
      <c r="R168" s="13">
        <f t="shared" si="20"/>
        <v>19.347129629626579</v>
      </c>
      <c r="S168" s="13">
        <f t="shared" si="21"/>
        <v>11.074351851850224</v>
      </c>
      <c r="T168" t="str">
        <f t="shared" si="22"/>
        <v>On Time/Early</v>
      </c>
      <c r="U168" t="str">
        <f t="shared" si="23"/>
        <v>Normal</v>
      </c>
      <c r="V168" t="s">
        <v>102</v>
      </c>
    </row>
    <row r="169" spans="1:22">
      <c r="A169" t="s">
        <v>417</v>
      </c>
      <c r="B169" s="10">
        <v>42864.776666666665</v>
      </c>
      <c r="C169" s="10">
        <v>42864.784861111111</v>
      </c>
      <c r="D169" s="10">
        <v>42865.496747685182</v>
      </c>
      <c r="E169" s="10">
        <v>42870.277511574073</v>
      </c>
      <c r="F169" s="10">
        <v>42884</v>
      </c>
      <c r="G169" t="s">
        <v>8</v>
      </c>
      <c r="H169" t="s">
        <v>418</v>
      </c>
      <c r="I169" t="s">
        <v>180</v>
      </c>
      <c r="J169" s="11">
        <v>1</v>
      </c>
      <c r="K169" s="12">
        <v>49.9</v>
      </c>
      <c r="L169" s="12">
        <v>17.600000000000001</v>
      </c>
      <c r="M169" s="13">
        <v>5</v>
      </c>
      <c r="N169" s="13">
        <f t="shared" si="16"/>
        <v>5.5008449074084638</v>
      </c>
      <c r="O169" s="13">
        <f t="shared" si="17"/>
        <v>0</v>
      </c>
      <c r="P169" t="str">
        <f t="shared" si="18"/>
        <v>On Time</v>
      </c>
      <c r="Q169" s="13">
        <f t="shared" si="19"/>
        <v>0.1966666667140089</v>
      </c>
      <c r="R169" s="13">
        <f t="shared" si="20"/>
        <v>0.71188657407037681</v>
      </c>
      <c r="S169" s="13">
        <f t="shared" si="21"/>
        <v>4.7807638888916699</v>
      </c>
      <c r="T169" t="str">
        <f t="shared" si="22"/>
        <v>On Time/Early</v>
      </c>
      <c r="U169" t="str">
        <f t="shared" si="23"/>
        <v>Normal</v>
      </c>
      <c r="V169" t="s">
        <v>102</v>
      </c>
    </row>
    <row r="170" spans="1:22">
      <c r="A170" t="s">
        <v>419</v>
      </c>
      <c r="B170" s="10">
        <v>42866.392002314817</v>
      </c>
      <c r="C170" s="10">
        <v>42866.399537037039</v>
      </c>
      <c r="D170" s="10">
        <v>42866.508414351854</v>
      </c>
      <c r="E170" s="10">
        <v>42870.60670138889</v>
      </c>
      <c r="F170" s="10">
        <v>42886</v>
      </c>
      <c r="G170" t="s">
        <v>20</v>
      </c>
      <c r="H170" t="s">
        <v>420</v>
      </c>
      <c r="I170" t="s">
        <v>368</v>
      </c>
      <c r="J170" s="11">
        <v>1</v>
      </c>
      <c r="K170" s="12">
        <v>69.900000000000006</v>
      </c>
      <c r="L170" s="12">
        <v>17.739999999999998</v>
      </c>
      <c r="M170" s="13">
        <v>5</v>
      </c>
      <c r="N170" s="13">
        <f t="shared" si="16"/>
        <v>4.2146990740729962</v>
      </c>
      <c r="O170" s="13">
        <f t="shared" si="17"/>
        <v>0</v>
      </c>
      <c r="P170" t="str">
        <f t="shared" si="18"/>
        <v>On Time</v>
      </c>
      <c r="Q170" s="13">
        <f t="shared" si="19"/>
        <v>0.18083333334652707</v>
      </c>
      <c r="R170" s="13">
        <f t="shared" si="20"/>
        <v>0.10887731481489027</v>
      </c>
      <c r="S170" s="13">
        <f t="shared" si="21"/>
        <v>4.0982870370353339</v>
      </c>
      <c r="T170" t="str">
        <f t="shared" si="22"/>
        <v>On Time/Early</v>
      </c>
      <c r="U170" t="str">
        <f t="shared" si="23"/>
        <v>Normal</v>
      </c>
      <c r="V170" t="s">
        <v>102</v>
      </c>
    </row>
    <row r="171" spans="1:22">
      <c r="A171" t="s">
        <v>421</v>
      </c>
      <c r="B171" s="10">
        <v>42866.616307870368</v>
      </c>
      <c r="C171" s="10">
        <v>42866.621747685182</v>
      </c>
      <c r="D171" s="10">
        <v>42867.445347222223</v>
      </c>
      <c r="E171" s="10">
        <v>42870.287349537037</v>
      </c>
      <c r="F171" s="10">
        <v>42874</v>
      </c>
      <c r="G171" t="s">
        <v>8</v>
      </c>
      <c r="H171" t="s">
        <v>140</v>
      </c>
      <c r="I171" t="s">
        <v>422</v>
      </c>
      <c r="J171" s="11">
        <v>1</v>
      </c>
      <c r="K171" s="12">
        <v>39.99</v>
      </c>
      <c r="L171" s="12">
        <v>7.78</v>
      </c>
      <c r="M171" s="13">
        <v>5</v>
      </c>
      <c r="N171" s="13">
        <f t="shared" si="16"/>
        <v>3.6710416666683159</v>
      </c>
      <c r="O171" s="13">
        <f t="shared" si="17"/>
        <v>0</v>
      </c>
      <c r="P171" t="str">
        <f t="shared" si="18"/>
        <v>On Time</v>
      </c>
      <c r="Q171" s="13">
        <f t="shared" si="19"/>
        <v>0.13055555551545694</v>
      </c>
      <c r="R171" s="13">
        <f t="shared" si="20"/>
        <v>0.82359953704144573</v>
      </c>
      <c r="S171" s="13">
        <f t="shared" si="21"/>
        <v>2.8420023148137261</v>
      </c>
      <c r="T171" t="str">
        <f t="shared" si="22"/>
        <v>On Time/Early</v>
      </c>
      <c r="U171" t="str">
        <f t="shared" si="23"/>
        <v>Normal</v>
      </c>
      <c r="V171" t="s">
        <v>102</v>
      </c>
    </row>
    <row r="172" spans="1:22">
      <c r="A172" t="s">
        <v>423</v>
      </c>
      <c r="B172" s="10">
        <v>42866.619571759256</v>
      </c>
      <c r="C172" s="10">
        <v>42867.626863425925</v>
      </c>
      <c r="D172" s="10">
        <v>42870.582199074073</v>
      </c>
      <c r="E172" s="10">
        <v>42878.491620370369</v>
      </c>
      <c r="F172" s="10">
        <v>42886</v>
      </c>
      <c r="G172" t="s">
        <v>43</v>
      </c>
      <c r="H172" t="s">
        <v>241</v>
      </c>
      <c r="I172" t="s">
        <v>424</v>
      </c>
      <c r="J172" s="11">
        <v>1</v>
      </c>
      <c r="K172" s="12">
        <v>889.99</v>
      </c>
      <c r="L172" s="12">
        <v>22.8</v>
      </c>
      <c r="M172" s="13"/>
      <c r="N172" s="13">
        <f t="shared" si="16"/>
        <v>11.872048611112405</v>
      </c>
      <c r="O172" s="13">
        <f t="shared" si="17"/>
        <v>0</v>
      </c>
      <c r="P172" t="str">
        <f t="shared" si="18"/>
        <v>On Time</v>
      </c>
      <c r="Q172" s="13">
        <f t="shared" si="19"/>
        <v>24.175000000046566</v>
      </c>
      <c r="R172" s="13">
        <f t="shared" si="20"/>
        <v>2.9553356481483206</v>
      </c>
      <c r="S172" s="13">
        <f t="shared" si="21"/>
        <v>7.9094212962954771</v>
      </c>
      <c r="T172" t="str">
        <f t="shared" si="22"/>
        <v>On Time/Early</v>
      </c>
      <c r="U172" t="str">
        <f t="shared" si="23"/>
        <v>Normal</v>
      </c>
      <c r="V172" t="s">
        <v>102</v>
      </c>
    </row>
    <row r="173" spans="1:22">
      <c r="A173" t="s">
        <v>425</v>
      </c>
      <c r="B173" s="10">
        <v>42866.729618055557</v>
      </c>
      <c r="C173" s="10">
        <v>42867.566203703704</v>
      </c>
      <c r="D173" s="10">
        <v>42870.365289351852</v>
      </c>
      <c r="E173" s="10">
        <v>42878.461701388886</v>
      </c>
      <c r="F173" s="10">
        <v>42886</v>
      </c>
      <c r="G173" t="s">
        <v>16</v>
      </c>
      <c r="H173" t="s">
        <v>138</v>
      </c>
      <c r="I173" t="s">
        <v>58</v>
      </c>
      <c r="J173" s="11">
        <v>2</v>
      </c>
      <c r="K173" s="12">
        <v>1308</v>
      </c>
      <c r="L173" s="12">
        <v>40.67</v>
      </c>
      <c r="M173" s="13">
        <v>5</v>
      </c>
      <c r="N173" s="13">
        <f t="shared" si="16"/>
        <v>11.732083333328774</v>
      </c>
      <c r="O173" s="13">
        <f t="shared" si="17"/>
        <v>0</v>
      </c>
      <c r="P173" t="str">
        <f t="shared" si="18"/>
        <v>On Time</v>
      </c>
      <c r="Q173" s="13">
        <f t="shared" si="19"/>
        <v>20.07805555552477</v>
      </c>
      <c r="R173" s="13">
        <f t="shared" si="20"/>
        <v>2.7990856481483206</v>
      </c>
      <c r="S173" s="13">
        <f t="shared" si="21"/>
        <v>8.0964120370335877</v>
      </c>
      <c r="T173" t="str">
        <f t="shared" si="22"/>
        <v>On Time/Early</v>
      </c>
      <c r="U173" t="str">
        <f t="shared" si="23"/>
        <v>Normal</v>
      </c>
      <c r="V173" t="s">
        <v>102</v>
      </c>
    </row>
    <row r="174" spans="1:22">
      <c r="A174" t="s">
        <v>426</v>
      </c>
      <c r="B174" s="10">
        <v>42866.967627314814</v>
      </c>
      <c r="C174" s="10">
        <v>42866.973877314813</v>
      </c>
      <c r="D174" s="10">
        <v>42867.62195601852</v>
      </c>
      <c r="E174" s="10">
        <v>42879.617268518516</v>
      </c>
      <c r="F174" s="10">
        <v>42886</v>
      </c>
      <c r="G174" t="s">
        <v>20</v>
      </c>
      <c r="H174" t="s">
        <v>427</v>
      </c>
      <c r="I174" t="s">
        <v>118</v>
      </c>
      <c r="J174" s="11">
        <v>1</v>
      </c>
      <c r="K174" s="12">
        <v>18.989999999999998</v>
      </c>
      <c r="L174" s="12">
        <v>15.1</v>
      </c>
      <c r="M174" s="13">
        <v>5</v>
      </c>
      <c r="N174" s="13">
        <f t="shared" si="16"/>
        <v>12.649641203701322</v>
      </c>
      <c r="O174" s="13">
        <f t="shared" si="17"/>
        <v>0</v>
      </c>
      <c r="P174" t="str">
        <f t="shared" si="18"/>
        <v>On Time</v>
      </c>
      <c r="Q174" s="13">
        <f t="shared" si="19"/>
        <v>0.1499999999650754</v>
      </c>
      <c r="R174" s="13">
        <f t="shared" si="20"/>
        <v>0.64807870370714227</v>
      </c>
      <c r="S174" s="13">
        <f t="shared" si="21"/>
        <v>11.995312499995634</v>
      </c>
      <c r="T174" t="str">
        <f t="shared" si="22"/>
        <v>On Time/Early</v>
      </c>
      <c r="U174" t="str">
        <f t="shared" si="23"/>
        <v>Normal</v>
      </c>
      <c r="V174" t="s">
        <v>102</v>
      </c>
    </row>
    <row r="175" spans="1:22">
      <c r="A175" t="s">
        <v>428</v>
      </c>
      <c r="B175" s="10">
        <v>42867.935347222221</v>
      </c>
      <c r="C175" s="10">
        <v>42867.941134259258</v>
      </c>
      <c r="D175" s="10">
        <v>42871.668275462966</v>
      </c>
      <c r="E175" s="10">
        <v>42877.369664351849</v>
      </c>
      <c r="F175" s="10">
        <v>42886</v>
      </c>
      <c r="G175" t="s">
        <v>8</v>
      </c>
      <c r="H175" t="s">
        <v>140</v>
      </c>
      <c r="I175" t="s">
        <v>180</v>
      </c>
      <c r="J175" s="11">
        <v>2</v>
      </c>
      <c r="K175" s="12">
        <v>179.8</v>
      </c>
      <c r="L175" s="12">
        <v>24.26</v>
      </c>
      <c r="M175" s="13">
        <v>2</v>
      </c>
      <c r="N175" s="13">
        <f t="shared" si="16"/>
        <v>9.4343171296277433</v>
      </c>
      <c r="O175" s="13">
        <f t="shared" si="17"/>
        <v>0</v>
      </c>
      <c r="P175" t="str">
        <f t="shared" si="18"/>
        <v>On Time</v>
      </c>
      <c r="Q175" s="13">
        <f t="shared" si="19"/>
        <v>0.13888888887595385</v>
      </c>
      <c r="R175" s="13">
        <f t="shared" si="20"/>
        <v>3.7271412037080154</v>
      </c>
      <c r="S175" s="13">
        <f t="shared" si="21"/>
        <v>5.7013888888832298</v>
      </c>
      <c r="T175" t="str">
        <f t="shared" si="22"/>
        <v>On Time/Early</v>
      </c>
      <c r="U175" t="str">
        <f t="shared" si="23"/>
        <v>Normal</v>
      </c>
      <c r="V175" t="s">
        <v>102</v>
      </c>
    </row>
    <row r="176" spans="1:22">
      <c r="A176" t="s">
        <v>429</v>
      </c>
      <c r="B176" s="10">
        <v>42868.697048611109</v>
      </c>
      <c r="C176" s="10">
        <v>42868.705046296294</v>
      </c>
      <c r="D176" s="10">
        <v>42873.603692129633</v>
      </c>
      <c r="E176" s="10">
        <v>42881.543935185182</v>
      </c>
      <c r="F176" s="10">
        <v>42881</v>
      </c>
      <c r="G176" t="s">
        <v>8</v>
      </c>
      <c r="H176" t="s">
        <v>430</v>
      </c>
      <c r="I176" t="s">
        <v>136</v>
      </c>
      <c r="J176" s="11">
        <v>1</v>
      </c>
      <c r="K176" s="12">
        <v>140</v>
      </c>
      <c r="L176" s="12">
        <v>13.54</v>
      </c>
      <c r="M176" s="13">
        <v>3</v>
      </c>
      <c r="N176" s="13">
        <f t="shared" si="16"/>
        <v>12.846886574072414</v>
      </c>
      <c r="O176" s="13">
        <f t="shared" si="17"/>
        <v>0.54393518518190831</v>
      </c>
      <c r="P176" t="str">
        <f t="shared" si="18"/>
        <v>Delayed</v>
      </c>
      <c r="Q176" s="13">
        <f t="shared" si="19"/>
        <v>0.19194444443564862</v>
      </c>
      <c r="R176" s="13">
        <f t="shared" si="20"/>
        <v>4.898645833338378</v>
      </c>
      <c r="S176" s="13">
        <f t="shared" si="21"/>
        <v>7.9402430555492174</v>
      </c>
      <c r="T176" t="str">
        <f t="shared" si="22"/>
        <v>1-3 Days Late</v>
      </c>
      <c r="U176" t="str">
        <f t="shared" si="23"/>
        <v>Needs Review</v>
      </c>
      <c r="V176" t="s">
        <v>102</v>
      </c>
    </row>
    <row r="177" spans="1:22">
      <c r="A177" t="s">
        <v>431</v>
      </c>
      <c r="B177" s="10">
        <v>42868.737951388888</v>
      </c>
      <c r="C177" s="10">
        <v>42869.274537037039</v>
      </c>
      <c r="D177" s="10">
        <v>42872.39739583333</v>
      </c>
      <c r="E177" s="10">
        <v>42878.020891203705</v>
      </c>
      <c r="F177" s="10">
        <v>42893</v>
      </c>
      <c r="G177" t="s">
        <v>8</v>
      </c>
      <c r="H177" t="s">
        <v>212</v>
      </c>
      <c r="I177" t="s">
        <v>112</v>
      </c>
      <c r="J177" s="11">
        <v>1</v>
      </c>
      <c r="K177" s="12">
        <v>239</v>
      </c>
      <c r="L177" s="12">
        <v>14.01</v>
      </c>
      <c r="M177" s="13">
        <v>1</v>
      </c>
      <c r="N177" s="13">
        <f t="shared" si="16"/>
        <v>9.2829398148169275</v>
      </c>
      <c r="O177" s="13">
        <f t="shared" si="17"/>
        <v>0</v>
      </c>
      <c r="P177" t="str">
        <f t="shared" si="18"/>
        <v>On Time</v>
      </c>
      <c r="Q177" s="13">
        <f t="shared" si="19"/>
        <v>12.878055555629544</v>
      </c>
      <c r="R177" s="13">
        <f t="shared" si="20"/>
        <v>3.1228587962905294</v>
      </c>
      <c r="S177" s="13">
        <f t="shared" si="21"/>
        <v>5.6234953703751671</v>
      </c>
      <c r="T177" t="str">
        <f t="shared" si="22"/>
        <v>On Time/Early</v>
      </c>
      <c r="U177" t="str">
        <f t="shared" si="23"/>
        <v>Normal</v>
      </c>
      <c r="V177" t="s">
        <v>102</v>
      </c>
    </row>
    <row r="178" spans="1:22">
      <c r="A178" t="s">
        <v>432</v>
      </c>
      <c r="B178" s="10">
        <v>42868.760289351849</v>
      </c>
      <c r="C178" s="10">
        <v>42871.142604166664</v>
      </c>
      <c r="D178" s="10">
        <v>42872.493761574071</v>
      </c>
      <c r="E178" s="10">
        <v>42873.429247685184</v>
      </c>
      <c r="F178" s="10">
        <v>42879</v>
      </c>
      <c r="G178" t="s">
        <v>8</v>
      </c>
      <c r="H178" t="s">
        <v>408</v>
      </c>
      <c r="I178" t="s">
        <v>141</v>
      </c>
      <c r="J178" s="11">
        <v>1</v>
      </c>
      <c r="K178" s="12">
        <v>149.9</v>
      </c>
      <c r="L178" s="12">
        <v>8.3000000000000007</v>
      </c>
      <c r="M178" s="13">
        <v>4</v>
      </c>
      <c r="N178" s="13">
        <f t="shared" si="16"/>
        <v>4.6689583333354676</v>
      </c>
      <c r="O178" s="13">
        <f t="shared" si="17"/>
        <v>0</v>
      </c>
      <c r="P178" t="str">
        <f t="shared" si="18"/>
        <v>On Time</v>
      </c>
      <c r="Q178" s="13">
        <f t="shared" si="19"/>
        <v>57.175555555557366</v>
      </c>
      <c r="R178" s="13">
        <f t="shared" si="20"/>
        <v>1.3511574074072996</v>
      </c>
      <c r="S178" s="13">
        <f t="shared" si="21"/>
        <v>0.93548611111327773</v>
      </c>
      <c r="T178" t="str">
        <f t="shared" si="22"/>
        <v>On Time/Early</v>
      </c>
      <c r="U178" t="str">
        <f t="shared" si="23"/>
        <v>Normal</v>
      </c>
      <c r="V178" t="s">
        <v>102</v>
      </c>
    </row>
    <row r="179" spans="1:22">
      <c r="A179" t="s">
        <v>433</v>
      </c>
      <c r="B179" s="10">
        <v>42869.722037037034</v>
      </c>
      <c r="C179" s="10">
        <v>42869.732766203706</v>
      </c>
      <c r="D179" s="10">
        <v>42879.656261574077</v>
      </c>
      <c r="E179" s="10">
        <v>42881.55196759259</v>
      </c>
      <c r="F179" s="10">
        <v>42879</v>
      </c>
      <c r="G179" t="s">
        <v>8</v>
      </c>
      <c r="H179" t="s">
        <v>140</v>
      </c>
      <c r="I179" t="s">
        <v>58</v>
      </c>
      <c r="J179" s="11">
        <v>2</v>
      </c>
      <c r="K179" s="12">
        <v>37.979999999999997</v>
      </c>
      <c r="L179" s="12">
        <v>15.56</v>
      </c>
      <c r="M179" s="13">
        <v>1</v>
      </c>
      <c r="N179" s="13">
        <f t="shared" si="16"/>
        <v>11.82993055555562</v>
      </c>
      <c r="O179" s="13">
        <f t="shared" si="17"/>
        <v>2.55196759258979</v>
      </c>
      <c r="P179" t="str">
        <f t="shared" si="18"/>
        <v>Delayed</v>
      </c>
      <c r="Q179" s="13">
        <f t="shared" si="19"/>
        <v>0.25750000012340024</v>
      </c>
      <c r="R179" s="13">
        <f t="shared" si="20"/>
        <v>9.9234953703708015</v>
      </c>
      <c r="S179" s="13">
        <f t="shared" si="21"/>
        <v>1.8957060185130103</v>
      </c>
      <c r="T179" t="str">
        <f t="shared" si="22"/>
        <v>1-3 Days Late</v>
      </c>
      <c r="U179" t="str">
        <f t="shared" si="23"/>
        <v>Needs Review</v>
      </c>
      <c r="V179" t="s">
        <v>102</v>
      </c>
    </row>
    <row r="180" spans="1:22">
      <c r="A180" t="s">
        <v>434</v>
      </c>
      <c r="B180" s="10">
        <v>42869.7734837963</v>
      </c>
      <c r="C180" s="10">
        <v>42869.781423611108</v>
      </c>
      <c r="D180" s="10">
        <v>42874.47079861111</v>
      </c>
      <c r="E180" s="10">
        <v>42885.526620370372</v>
      </c>
      <c r="F180" s="10">
        <v>42899</v>
      </c>
      <c r="G180" t="s">
        <v>320</v>
      </c>
      <c r="H180" t="s">
        <v>321</v>
      </c>
      <c r="I180" t="s">
        <v>185</v>
      </c>
      <c r="J180" s="11">
        <v>1</v>
      </c>
      <c r="K180" s="12">
        <v>31.99</v>
      </c>
      <c r="L180" s="12">
        <v>34.15</v>
      </c>
      <c r="M180" s="13">
        <v>5</v>
      </c>
      <c r="N180" s="13">
        <f t="shared" si="16"/>
        <v>15.753136574072414</v>
      </c>
      <c r="O180" s="13">
        <f t="shared" si="17"/>
        <v>0</v>
      </c>
      <c r="P180" t="str">
        <f t="shared" si="18"/>
        <v>On Time</v>
      </c>
      <c r="Q180" s="13">
        <f t="shared" si="19"/>
        <v>0.19055555539671332</v>
      </c>
      <c r="R180" s="13">
        <f t="shared" si="20"/>
        <v>4.6893750000017462</v>
      </c>
      <c r="S180" s="13">
        <f t="shared" si="21"/>
        <v>11.055821759262471</v>
      </c>
      <c r="T180" t="str">
        <f t="shared" si="22"/>
        <v>On Time/Early</v>
      </c>
      <c r="U180" t="str">
        <f t="shared" si="23"/>
        <v>Normal</v>
      </c>
      <c r="V180" t="s">
        <v>102</v>
      </c>
    </row>
    <row r="181" spans="1:22">
      <c r="A181" t="s">
        <v>435</v>
      </c>
      <c r="B181" s="10">
        <v>42869.804293981484</v>
      </c>
      <c r="C181" s="10">
        <v>42870.809236111112</v>
      </c>
      <c r="D181" s="10">
        <v>42873.550659722219</v>
      </c>
      <c r="E181" s="10">
        <v>42877.378506944442</v>
      </c>
      <c r="F181" s="10">
        <v>42879</v>
      </c>
      <c r="G181" t="s">
        <v>8</v>
      </c>
      <c r="H181" t="s">
        <v>140</v>
      </c>
      <c r="I181" t="s">
        <v>123</v>
      </c>
      <c r="J181" s="11">
        <v>1</v>
      </c>
      <c r="K181" s="12">
        <v>39.9</v>
      </c>
      <c r="L181" s="12">
        <v>8.7200000000000006</v>
      </c>
      <c r="M181" s="13">
        <v>5</v>
      </c>
      <c r="N181" s="13">
        <f t="shared" si="16"/>
        <v>7.5742129629579722</v>
      </c>
      <c r="O181" s="13">
        <f t="shared" si="17"/>
        <v>0</v>
      </c>
      <c r="P181" t="str">
        <f t="shared" si="18"/>
        <v>On Time</v>
      </c>
      <c r="Q181" s="13">
        <f t="shared" si="19"/>
        <v>24.118611111072823</v>
      </c>
      <c r="R181" s="13">
        <f t="shared" si="20"/>
        <v>2.7414236111071659</v>
      </c>
      <c r="S181" s="13">
        <f t="shared" si="21"/>
        <v>3.827847222222772</v>
      </c>
      <c r="T181" t="str">
        <f t="shared" si="22"/>
        <v>On Time/Early</v>
      </c>
      <c r="U181" t="str">
        <f t="shared" si="23"/>
        <v>Normal</v>
      </c>
      <c r="V181" t="s">
        <v>102</v>
      </c>
    </row>
    <row r="182" spans="1:22">
      <c r="A182" t="s">
        <v>436</v>
      </c>
      <c r="B182" s="10">
        <v>42869.875462962962</v>
      </c>
      <c r="C182" s="10">
        <v>42869.882152777776</v>
      </c>
      <c r="D182" s="10">
        <v>42872.286527777775</v>
      </c>
      <c r="E182" s="10">
        <v>42877.554108796299</v>
      </c>
      <c r="F182" s="10">
        <v>42886</v>
      </c>
      <c r="G182" t="s">
        <v>8</v>
      </c>
      <c r="H182" t="s">
        <v>140</v>
      </c>
      <c r="I182" t="s">
        <v>180</v>
      </c>
      <c r="J182" s="11">
        <v>1</v>
      </c>
      <c r="K182" s="12">
        <v>139.9</v>
      </c>
      <c r="L182" s="12">
        <v>14</v>
      </c>
      <c r="M182" s="13"/>
      <c r="N182" s="13">
        <f t="shared" si="16"/>
        <v>7.6786458333372138</v>
      </c>
      <c r="O182" s="13">
        <f t="shared" si="17"/>
        <v>0</v>
      </c>
      <c r="P182" t="str">
        <f t="shared" si="18"/>
        <v>On Time</v>
      </c>
      <c r="Q182" s="13">
        <f t="shared" si="19"/>
        <v>0.16055555554339662</v>
      </c>
      <c r="R182" s="13">
        <f t="shared" si="20"/>
        <v>2.4043749999982538</v>
      </c>
      <c r="S182" s="13">
        <f t="shared" si="21"/>
        <v>5.2675810185246519</v>
      </c>
      <c r="T182" t="str">
        <f t="shared" si="22"/>
        <v>On Time/Early</v>
      </c>
      <c r="U182" t="str">
        <f t="shared" si="23"/>
        <v>Normal</v>
      </c>
      <c r="V182" t="s">
        <v>102</v>
      </c>
    </row>
    <row r="183" spans="1:22">
      <c r="A183" t="s">
        <v>437</v>
      </c>
      <c r="B183" s="10">
        <v>42869.914039351854</v>
      </c>
      <c r="C183" s="10">
        <v>42869.923796296294</v>
      </c>
      <c r="D183" s="10">
        <v>42872.442800925928</v>
      </c>
      <c r="E183" s="10">
        <v>42879.644490740742</v>
      </c>
      <c r="F183" s="10">
        <v>42888</v>
      </c>
      <c r="G183" t="s">
        <v>8</v>
      </c>
      <c r="H183" t="s">
        <v>438</v>
      </c>
      <c r="I183" t="s">
        <v>221</v>
      </c>
      <c r="J183" s="11">
        <v>1</v>
      </c>
      <c r="K183" s="12">
        <v>52.5</v>
      </c>
      <c r="L183" s="12">
        <v>15.12</v>
      </c>
      <c r="M183" s="13">
        <v>4</v>
      </c>
      <c r="N183" s="13">
        <f t="shared" si="16"/>
        <v>9.7304513888884685</v>
      </c>
      <c r="O183" s="13">
        <f t="shared" si="17"/>
        <v>0</v>
      </c>
      <c r="P183" t="str">
        <f t="shared" si="18"/>
        <v>On Time</v>
      </c>
      <c r="Q183" s="13">
        <f t="shared" si="19"/>
        <v>0.23416666657431051</v>
      </c>
      <c r="R183" s="13">
        <f t="shared" si="20"/>
        <v>2.5190046296338551</v>
      </c>
      <c r="S183" s="13">
        <f t="shared" si="21"/>
        <v>7.2016898148140172</v>
      </c>
      <c r="T183" t="str">
        <f t="shared" si="22"/>
        <v>On Time/Early</v>
      </c>
      <c r="U183" t="str">
        <f t="shared" si="23"/>
        <v>Normal</v>
      </c>
      <c r="V183" t="s">
        <v>102</v>
      </c>
    </row>
    <row r="184" spans="1:22">
      <c r="A184" t="s">
        <v>439</v>
      </c>
      <c r="B184" s="10">
        <v>42870.04142361111</v>
      </c>
      <c r="C184" s="10">
        <v>42870.048703703702</v>
      </c>
      <c r="D184" s="10">
        <v>42872.606562499997</v>
      </c>
      <c r="E184" s="10">
        <v>42873.523310185185</v>
      </c>
      <c r="F184" s="10">
        <v>42879</v>
      </c>
      <c r="G184" t="s">
        <v>8</v>
      </c>
      <c r="H184" t="s">
        <v>140</v>
      </c>
      <c r="I184" t="s">
        <v>118</v>
      </c>
      <c r="J184" s="11">
        <v>2</v>
      </c>
      <c r="K184" s="12">
        <v>59.98</v>
      </c>
      <c r="L184" s="12">
        <v>15.56</v>
      </c>
      <c r="M184" s="13">
        <v>5</v>
      </c>
      <c r="N184" s="13">
        <f t="shared" si="16"/>
        <v>3.4818865740744513</v>
      </c>
      <c r="O184" s="13">
        <f t="shared" si="17"/>
        <v>0</v>
      </c>
      <c r="P184" t="str">
        <f t="shared" si="18"/>
        <v>On Time</v>
      </c>
      <c r="Q184" s="13">
        <f t="shared" si="19"/>
        <v>0.17472222220385447</v>
      </c>
      <c r="R184" s="13">
        <f t="shared" si="20"/>
        <v>2.5578587962954771</v>
      </c>
      <c r="S184" s="13">
        <f t="shared" si="21"/>
        <v>0.916747685187147</v>
      </c>
      <c r="T184" t="str">
        <f t="shared" si="22"/>
        <v>On Time/Early</v>
      </c>
      <c r="U184" t="str">
        <f t="shared" si="23"/>
        <v>Normal</v>
      </c>
      <c r="V184" t="s">
        <v>102</v>
      </c>
    </row>
    <row r="185" spans="1:22">
      <c r="A185" t="s">
        <v>440</v>
      </c>
      <c r="B185" s="10">
        <v>42870.565648148149</v>
      </c>
      <c r="C185" s="10">
        <v>42872.173935185187</v>
      </c>
      <c r="D185" s="10">
        <v>42872.684687499997</v>
      </c>
      <c r="E185" s="10">
        <v>42877.536192129628</v>
      </c>
      <c r="F185" s="10">
        <v>42895</v>
      </c>
      <c r="G185" t="s">
        <v>8</v>
      </c>
      <c r="H185" t="s">
        <v>140</v>
      </c>
      <c r="I185" t="s">
        <v>120</v>
      </c>
      <c r="J185" s="11">
        <v>1</v>
      </c>
      <c r="K185" s="12">
        <v>207.3</v>
      </c>
      <c r="L185" s="12">
        <v>16.2</v>
      </c>
      <c r="M185" s="13">
        <v>5</v>
      </c>
      <c r="N185" s="13">
        <f t="shared" si="16"/>
        <v>6.9705439814788406</v>
      </c>
      <c r="O185" s="13">
        <f t="shared" si="17"/>
        <v>0</v>
      </c>
      <c r="P185" t="str">
        <f t="shared" si="18"/>
        <v>On Time</v>
      </c>
      <c r="Q185" s="13">
        <f t="shared" si="19"/>
        <v>38.598888888896909</v>
      </c>
      <c r="R185" s="13">
        <f t="shared" si="20"/>
        <v>0.51075231481081573</v>
      </c>
      <c r="S185" s="13">
        <f t="shared" si="21"/>
        <v>4.8515046296306537</v>
      </c>
      <c r="T185" t="str">
        <f t="shared" si="22"/>
        <v>On Time/Early</v>
      </c>
      <c r="U185" t="str">
        <f t="shared" si="23"/>
        <v>Normal</v>
      </c>
      <c r="V185" t="s">
        <v>102</v>
      </c>
    </row>
    <row r="186" spans="1:22">
      <c r="A186" t="s">
        <v>441</v>
      </c>
      <c r="B186" s="10">
        <v>42870.686840277776</v>
      </c>
      <c r="C186" s="10">
        <v>42871.14949074074</v>
      </c>
      <c r="D186" s="10">
        <v>42872.392256944448</v>
      </c>
      <c r="E186" s="10">
        <v>42878.536053240743</v>
      </c>
      <c r="F186" s="10">
        <v>42894</v>
      </c>
      <c r="G186" t="s">
        <v>30</v>
      </c>
      <c r="H186" t="s">
        <v>442</v>
      </c>
      <c r="I186" t="s">
        <v>368</v>
      </c>
      <c r="J186" s="11">
        <v>1</v>
      </c>
      <c r="K186" s="12">
        <v>119</v>
      </c>
      <c r="L186" s="12">
        <v>15.58</v>
      </c>
      <c r="M186" s="13">
        <v>5</v>
      </c>
      <c r="N186" s="13">
        <f t="shared" si="16"/>
        <v>7.8492129629667033</v>
      </c>
      <c r="O186" s="13">
        <f t="shared" si="17"/>
        <v>0</v>
      </c>
      <c r="P186" t="str">
        <f t="shared" si="18"/>
        <v>On Time</v>
      </c>
      <c r="Q186" s="13">
        <f t="shared" si="19"/>
        <v>11.103611111117061</v>
      </c>
      <c r="R186" s="13">
        <f t="shared" si="20"/>
        <v>1.2427662037080154</v>
      </c>
      <c r="S186" s="13">
        <f t="shared" si="21"/>
        <v>6.1437962962954771</v>
      </c>
      <c r="T186" t="str">
        <f t="shared" si="22"/>
        <v>On Time/Early</v>
      </c>
      <c r="U186" t="str">
        <f t="shared" si="23"/>
        <v>Normal</v>
      </c>
      <c r="V186" t="s">
        <v>102</v>
      </c>
    </row>
    <row r="187" spans="1:22">
      <c r="A187" t="s">
        <v>443</v>
      </c>
      <c r="B187" s="10">
        <v>42870.717581018522</v>
      </c>
      <c r="C187" s="10">
        <v>42872.168402777781</v>
      </c>
      <c r="D187" s="10">
        <v>42877.659548611111</v>
      </c>
      <c r="E187" s="10">
        <v>42885.644282407404</v>
      </c>
      <c r="F187" s="10">
        <v>42892</v>
      </c>
      <c r="G187" t="s">
        <v>36</v>
      </c>
      <c r="H187" t="s">
        <v>444</v>
      </c>
      <c r="I187" t="s">
        <v>120</v>
      </c>
      <c r="J187" s="11">
        <v>1</v>
      </c>
      <c r="K187" s="12">
        <v>177</v>
      </c>
      <c r="L187" s="12">
        <v>17</v>
      </c>
      <c r="M187" s="13">
        <v>4</v>
      </c>
      <c r="N187" s="13">
        <f t="shared" si="16"/>
        <v>14.926701388882066</v>
      </c>
      <c r="O187" s="13">
        <f t="shared" si="17"/>
        <v>0</v>
      </c>
      <c r="P187" t="str">
        <f t="shared" si="18"/>
        <v>On Time</v>
      </c>
      <c r="Q187" s="13">
        <f t="shared" si="19"/>
        <v>34.819722222222481</v>
      </c>
      <c r="R187" s="13">
        <f t="shared" si="20"/>
        <v>5.4911458333299379</v>
      </c>
      <c r="S187" s="13">
        <f t="shared" si="21"/>
        <v>7.9847337962928577</v>
      </c>
      <c r="T187" t="str">
        <f t="shared" si="22"/>
        <v>On Time/Early</v>
      </c>
      <c r="U187" t="str">
        <f t="shared" si="23"/>
        <v>Normal</v>
      </c>
      <c r="V187" t="s">
        <v>102</v>
      </c>
    </row>
    <row r="188" spans="1:22">
      <c r="A188" t="s">
        <v>445</v>
      </c>
      <c r="B188" s="10">
        <v>42870.759722222225</v>
      </c>
      <c r="C188" s="10">
        <v>42872.170393518521</v>
      </c>
      <c r="D188" s="10">
        <v>42873.446921296294</v>
      </c>
      <c r="E188" s="10">
        <v>42881.332407407404</v>
      </c>
      <c r="F188" s="10">
        <v>42900</v>
      </c>
      <c r="G188" t="s">
        <v>110</v>
      </c>
      <c r="H188" t="s">
        <v>446</v>
      </c>
      <c r="I188" t="s">
        <v>58</v>
      </c>
      <c r="J188" s="11">
        <v>1</v>
      </c>
      <c r="K188" s="12">
        <v>89.99</v>
      </c>
      <c r="L188" s="12">
        <v>15.38</v>
      </c>
      <c r="M188" s="13">
        <v>5</v>
      </c>
      <c r="N188" s="13">
        <f t="shared" si="16"/>
        <v>10.57268518517958</v>
      </c>
      <c r="O188" s="13">
        <f t="shared" si="17"/>
        <v>0</v>
      </c>
      <c r="P188" t="str">
        <f t="shared" si="18"/>
        <v>On Time</v>
      </c>
      <c r="Q188" s="13">
        <f t="shared" si="19"/>
        <v>33.85611111111939</v>
      </c>
      <c r="R188" s="13">
        <f t="shared" si="20"/>
        <v>1.2765277777725714</v>
      </c>
      <c r="S188" s="13">
        <f t="shared" si="21"/>
        <v>7.8854861111103673</v>
      </c>
      <c r="T188" t="str">
        <f t="shared" si="22"/>
        <v>On Time/Early</v>
      </c>
      <c r="U188" t="str">
        <f t="shared" si="23"/>
        <v>Normal</v>
      </c>
      <c r="V188" t="s">
        <v>102</v>
      </c>
    </row>
    <row r="189" spans="1:22">
      <c r="A189" t="s">
        <v>447</v>
      </c>
      <c r="B189" s="10">
        <v>42871.383761574078</v>
      </c>
      <c r="C189" s="10">
        <v>42871.392546296294</v>
      </c>
      <c r="D189" s="10">
        <v>42872.632557870369</v>
      </c>
      <c r="E189" s="10">
        <v>42878.356145833335</v>
      </c>
      <c r="F189" s="10">
        <v>42900</v>
      </c>
      <c r="G189" t="s">
        <v>16</v>
      </c>
      <c r="H189" t="s">
        <v>448</v>
      </c>
      <c r="I189" t="s">
        <v>279</v>
      </c>
      <c r="J189" s="11">
        <v>1</v>
      </c>
      <c r="K189" s="12">
        <v>69.900000000000006</v>
      </c>
      <c r="L189" s="12">
        <v>14.24</v>
      </c>
      <c r="M189" s="13">
        <v>4</v>
      </c>
      <c r="N189" s="13">
        <f t="shared" si="16"/>
        <v>6.9723842592575238</v>
      </c>
      <c r="O189" s="13">
        <f t="shared" si="17"/>
        <v>0</v>
      </c>
      <c r="P189" t="str">
        <f t="shared" si="18"/>
        <v>On Time</v>
      </c>
      <c r="Q189" s="13">
        <f t="shared" si="19"/>
        <v>0.21083333319984376</v>
      </c>
      <c r="R189" s="13">
        <f t="shared" si="20"/>
        <v>1.2400115740747424</v>
      </c>
      <c r="S189" s="13">
        <f t="shared" si="21"/>
        <v>5.7235879629661213</v>
      </c>
      <c r="T189" t="str">
        <f t="shared" si="22"/>
        <v>On Time/Early</v>
      </c>
      <c r="U189" t="str">
        <f t="shared" si="23"/>
        <v>Normal</v>
      </c>
      <c r="V189" t="s">
        <v>102</v>
      </c>
    </row>
    <row r="190" spans="1:22">
      <c r="A190" t="s">
        <v>449</v>
      </c>
      <c r="B190" s="10">
        <v>42871.410081018519</v>
      </c>
      <c r="C190" s="10">
        <v>42872.413402777776</v>
      </c>
      <c r="D190" s="10">
        <v>42873.640752314815</v>
      </c>
      <c r="E190" s="10">
        <v>42880.378854166665</v>
      </c>
      <c r="F190" s="10">
        <v>42899</v>
      </c>
      <c r="G190" t="s">
        <v>16</v>
      </c>
      <c r="H190" t="s">
        <v>450</v>
      </c>
      <c r="I190" t="s">
        <v>34</v>
      </c>
      <c r="J190" s="11">
        <v>1</v>
      </c>
      <c r="K190" s="12">
        <v>50</v>
      </c>
      <c r="L190" s="12">
        <v>16.600000000000001</v>
      </c>
      <c r="M190" s="13">
        <v>5</v>
      </c>
      <c r="N190" s="13">
        <f t="shared" si="16"/>
        <v>8.9687731481462833</v>
      </c>
      <c r="O190" s="13">
        <f t="shared" si="17"/>
        <v>0</v>
      </c>
      <c r="P190" t="str">
        <f t="shared" si="18"/>
        <v>On Time</v>
      </c>
      <c r="Q190" s="13">
        <f t="shared" si="19"/>
        <v>24.079722222173586</v>
      </c>
      <c r="R190" s="13">
        <f t="shared" si="20"/>
        <v>1.2273495370391174</v>
      </c>
      <c r="S190" s="13">
        <f t="shared" si="21"/>
        <v>6.7381018518499332</v>
      </c>
      <c r="T190" t="str">
        <f t="shared" si="22"/>
        <v>On Time/Early</v>
      </c>
      <c r="U190" t="str">
        <f t="shared" si="23"/>
        <v>Normal</v>
      </c>
      <c r="V190" t="s">
        <v>102</v>
      </c>
    </row>
    <row r="191" spans="1:22">
      <c r="A191" t="s">
        <v>451</v>
      </c>
      <c r="B191" s="10">
        <v>42871.451006944444</v>
      </c>
      <c r="C191" s="10">
        <v>42871.461921296293</v>
      </c>
      <c r="D191" s="10">
        <v>42872.625173611108</v>
      </c>
      <c r="E191" s="10">
        <v>42878.529351851852</v>
      </c>
      <c r="F191" s="10">
        <v>42892</v>
      </c>
      <c r="G191" t="s">
        <v>8</v>
      </c>
      <c r="H191" t="s">
        <v>140</v>
      </c>
      <c r="I191" t="s">
        <v>180</v>
      </c>
      <c r="J191" s="11">
        <v>1</v>
      </c>
      <c r="K191" s="12">
        <v>89.9</v>
      </c>
      <c r="L191" s="12">
        <v>12.13</v>
      </c>
      <c r="M191" s="13">
        <v>5</v>
      </c>
      <c r="N191" s="13">
        <f t="shared" si="16"/>
        <v>7.0783449074078817</v>
      </c>
      <c r="O191" s="13">
        <f t="shared" si="17"/>
        <v>0</v>
      </c>
      <c r="P191" t="str">
        <f t="shared" si="18"/>
        <v>On Time</v>
      </c>
      <c r="Q191" s="13">
        <f t="shared" si="19"/>
        <v>0.26194444438442588</v>
      </c>
      <c r="R191" s="13">
        <f t="shared" si="20"/>
        <v>1.1632523148145992</v>
      </c>
      <c r="S191" s="13">
        <f t="shared" si="21"/>
        <v>5.9041782407439314</v>
      </c>
      <c r="T191" t="str">
        <f t="shared" si="22"/>
        <v>On Time/Early</v>
      </c>
      <c r="U191" t="str">
        <f t="shared" si="23"/>
        <v>Normal</v>
      </c>
      <c r="V191" t="s">
        <v>102</v>
      </c>
    </row>
    <row r="192" spans="1:22">
      <c r="A192" t="s">
        <v>452</v>
      </c>
      <c r="B192" s="10">
        <v>42871.525046296294</v>
      </c>
      <c r="C192" s="10">
        <v>42871.54886574074</v>
      </c>
      <c r="D192" s="10">
        <v>42872.4221412037</v>
      </c>
      <c r="E192" s="10">
        <v>42877.571550925924</v>
      </c>
      <c r="F192" s="10">
        <v>42893</v>
      </c>
      <c r="G192" t="s">
        <v>8</v>
      </c>
      <c r="H192" t="s">
        <v>140</v>
      </c>
      <c r="I192" t="s">
        <v>120</v>
      </c>
      <c r="J192" s="11">
        <v>1</v>
      </c>
      <c r="K192" s="12">
        <v>199.9</v>
      </c>
      <c r="L192" s="12">
        <v>18.649999999999999</v>
      </c>
      <c r="M192" s="13">
        <v>5</v>
      </c>
      <c r="N192" s="13">
        <f t="shared" si="16"/>
        <v>6.0465046296303626</v>
      </c>
      <c r="O192" s="13">
        <f t="shared" si="17"/>
        <v>0</v>
      </c>
      <c r="P192" t="str">
        <f t="shared" si="18"/>
        <v>On Time</v>
      </c>
      <c r="Q192" s="13">
        <f t="shared" si="19"/>
        <v>0.5716666667140089</v>
      </c>
      <c r="R192" s="13">
        <f t="shared" si="20"/>
        <v>0.87327546296000946</v>
      </c>
      <c r="S192" s="13">
        <f t="shared" si="21"/>
        <v>5.1494097222239361</v>
      </c>
      <c r="T192" t="str">
        <f t="shared" si="22"/>
        <v>On Time/Early</v>
      </c>
      <c r="U192" t="str">
        <f t="shared" si="23"/>
        <v>Normal</v>
      </c>
      <c r="V192" t="s">
        <v>102</v>
      </c>
    </row>
    <row r="193" spans="1:22">
      <c r="A193" t="s">
        <v>453</v>
      </c>
      <c r="B193" s="10">
        <v>42871.813831018517</v>
      </c>
      <c r="C193" s="10">
        <v>42871.823136574072</v>
      </c>
      <c r="D193" s="10">
        <v>42872.511435185188</v>
      </c>
      <c r="E193" s="10">
        <v>42878.476006944446</v>
      </c>
      <c r="F193" s="10">
        <v>42902</v>
      </c>
      <c r="G193" t="s">
        <v>23</v>
      </c>
      <c r="H193" t="s">
        <v>275</v>
      </c>
      <c r="I193" t="s">
        <v>112</v>
      </c>
      <c r="J193" s="11">
        <v>1</v>
      </c>
      <c r="K193" s="12">
        <v>145.9</v>
      </c>
      <c r="L193" s="12">
        <v>18.59</v>
      </c>
      <c r="M193" s="13">
        <v>5</v>
      </c>
      <c r="N193" s="13">
        <f t="shared" si="16"/>
        <v>6.6621759259287501</v>
      </c>
      <c r="O193" s="13">
        <f t="shared" si="17"/>
        <v>0</v>
      </c>
      <c r="P193" t="str">
        <f t="shared" si="18"/>
        <v>On Time</v>
      </c>
      <c r="Q193" s="13">
        <f t="shared" si="19"/>
        <v>0.22333333332790062</v>
      </c>
      <c r="R193" s="13">
        <f t="shared" si="20"/>
        <v>0.68829861111589707</v>
      </c>
      <c r="S193" s="13">
        <f t="shared" si="21"/>
        <v>5.9645717592575238</v>
      </c>
      <c r="T193" t="str">
        <f t="shared" si="22"/>
        <v>On Time/Early</v>
      </c>
      <c r="U193" t="str">
        <f t="shared" si="23"/>
        <v>Normal</v>
      </c>
      <c r="V193" t="s">
        <v>102</v>
      </c>
    </row>
    <row r="194" spans="1:22">
      <c r="A194" t="s">
        <v>454</v>
      </c>
      <c r="B194" s="10">
        <v>42872.735312500001</v>
      </c>
      <c r="C194" s="10">
        <v>42872.743298611109</v>
      </c>
      <c r="D194" s="10">
        <v>42873.361192129632</v>
      </c>
      <c r="E194" s="10">
        <v>42874.437361111108</v>
      </c>
      <c r="F194" s="10">
        <v>42894</v>
      </c>
      <c r="G194" t="s">
        <v>8</v>
      </c>
      <c r="H194" t="s">
        <v>455</v>
      </c>
      <c r="I194" t="s">
        <v>120</v>
      </c>
      <c r="J194" s="11">
        <v>1</v>
      </c>
      <c r="K194" s="12">
        <v>39.9</v>
      </c>
      <c r="L194" s="12">
        <v>14.1</v>
      </c>
      <c r="M194" s="13">
        <v>5</v>
      </c>
      <c r="N194" s="13">
        <f t="shared" ref="N194:N257" si="24">IFERROR(E194-B194,"")</f>
        <v>1.7020486111068749</v>
      </c>
      <c r="O194" s="13">
        <f t="shared" ref="O194:O257" si="25">IFERROR(MAX(0,E194-F194),"")</f>
        <v>0</v>
      </c>
      <c r="P194" t="str">
        <f t="shared" ref="P194:P257" si="26">IF(O194&gt;0,"Delayed","On Time")</f>
        <v>On Time</v>
      </c>
      <c r="Q194" s="13">
        <f t="shared" ref="Q194:Q257" si="27">IFERROR((C194-B194)*24,"")</f>
        <v>0.19166666659293696</v>
      </c>
      <c r="R194" s="13">
        <f t="shared" ref="R194:R257" si="28">IFERROR(D194-C194,"")</f>
        <v>0.61789351852348773</v>
      </c>
      <c r="S194" s="13">
        <f t="shared" ref="S194:S257" si="29">IFERROR(E194-D194,"")</f>
        <v>1.0761689814753481</v>
      </c>
      <c r="T194" t="str">
        <f t="shared" ref="T194:T257" si="30">IF(O194=0,"On Time/Early",IF(O194&lt;=3,"1-3 Days Late",IF(O194&lt;=7,"4-7 Days Late","8+ Days Late")))</f>
        <v>On Time/Early</v>
      </c>
      <c r="U194" t="str">
        <f t="shared" ref="U194:U257" si="31">IF(P194="Delayed","Needs Review","Normal")</f>
        <v>Normal</v>
      </c>
      <c r="V194" t="s">
        <v>102</v>
      </c>
    </row>
    <row r="195" spans="1:22">
      <c r="A195" t="s">
        <v>456</v>
      </c>
      <c r="B195" s="10">
        <v>42874.594398148147</v>
      </c>
      <c r="C195" s="10">
        <v>42874.600960648146</v>
      </c>
      <c r="D195" s="10">
        <v>42878.454143518517</v>
      </c>
      <c r="E195" s="10">
        <v>42881.716828703706</v>
      </c>
      <c r="F195" s="10">
        <v>42894</v>
      </c>
      <c r="G195" t="s">
        <v>8</v>
      </c>
      <c r="H195" t="s">
        <v>225</v>
      </c>
      <c r="I195" t="s">
        <v>58</v>
      </c>
      <c r="J195" s="11">
        <v>1</v>
      </c>
      <c r="K195" s="12">
        <v>63.9</v>
      </c>
      <c r="L195" s="12">
        <v>12.79</v>
      </c>
      <c r="M195" s="13">
        <v>5</v>
      </c>
      <c r="N195" s="13">
        <f t="shared" si="24"/>
        <v>7.1224305555588217</v>
      </c>
      <c r="O195" s="13">
        <f t="shared" si="25"/>
        <v>0</v>
      </c>
      <c r="P195" t="str">
        <f t="shared" si="26"/>
        <v>On Time</v>
      </c>
      <c r="Q195" s="13">
        <f t="shared" si="27"/>
        <v>0.15749999997206032</v>
      </c>
      <c r="R195" s="13">
        <f t="shared" si="28"/>
        <v>3.8531828703708015</v>
      </c>
      <c r="S195" s="13">
        <f t="shared" si="29"/>
        <v>3.2626851851891843</v>
      </c>
      <c r="T195" t="str">
        <f t="shared" si="30"/>
        <v>On Time/Early</v>
      </c>
      <c r="U195" t="str">
        <f t="shared" si="31"/>
        <v>Normal</v>
      </c>
      <c r="V195" t="s">
        <v>102</v>
      </c>
    </row>
    <row r="196" spans="1:22">
      <c r="A196" t="s">
        <v>457</v>
      </c>
      <c r="B196" s="10">
        <v>42874.653634259259</v>
      </c>
      <c r="C196" s="10">
        <v>42875.659803240742</v>
      </c>
      <c r="D196" s="10">
        <v>42878.553229166668</v>
      </c>
      <c r="E196" s="10">
        <v>42884.592800925922</v>
      </c>
      <c r="F196" s="10">
        <v>42898</v>
      </c>
      <c r="G196" t="s">
        <v>20</v>
      </c>
      <c r="H196" t="s">
        <v>104</v>
      </c>
      <c r="I196" t="s">
        <v>101</v>
      </c>
      <c r="J196" s="11">
        <v>2</v>
      </c>
      <c r="K196" s="12">
        <v>27.8</v>
      </c>
      <c r="L196" s="12">
        <v>28.2</v>
      </c>
      <c r="M196" s="13">
        <v>3</v>
      </c>
      <c r="N196" s="13">
        <f t="shared" si="24"/>
        <v>9.9391666666633682</v>
      </c>
      <c r="O196" s="13">
        <f t="shared" si="25"/>
        <v>0</v>
      </c>
      <c r="P196" t="str">
        <f t="shared" si="26"/>
        <v>On Time</v>
      </c>
      <c r="Q196" s="13">
        <f t="shared" si="27"/>
        <v>24.148055555589963</v>
      </c>
      <c r="R196" s="13">
        <f t="shared" si="28"/>
        <v>2.8934259259258397</v>
      </c>
      <c r="S196" s="13">
        <f t="shared" si="29"/>
        <v>6.0395717592546134</v>
      </c>
      <c r="T196" t="str">
        <f t="shared" si="30"/>
        <v>On Time/Early</v>
      </c>
      <c r="U196" t="str">
        <f t="shared" si="31"/>
        <v>Normal</v>
      </c>
      <c r="V196" t="s">
        <v>102</v>
      </c>
    </row>
    <row r="197" spans="1:22">
      <c r="A197" t="s">
        <v>458</v>
      </c>
      <c r="B197" s="10">
        <v>42875.018182870372</v>
      </c>
      <c r="C197" s="10">
        <v>42875.059259259258</v>
      </c>
      <c r="D197" s="10">
        <v>42877.744826388887</v>
      </c>
      <c r="E197" s="10">
        <v>42886.548483796294</v>
      </c>
      <c r="F197" s="10">
        <v>42908</v>
      </c>
      <c r="G197" t="s">
        <v>57</v>
      </c>
      <c r="H197" t="s">
        <v>459</v>
      </c>
      <c r="I197" t="s">
        <v>123</v>
      </c>
      <c r="J197" s="11">
        <v>1</v>
      </c>
      <c r="K197" s="12">
        <v>289.5</v>
      </c>
      <c r="L197" s="12">
        <v>35.83</v>
      </c>
      <c r="M197" s="13">
        <v>5</v>
      </c>
      <c r="N197" s="13">
        <f t="shared" si="24"/>
        <v>11.530300925922347</v>
      </c>
      <c r="O197" s="13">
        <f t="shared" si="25"/>
        <v>0</v>
      </c>
      <c r="P197" t="str">
        <f t="shared" si="26"/>
        <v>On Time</v>
      </c>
      <c r="Q197" s="13">
        <f t="shared" si="27"/>
        <v>0.98583333328133449</v>
      </c>
      <c r="R197" s="13">
        <f t="shared" si="28"/>
        <v>2.6855671296289074</v>
      </c>
      <c r="S197" s="13">
        <f t="shared" si="29"/>
        <v>8.8036574074067175</v>
      </c>
      <c r="T197" t="str">
        <f t="shared" si="30"/>
        <v>On Time/Early</v>
      </c>
      <c r="U197" t="str">
        <f t="shared" si="31"/>
        <v>Normal</v>
      </c>
      <c r="V197" t="s">
        <v>102</v>
      </c>
    </row>
    <row r="198" spans="1:22">
      <c r="A198" t="s">
        <v>460</v>
      </c>
      <c r="B198" s="10">
        <v>42875.612557870372</v>
      </c>
      <c r="C198" s="10">
        <v>42875.621620370373</v>
      </c>
      <c r="D198" s="10">
        <v>42877.428437499999</v>
      </c>
      <c r="E198" s="10">
        <v>42878.529513888891</v>
      </c>
      <c r="F198" s="10">
        <v>42888</v>
      </c>
      <c r="G198" t="s">
        <v>8</v>
      </c>
      <c r="H198" t="s">
        <v>140</v>
      </c>
      <c r="I198" t="s">
        <v>34</v>
      </c>
      <c r="J198" s="11">
        <v>1</v>
      </c>
      <c r="K198" s="12">
        <v>79.900000000000006</v>
      </c>
      <c r="L198" s="12">
        <v>7.81</v>
      </c>
      <c r="M198" s="13">
        <v>5</v>
      </c>
      <c r="N198" s="13">
        <f t="shared" si="24"/>
        <v>2.916956018518249</v>
      </c>
      <c r="O198" s="13">
        <f t="shared" si="25"/>
        <v>0</v>
      </c>
      <c r="P198" t="str">
        <f t="shared" si="26"/>
        <v>On Time</v>
      </c>
      <c r="Q198" s="13">
        <f t="shared" si="27"/>
        <v>0.21750000002793968</v>
      </c>
      <c r="R198" s="13">
        <f t="shared" si="28"/>
        <v>1.806817129625415</v>
      </c>
      <c r="S198" s="13">
        <f t="shared" si="29"/>
        <v>1.1010763888916699</v>
      </c>
      <c r="T198" t="str">
        <f t="shared" si="30"/>
        <v>On Time/Early</v>
      </c>
      <c r="U198" t="str">
        <f t="shared" si="31"/>
        <v>Normal</v>
      </c>
      <c r="V198" t="s">
        <v>102</v>
      </c>
    </row>
    <row r="199" spans="1:22">
      <c r="A199" t="s">
        <v>461</v>
      </c>
      <c r="B199" s="10">
        <v>42876.333101851851</v>
      </c>
      <c r="C199" s="10">
        <v>42876.39707175926</v>
      </c>
      <c r="D199" s="10">
        <v>42881.415601851855</v>
      </c>
      <c r="E199" s="10">
        <v>42889.318668981483</v>
      </c>
      <c r="F199" s="10">
        <v>42905</v>
      </c>
      <c r="G199" t="s">
        <v>36</v>
      </c>
      <c r="H199" t="s">
        <v>462</v>
      </c>
      <c r="I199" t="s">
        <v>58</v>
      </c>
      <c r="J199" s="11">
        <v>1</v>
      </c>
      <c r="K199" s="12">
        <v>64.989999999999995</v>
      </c>
      <c r="L199" s="12">
        <v>15.2</v>
      </c>
      <c r="M199" s="13">
        <v>5</v>
      </c>
      <c r="N199" s="13">
        <f t="shared" si="24"/>
        <v>12.985567129631818</v>
      </c>
      <c r="O199" s="13">
        <f t="shared" si="25"/>
        <v>0</v>
      </c>
      <c r="P199" t="str">
        <f t="shared" si="26"/>
        <v>On Time</v>
      </c>
      <c r="Q199" s="13">
        <f t="shared" si="27"/>
        <v>1.5352777778171003</v>
      </c>
      <c r="R199" s="13">
        <f t="shared" si="28"/>
        <v>5.0185300925950287</v>
      </c>
      <c r="S199" s="13">
        <f t="shared" si="29"/>
        <v>7.9030671296277433</v>
      </c>
      <c r="T199" t="str">
        <f t="shared" si="30"/>
        <v>On Time/Early</v>
      </c>
      <c r="U199" t="str">
        <f t="shared" si="31"/>
        <v>Normal</v>
      </c>
      <c r="V199" t="s">
        <v>102</v>
      </c>
    </row>
    <row r="200" spans="1:22">
      <c r="A200" t="s">
        <v>463</v>
      </c>
      <c r="B200" s="10">
        <v>42876.705185185187</v>
      </c>
      <c r="C200" s="10">
        <v>42877.710648148146</v>
      </c>
      <c r="D200" s="10">
        <v>42878.505613425928</v>
      </c>
      <c r="E200" s="10">
        <v>42887.587465277778</v>
      </c>
      <c r="F200" s="10">
        <v>42912</v>
      </c>
      <c r="G200" t="s">
        <v>464</v>
      </c>
      <c r="H200" t="s">
        <v>465</v>
      </c>
      <c r="I200" t="s">
        <v>154</v>
      </c>
      <c r="J200" s="11">
        <v>1</v>
      </c>
      <c r="K200" s="12">
        <v>119</v>
      </c>
      <c r="L200" s="12">
        <v>36.15</v>
      </c>
      <c r="M200" s="13">
        <v>5</v>
      </c>
      <c r="N200" s="13">
        <f t="shared" si="24"/>
        <v>10.882280092591827</v>
      </c>
      <c r="O200" s="13">
        <f t="shared" si="25"/>
        <v>0</v>
      </c>
      <c r="P200" t="str">
        <f t="shared" si="26"/>
        <v>On Time</v>
      </c>
      <c r="Q200" s="13">
        <f t="shared" si="27"/>
        <v>24.131111111026257</v>
      </c>
      <c r="R200" s="13">
        <f t="shared" si="28"/>
        <v>0.79496527778246673</v>
      </c>
      <c r="S200" s="13">
        <f t="shared" si="29"/>
        <v>9.0818518518499332</v>
      </c>
      <c r="T200" t="str">
        <f t="shared" si="30"/>
        <v>On Time/Early</v>
      </c>
      <c r="U200" t="str">
        <f t="shared" si="31"/>
        <v>Normal</v>
      </c>
      <c r="V200" t="s">
        <v>102</v>
      </c>
    </row>
    <row r="201" spans="1:22">
      <c r="A201" t="s">
        <v>466</v>
      </c>
      <c r="B201" s="10">
        <v>42877.507523148146</v>
      </c>
      <c r="C201" s="10">
        <v>42877.545706018522</v>
      </c>
      <c r="D201" s="10">
        <v>42877.871412037035</v>
      </c>
      <c r="E201" s="10">
        <v>42884.509340277778</v>
      </c>
      <c r="F201" s="10">
        <v>42902</v>
      </c>
      <c r="G201" t="s">
        <v>36</v>
      </c>
      <c r="H201" t="s">
        <v>467</v>
      </c>
      <c r="I201" t="s">
        <v>112</v>
      </c>
      <c r="J201" s="11">
        <v>1</v>
      </c>
      <c r="K201" s="12">
        <v>229.99</v>
      </c>
      <c r="L201" s="12">
        <v>17.86</v>
      </c>
      <c r="M201" s="13">
        <v>5</v>
      </c>
      <c r="N201" s="13">
        <f t="shared" si="24"/>
        <v>7.0018171296323999</v>
      </c>
      <c r="O201" s="13">
        <f t="shared" si="25"/>
        <v>0</v>
      </c>
      <c r="P201" t="str">
        <f t="shared" si="26"/>
        <v>On Time</v>
      </c>
      <c r="Q201" s="13">
        <f t="shared" si="27"/>
        <v>0.91638888901798055</v>
      </c>
      <c r="R201" s="13">
        <f t="shared" si="28"/>
        <v>0.32570601851330139</v>
      </c>
      <c r="S201" s="13">
        <f t="shared" si="29"/>
        <v>6.6379282407433493</v>
      </c>
      <c r="T201" t="str">
        <f t="shared" si="30"/>
        <v>On Time/Early</v>
      </c>
      <c r="U201" t="str">
        <f t="shared" si="31"/>
        <v>Normal</v>
      </c>
      <c r="V201" t="s">
        <v>102</v>
      </c>
    </row>
    <row r="202" spans="1:22">
      <c r="A202" t="s">
        <v>468</v>
      </c>
      <c r="B202" s="10">
        <v>42877.804988425924</v>
      </c>
      <c r="C202" s="10">
        <v>42877.813240740739</v>
      </c>
      <c r="D202" s="10">
        <v>42880.446608796294</v>
      </c>
      <c r="E202" s="10">
        <v>42885.642071759263</v>
      </c>
      <c r="F202" s="10">
        <v>42916</v>
      </c>
      <c r="G202" t="s">
        <v>320</v>
      </c>
      <c r="H202" t="s">
        <v>321</v>
      </c>
      <c r="I202" t="s">
        <v>136</v>
      </c>
      <c r="J202" s="11">
        <v>1</v>
      </c>
      <c r="K202" s="12">
        <v>49.9</v>
      </c>
      <c r="L202" s="12">
        <v>14.1</v>
      </c>
      <c r="M202" s="13">
        <v>5</v>
      </c>
      <c r="N202" s="13">
        <f t="shared" si="24"/>
        <v>7.8370833333392511</v>
      </c>
      <c r="O202" s="13">
        <f t="shared" si="25"/>
        <v>0</v>
      </c>
      <c r="P202" t="str">
        <f t="shared" si="26"/>
        <v>On Time</v>
      </c>
      <c r="Q202" s="13">
        <f t="shared" si="27"/>
        <v>0.19805555557832122</v>
      </c>
      <c r="R202" s="13">
        <f t="shared" si="28"/>
        <v>2.6333680555544561</v>
      </c>
      <c r="S202" s="13">
        <f t="shared" si="29"/>
        <v>5.1954629629690317</v>
      </c>
      <c r="T202" t="str">
        <f t="shared" si="30"/>
        <v>On Time/Early</v>
      </c>
      <c r="U202" t="str">
        <f t="shared" si="31"/>
        <v>Normal</v>
      </c>
      <c r="V202" t="s">
        <v>102</v>
      </c>
    </row>
    <row r="203" spans="1:22">
      <c r="A203" t="s">
        <v>469</v>
      </c>
      <c r="B203" s="10">
        <v>42877.92386574074</v>
      </c>
      <c r="C203" s="10">
        <v>42879.118379629632</v>
      </c>
      <c r="D203" s="10">
        <v>42884.585428240738</v>
      </c>
      <c r="E203" s="10">
        <v>42891.75408564815</v>
      </c>
      <c r="F203" s="10">
        <v>42905</v>
      </c>
      <c r="G203" t="s">
        <v>20</v>
      </c>
      <c r="H203" t="s">
        <v>470</v>
      </c>
      <c r="I203" t="s">
        <v>136</v>
      </c>
      <c r="J203" s="11">
        <v>1</v>
      </c>
      <c r="K203" s="12">
        <v>1799</v>
      </c>
      <c r="L203" s="12">
        <v>27.34</v>
      </c>
      <c r="M203" s="13">
        <v>4</v>
      </c>
      <c r="N203" s="13">
        <f t="shared" si="24"/>
        <v>13.830219907409628</v>
      </c>
      <c r="O203" s="13">
        <f t="shared" si="25"/>
        <v>0</v>
      </c>
      <c r="P203" t="str">
        <f t="shared" si="26"/>
        <v>On Time</v>
      </c>
      <c r="Q203" s="13">
        <f t="shared" si="27"/>
        <v>28.668333333393093</v>
      </c>
      <c r="R203" s="13">
        <f t="shared" si="28"/>
        <v>5.4670486111062928</v>
      </c>
      <c r="S203" s="13">
        <f t="shared" si="29"/>
        <v>7.1686574074119562</v>
      </c>
      <c r="T203" t="str">
        <f t="shared" si="30"/>
        <v>On Time/Early</v>
      </c>
      <c r="U203" t="str">
        <f t="shared" si="31"/>
        <v>Normal</v>
      </c>
      <c r="V203" t="s">
        <v>102</v>
      </c>
    </row>
    <row r="204" spans="1:22">
      <c r="A204" t="s">
        <v>471</v>
      </c>
      <c r="B204" s="10">
        <v>42878.515300925923</v>
      </c>
      <c r="C204" s="10">
        <v>42878.545682870368</v>
      </c>
      <c r="D204" s="10">
        <v>42879.401967592596</v>
      </c>
      <c r="E204" s="10">
        <v>42884.463819444441</v>
      </c>
      <c r="F204" s="10">
        <v>42898</v>
      </c>
      <c r="G204" t="s">
        <v>8</v>
      </c>
      <c r="H204" t="s">
        <v>472</v>
      </c>
      <c r="I204" t="s">
        <v>246</v>
      </c>
      <c r="J204" s="11">
        <v>1</v>
      </c>
      <c r="K204" s="12">
        <v>259.89999999999998</v>
      </c>
      <c r="L204" s="12">
        <v>48.53</v>
      </c>
      <c r="M204" s="13">
        <v>1</v>
      </c>
      <c r="N204" s="13">
        <f t="shared" si="24"/>
        <v>5.9485185185185401</v>
      </c>
      <c r="O204" s="13">
        <f t="shared" si="25"/>
        <v>0</v>
      </c>
      <c r="P204" t="str">
        <f t="shared" si="26"/>
        <v>On Time</v>
      </c>
      <c r="Q204" s="13">
        <f t="shared" si="27"/>
        <v>0.72916666668606922</v>
      </c>
      <c r="R204" s="13">
        <f t="shared" si="28"/>
        <v>0.85628472222742857</v>
      </c>
      <c r="S204" s="13">
        <f t="shared" si="29"/>
        <v>5.0618518518458586</v>
      </c>
      <c r="T204" t="str">
        <f t="shared" si="30"/>
        <v>On Time/Early</v>
      </c>
      <c r="U204" t="str">
        <f t="shared" si="31"/>
        <v>Normal</v>
      </c>
      <c r="V204" t="s">
        <v>102</v>
      </c>
    </row>
    <row r="205" spans="1:22">
      <c r="A205" t="s">
        <v>473</v>
      </c>
      <c r="B205" s="10">
        <v>42878.576909722222</v>
      </c>
      <c r="C205" s="10">
        <v>42879.098935185182</v>
      </c>
      <c r="D205" s="10">
        <v>42879.667314814818</v>
      </c>
      <c r="E205" s="10">
        <v>42887.670798611114</v>
      </c>
      <c r="F205" s="10">
        <v>42913</v>
      </c>
      <c r="G205" t="s">
        <v>474</v>
      </c>
      <c r="H205" t="s">
        <v>475</v>
      </c>
      <c r="I205" t="s">
        <v>112</v>
      </c>
      <c r="J205" s="11">
        <v>1</v>
      </c>
      <c r="K205" s="12">
        <v>229.99</v>
      </c>
      <c r="L205" s="12">
        <v>26.16</v>
      </c>
      <c r="M205" s="13">
        <v>4</v>
      </c>
      <c r="N205" s="13">
        <f t="shared" si="24"/>
        <v>9.093888888892252</v>
      </c>
      <c r="O205" s="13">
        <f t="shared" si="25"/>
        <v>0</v>
      </c>
      <c r="P205" t="str">
        <f t="shared" si="26"/>
        <v>On Time</v>
      </c>
      <c r="Q205" s="13">
        <f t="shared" si="27"/>
        <v>12.528611111047212</v>
      </c>
      <c r="R205" s="13">
        <f t="shared" si="28"/>
        <v>0.56837962963618338</v>
      </c>
      <c r="S205" s="13">
        <f t="shared" si="29"/>
        <v>8.0034837962957681</v>
      </c>
      <c r="T205" t="str">
        <f t="shared" si="30"/>
        <v>On Time/Early</v>
      </c>
      <c r="U205" t="str">
        <f t="shared" si="31"/>
        <v>Normal</v>
      </c>
      <c r="V205" t="s">
        <v>102</v>
      </c>
    </row>
    <row r="206" spans="1:22">
      <c r="A206" t="s">
        <v>476</v>
      </c>
      <c r="B206" s="10">
        <v>42878.631018518521</v>
      </c>
      <c r="C206" s="10">
        <v>42878.641192129631</v>
      </c>
      <c r="D206" s="10">
        <v>42879.548310185186</v>
      </c>
      <c r="E206" s="10">
        <v>42887.477824074071</v>
      </c>
      <c r="F206" s="10">
        <v>42912</v>
      </c>
      <c r="G206" t="s">
        <v>30</v>
      </c>
      <c r="H206" t="s">
        <v>477</v>
      </c>
      <c r="I206" t="s">
        <v>141</v>
      </c>
      <c r="J206" s="11">
        <v>3</v>
      </c>
      <c r="K206" s="12">
        <v>143.97</v>
      </c>
      <c r="L206" s="12">
        <v>45.33</v>
      </c>
      <c r="M206" s="13">
        <v>1</v>
      </c>
      <c r="N206" s="13">
        <f t="shared" si="24"/>
        <v>8.8468055555495084</v>
      </c>
      <c r="O206" s="13">
        <f t="shared" si="25"/>
        <v>0</v>
      </c>
      <c r="P206" t="str">
        <f t="shared" si="26"/>
        <v>On Time</v>
      </c>
      <c r="Q206" s="13">
        <f t="shared" si="27"/>
        <v>0.2441666666418314</v>
      </c>
      <c r="R206" s="13">
        <f t="shared" si="28"/>
        <v>0.90711805555474712</v>
      </c>
      <c r="S206" s="13">
        <f t="shared" si="29"/>
        <v>7.929513888884685</v>
      </c>
      <c r="T206" t="str">
        <f t="shared" si="30"/>
        <v>On Time/Early</v>
      </c>
      <c r="U206" t="str">
        <f t="shared" si="31"/>
        <v>Normal</v>
      </c>
      <c r="V206" t="s">
        <v>102</v>
      </c>
    </row>
    <row r="207" spans="1:22">
      <c r="A207" t="s">
        <v>478</v>
      </c>
      <c r="B207" s="10">
        <v>42878.638414351852</v>
      </c>
      <c r="C207" s="10">
        <v>42878.64949074074</v>
      </c>
      <c r="D207" s="10">
        <v>42879.394652777781</v>
      </c>
      <c r="E207" s="10">
        <v>42886.370567129627</v>
      </c>
      <c r="F207" s="10">
        <v>42898</v>
      </c>
      <c r="G207" t="s">
        <v>8</v>
      </c>
      <c r="H207" t="s">
        <v>140</v>
      </c>
      <c r="I207" t="s">
        <v>136</v>
      </c>
      <c r="J207" s="11">
        <v>1</v>
      </c>
      <c r="K207" s="12">
        <v>69.900000000000006</v>
      </c>
      <c r="L207" s="12">
        <v>11.99</v>
      </c>
      <c r="M207" s="13"/>
      <c r="N207" s="13">
        <f t="shared" si="24"/>
        <v>7.7321527777748997</v>
      </c>
      <c r="O207" s="13">
        <f t="shared" si="25"/>
        <v>0</v>
      </c>
      <c r="P207" t="str">
        <f t="shared" si="26"/>
        <v>On Time</v>
      </c>
      <c r="Q207" s="13">
        <f t="shared" si="27"/>
        <v>0.26583333330927417</v>
      </c>
      <c r="R207" s="13">
        <f t="shared" si="28"/>
        <v>0.74516203704115469</v>
      </c>
      <c r="S207" s="13">
        <f t="shared" si="29"/>
        <v>6.9759143518458586</v>
      </c>
      <c r="T207" t="str">
        <f t="shared" si="30"/>
        <v>On Time/Early</v>
      </c>
      <c r="U207" t="str">
        <f t="shared" si="31"/>
        <v>Normal</v>
      </c>
      <c r="V207" t="s">
        <v>102</v>
      </c>
    </row>
    <row r="208" spans="1:22">
      <c r="A208" t="s">
        <v>479</v>
      </c>
      <c r="B208" s="10">
        <v>42879.399085648147</v>
      </c>
      <c r="C208" s="10">
        <v>42879.4065162037</v>
      </c>
      <c r="D208" s="10">
        <v>42886.453194444446</v>
      </c>
      <c r="E208" s="10">
        <v>42893.365648148145</v>
      </c>
      <c r="F208" s="10">
        <v>42892</v>
      </c>
      <c r="G208" t="s">
        <v>8</v>
      </c>
      <c r="H208" t="s">
        <v>140</v>
      </c>
      <c r="I208" t="s">
        <v>123</v>
      </c>
      <c r="J208" s="11">
        <v>1</v>
      </c>
      <c r="K208" s="12">
        <v>129.99</v>
      </c>
      <c r="L208" s="12">
        <v>12.11</v>
      </c>
      <c r="M208" s="13">
        <v>3</v>
      </c>
      <c r="N208" s="13">
        <f t="shared" si="24"/>
        <v>13.966562499997963</v>
      </c>
      <c r="O208" s="13">
        <f t="shared" si="25"/>
        <v>1.3656481481448282</v>
      </c>
      <c r="P208" t="str">
        <f t="shared" si="26"/>
        <v>Delayed</v>
      </c>
      <c r="Q208" s="13">
        <f t="shared" si="27"/>
        <v>0.1783333332859911</v>
      </c>
      <c r="R208" s="13">
        <f t="shared" si="28"/>
        <v>7.0466782407456776</v>
      </c>
      <c r="S208" s="13">
        <f t="shared" si="29"/>
        <v>6.9124537036987022</v>
      </c>
      <c r="T208" t="str">
        <f t="shared" si="30"/>
        <v>1-3 Days Late</v>
      </c>
      <c r="U208" t="str">
        <f t="shared" si="31"/>
        <v>Needs Review</v>
      </c>
      <c r="V208" t="s">
        <v>102</v>
      </c>
    </row>
    <row r="209" spans="1:22">
      <c r="A209" t="s">
        <v>480</v>
      </c>
      <c r="B209" s="10">
        <v>42879.425300925926</v>
      </c>
      <c r="C209" s="10">
        <v>42880.600844907407</v>
      </c>
      <c r="D209" s="10">
        <v>42884.408229166664</v>
      </c>
      <c r="E209" s="10">
        <v>42916.689421296294</v>
      </c>
      <c r="F209" s="10">
        <v>42908</v>
      </c>
      <c r="G209" t="s">
        <v>23</v>
      </c>
      <c r="H209" t="s">
        <v>275</v>
      </c>
      <c r="I209" t="s">
        <v>101</v>
      </c>
      <c r="J209" s="11">
        <v>1</v>
      </c>
      <c r="K209" s="12">
        <v>38.5</v>
      </c>
      <c r="L209" s="12">
        <v>17.920000000000002</v>
      </c>
      <c r="M209" s="13">
        <v>5</v>
      </c>
      <c r="N209" s="13">
        <f t="shared" si="24"/>
        <v>37.264120370367891</v>
      </c>
      <c r="O209" s="13">
        <f t="shared" si="25"/>
        <v>8.6894212962943129</v>
      </c>
      <c r="P209" t="str">
        <f t="shared" si="26"/>
        <v>Delayed</v>
      </c>
      <c r="Q209" s="13">
        <f t="shared" si="27"/>
        <v>28.213055555534083</v>
      </c>
      <c r="R209" s="13">
        <f t="shared" si="28"/>
        <v>3.8073842592566507</v>
      </c>
      <c r="S209" s="13">
        <f t="shared" si="29"/>
        <v>32.281192129630654</v>
      </c>
      <c r="T209" t="str">
        <f t="shared" si="30"/>
        <v>8+ Days Late</v>
      </c>
      <c r="U209" t="str">
        <f t="shared" si="31"/>
        <v>Needs Review</v>
      </c>
      <c r="V209" t="s">
        <v>102</v>
      </c>
    </row>
    <row r="210" spans="1:22">
      <c r="A210" t="s">
        <v>481</v>
      </c>
      <c r="B210" s="10">
        <v>42879.488657407404</v>
      </c>
      <c r="C210" s="10">
        <v>42879.502696759257</v>
      </c>
      <c r="D210" s="10">
        <v>42879.571712962963</v>
      </c>
      <c r="E210" s="10">
        <v>42887.662442129629</v>
      </c>
      <c r="F210" s="10">
        <v>42899</v>
      </c>
      <c r="G210" t="s">
        <v>8</v>
      </c>
      <c r="H210" t="s">
        <v>430</v>
      </c>
      <c r="I210" t="s">
        <v>58</v>
      </c>
      <c r="J210" s="11">
        <v>1</v>
      </c>
      <c r="K210" s="12">
        <v>49.99</v>
      </c>
      <c r="L210" s="12">
        <v>12.69</v>
      </c>
      <c r="M210" s="13">
        <v>4</v>
      </c>
      <c r="N210" s="13">
        <f t="shared" si="24"/>
        <v>8.1737847222248092</v>
      </c>
      <c r="O210" s="13">
        <f t="shared" si="25"/>
        <v>0</v>
      </c>
      <c r="P210" t="str">
        <f t="shared" si="26"/>
        <v>On Time</v>
      </c>
      <c r="Q210" s="13">
        <f t="shared" si="27"/>
        <v>0.33694444445427507</v>
      </c>
      <c r="R210" s="13">
        <f t="shared" si="28"/>
        <v>6.9016203706269152E-2</v>
      </c>
      <c r="S210" s="13">
        <f t="shared" si="29"/>
        <v>8.0907291666662786</v>
      </c>
      <c r="T210" t="str">
        <f t="shared" si="30"/>
        <v>On Time/Early</v>
      </c>
      <c r="U210" t="str">
        <f t="shared" si="31"/>
        <v>Normal</v>
      </c>
      <c r="V210" t="s">
        <v>102</v>
      </c>
    </row>
    <row r="211" spans="1:22">
      <c r="A211" t="s">
        <v>482</v>
      </c>
      <c r="B211" s="10">
        <v>42881.317928240744</v>
      </c>
      <c r="C211" s="10">
        <v>42881.326562499999</v>
      </c>
      <c r="D211" s="10">
        <v>42881.477025462962</v>
      </c>
      <c r="E211" s="10">
        <v>42886.583252314813</v>
      </c>
      <c r="F211" s="10">
        <v>42902</v>
      </c>
      <c r="G211" t="s">
        <v>8</v>
      </c>
      <c r="H211" t="s">
        <v>483</v>
      </c>
      <c r="I211" t="s">
        <v>141</v>
      </c>
      <c r="J211" s="11">
        <v>1</v>
      </c>
      <c r="K211" s="12">
        <v>92.5</v>
      </c>
      <c r="L211" s="12">
        <v>13.67</v>
      </c>
      <c r="M211" s="13">
        <v>1</v>
      </c>
      <c r="N211" s="13">
        <f t="shared" si="24"/>
        <v>5.2653240740692127</v>
      </c>
      <c r="O211" s="13">
        <f t="shared" si="25"/>
        <v>0</v>
      </c>
      <c r="P211" t="str">
        <f t="shared" si="26"/>
        <v>On Time</v>
      </c>
      <c r="Q211" s="13">
        <f t="shared" si="27"/>
        <v>0.20722222211770713</v>
      </c>
      <c r="R211" s="13">
        <f t="shared" si="28"/>
        <v>0.15046296296350192</v>
      </c>
      <c r="S211" s="13">
        <f t="shared" si="29"/>
        <v>5.1062268518508063</v>
      </c>
      <c r="T211" t="str">
        <f t="shared" si="30"/>
        <v>On Time/Early</v>
      </c>
      <c r="U211" t="str">
        <f t="shared" si="31"/>
        <v>Normal</v>
      </c>
      <c r="V211" t="s">
        <v>102</v>
      </c>
    </row>
    <row r="212" spans="1:22">
      <c r="A212" t="s">
        <v>484</v>
      </c>
      <c r="B212" s="10">
        <v>42882.003182870372</v>
      </c>
      <c r="C212" s="10">
        <v>42882.048750000002</v>
      </c>
      <c r="D212" s="10">
        <v>42884.632326388892</v>
      </c>
      <c r="E212" s="10">
        <v>42888.66505787037</v>
      </c>
      <c r="F212" s="10">
        <v>42908</v>
      </c>
      <c r="G212" t="s">
        <v>36</v>
      </c>
      <c r="H212" t="s">
        <v>485</v>
      </c>
      <c r="I212" t="s">
        <v>58</v>
      </c>
      <c r="J212" s="11">
        <v>1</v>
      </c>
      <c r="K212" s="12">
        <v>370</v>
      </c>
      <c r="L212" s="12">
        <v>15.61</v>
      </c>
      <c r="M212" s="13">
        <v>5</v>
      </c>
      <c r="N212" s="13">
        <f t="shared" si="24"/>
        <v>6.6618749999979627</v>
      </c>
      <c r="O212" s="13">
        <f t="shared" si="25"/>
        <v>0</v>
      </c>
      <c r="P212" t="str">
        <f t="shared" si="26"/>
        <v>On Time</v>
      </c>
      <c r="Q212" s="13">
        <f t="shared" si="27"/>
        <v>1.093611111107748</v>
      </c>
      <c r="R212" s="13">
        <f t="shared" si="28"/>
        <v>2.5835763888899237</v>
      </c>
      <c r="S212" s="13">
        <f t="shared" si="29"/>
        <v>4.0327314814785495</v>
      </c>
      <c r="T212" t="str">
        <f t="shared" si="30"/>
        <v>On Time/Early</v>
      </c>
      <c r="U212" t="str">
        <f t="shared" si="31"/>
        <v>Normal</v>
      </c>
      <c r="V212" t="s">
        <v>102</v>
      </c>
    </row>
    <row r="213" spans="1:22">
      <c r="A213" t="s">
        <v>486</v>
      </c>
      <c r="B213" s="10">
        <v>42882.575578703705</v>
      </c>
      <c r="C213" s="10">
        <v>42883.580034722225</v>
      </c>
      <c r="D213" s="10">
        <v>42884.655104166668</v>
      </c>
      <c r="E213" s="10">
        <v>42885.398645833331</v>
      </c>
      <c r="F213" s="10">
        <v>42895</v>
      </c>
      <c r="G213" t="s">
        <v>8</v>
      </c>
      <c r="H213" t="s">
        <v>140</v>
      </c>
      <c r="I213" t="s">
        <v>112</v>
      </c>
      <c r="J213" s="11">
        <v>1</v>
      </c>
      <c r="K213" s="12">
        <v>94.9</v>
      </c>
      <c r="L213" s="12">
        <v>7.92</v>
      </c>
      <c r="M213" s="13">
        <v>5</v>
      </c>
      <c r="N213" s="13">
        <f t="shared" si="24"/>
        <v>2.823067129625997</v>
      </c>
      <c r="O213" s="13">
        <f t="shared" si="25"/>
        <v>0</v>
      </c>
      <c r="P213" t="str">
        <f t="shared" si="26"/>
        <v>On Time</v>
      </c>
      <c r="Q213" s="13">
        <f t="shared" si="27"/>
        <v>24.106944444472902</v>
      </c>
      <c r="R213" s="13">
        <f t="shared" si="28"/>
        <v>1.0750694444432156</v>
      </c>
      <c r="S213" s="13">
        <f t="shared" si="29"/>
        <v>0.74354166666307719</v>
      </c>
      <c r="T213" t="str">
        <f t="shared" si="30"/>
        <v>On Time/Early</v>
      </c>
      <c r="U213" t="str">
        <f t="shared" si="31"/>
        <v>Normal</v>
      </c>
      <c r="V213" t="s">
        <v>102</v>
      </c>
    </row>
    <row r="214" spans="1:22">
      <c r="A214" t="s">
        <v>487</v>
      </c>
      <c r="B214" s="10">
        <v>42882.584247685183</v>
      </c>
      <c r="C214" s="10">
        <v>42885.210138888891</v>
      </c>
      <c r="D214" s="10">
        <v>42885.388807870368</v>
      </c>
      <c r="E214" s="10">
        <v>42899.487569444442</v>
      </c>
      <c r="F214" s="10">
        <v>42913</v>
      </c>
      <c r="G214" t="s">
        <v>33</v>
      </c>
      <c r="H214" t="s">
        <v>488</v>
      </c>
      <c r="I214" t="s">
        <v>115</v>
      </c>
      <c r="J214" s="11">
        <v>1</v>
      </c>
      <c r="K214" s="12">
        <v>8.99</v>
      </c>
      <c r="L214" s="12">
        <v>16.79</v>
      </c>
      <c r="M214" s="13">
        <v>4</v>
      </c>
      <c r="N214" s="13">
        <f t="shared" si="24"/>
        <v>16.903321759258688</v>
      </c>
      <c r="O214" s="13">
        <f t="shared" si="25"/>
        <v>0</v>
      </c>
      <c r="P214" t="str">
        <f t="shared" si="26"/>
        <v>On Time</v>
      </c>
      <c r="Q214" s="13">
        <f t="shared" si="27"/>
        <v>63.021388888999354</v>
      </c>
      <c r="R214" s="13">
        <f t="shared" si="28"/>
        <v>0.17866898147622123</v>
      </c>
      <c r="S214" s="13">
        <f t="shared" si="29"/>
        <v>14.09876157407416</v>
      </c>
      <c r="T214" t="str">
        <f t="shared" si="30"/>
        <v>On Time/Early</v>
      </c>
      <c r="U214" t="str">
        <f t="shared" si="31"/>
        <v>Normal</v>
      </c>
      <c r="V214" t="s">
        <v>102</v>
      </c>
    </row>
    <row r="215" spans="1:22">
      <c r="A215" t="s">
        <v>489</v>
      </c>
      <c r="B215" s="10">
        <v>42882.749861111108</v>
      </c>
      <c r="C215" s="10">
        <v>42882.757118055553</v>
      </c>
      <c r="D215" s="10">
        <v>42884.46435185185</v>
      </c>
      <c r="E215" s="10">
        <v>42891.624826388892</v>
      </c>
      <c r="F215" s="10">
        <v>42909</v>
      </c>
      <c r="G215" t="s">
        <v>8</v>
      </c>
      <c r="H215" t="s">
        <v>171</v>
      </c>
      <c r="I215" t="s">
        <v>136</v>
      </c>
      <c r="J215" s="11">
        <v>1</v>
      </c>
      <c r="K215" s="12">
        <v>89.9</v>
      </c>
      <c r="L215" s="12">
        <v>21.12</v>
      </c>
      <c r="M215" s="13">
        <v>4</v>
      </c>
      <c r="N215" s="13">
        <f t="shared" si="24"/>
        <v>8.874965277784213</v>
      </c>
      <c r="O215" s="13">
        <f t="shared" si="25"/>
        <v>0</v>
      </c>
      <c r="P215" t="str">
        <f t="shared" si="26"/>
        <v>On Time</v>
      </c>
      <c r="Q215" s="13">
        <f t="shared" si="27"/>
        <v>0.17416666669305414</v>
      </c>
      <c r="R215" s="13">
        <f t="shared" si="28"/>
        <v>1.7072337962963502</v>
      </c>
      <c r="S215" s="13">
        <f t="shared" si="29"/>
        <v>7.1604745370423188</v>
      </c>
      <c r="T215" t="str">
        <f t="shared" si="30"/>
        <v>On Time/Early</v>
      </c>
      <c r="U215" t="str">
        <f t="shared" si="31"/>
        <v>Normal</v>
      </c>
      <c r="V215" t="s">
        <v>102</v>
      </c>
    </row>
    <row r="216" spans="1:22">
      <c r="A216" t="s">
        <v>490</v>
      </c>
      <c r="B216" s="10">
        <v>42883.76835648148</v>
      </c>
      <c r="C216" s="10">
        <v>42885.191284722219</v>
      </c>
      <c r="D216" s="10">
        <v>42886.300254629627</v>
      </c>
      <c r="E216" s="10">
        <v>42891.571122685185</v>
      </c>
      <c r="F216" s="10">
        <v>42906</v>
      </c>
      <c r="G216" t="s">
        <v>8</v>
      </c>
      <c r="H216" t="s">
        <v>491</v>
      </c>
      <c r="I216" t="s">
        <v>143</v>
      </c>
      <c r="J216" s="11">
        <v>1</v>
      </c>
      <c r="K216" s="12">
        <v>56.99</v>
      </c>
      <c r="L216" s="12">
        <v>11.9</v>
      </c>
      <c r="M216" s="13">
        <v>3</v>
      </c>
      <c r="N216" s="13">
        <f t="shared" si="24"/>
        <v>7.8027662037056871</v>
      </c>
      <c r="O216" s="13">
        <f t="shared" si="25"/>
        <v>0</v>
      </c>
      <c r="P216" t="str">
        <f t="shared" si="26"/>
        <v>On Time</v>
      </c>
      <c r="Q216" s="13">
        <f t="shared" si="27"/>
        <v>34.150277777749579</v>
      </c>
      <c r="R216" s="13">
        <f t="shared" si="28"/>
        <v>1.1089699074072996</v>
      </c>
      <c r="S216" s="13">
        <f t="shared" si="29"/>
        <v>5.2708680555588217</v>
      </c>
      <c r="T216" t="str">
        <f t="shared" si="30"/>
        <v>On Time/Early</v>
      </c>
      <c r="U216" t="str">
        <f t="shared" si="31"/>
        <v>Normal</v>
      </c>
      <c r="V216" t="s">
        <v>102</v>
      </c>
    </row>
    <row r="217" spans="1:22">
      <c r="A217" t="s">
        <v>492</v>
      </c>
      <c r="B217" s="10">
        <v>42884.500972222224</v>
      </c>
      <c r="C217" s="10">
        <v>42884.510659722226</v>
      </c>
      <c r="D217" s="10">
        <v>42884.549224537041</v>
      </c>
      <c r="E217" s="10">
        <v>42895.345717592594</v>
      </c>
      <c r="F217" s="10">
        <v>42908</v>
      </c>
      <c r="G217" t="s">
        <v>8</v>
      </c>
      <c r="H217" t="s">
        <v>493</v>
      </c>
      <c r="I217" t="s">
        <v>221</v>
      </c>
      <c r="J217" s="11">
        <v>1</v>
      </c>
      <c r="K217" s="12">
        <v>590.82000000000005</v>
      </c>
      <c r="L217" s="12">
        <v>15.64</v>
      </c>
      <c r="M217" s="13">
        <v>5</v>
      </c>
      <c r="N217" s="13">
        <f t="shared" si="24"/>
        <v>10.844745370370219</v>
      </c>
      <c r="O217" s="13">
        <f t="shared" si="25"/>
        <v>0</v>
      </c>
      <c r="P217" t="str">
        <f t="shared" si="26"/>
        <v>On Time</v>
      </c>
      <c r="Q217" s="13">
        <f t="shared" si="27"/>
        <v>0.23250000004190952</v>
      </c>
      <c r="R217" s="13">
        <f t="shared" si="28"/>
        <v>3.8564814814890269E-2</v>
      </c>
      <c r="S217" s="13">
        <f t="shared" si="29"/>
        <v>10.796493055553583</v>
      </c>
      <c r="T217" t="str">
        <f t="shared" si="30"/>
        <v>On Time/Early</v>
      </c>
      <c r="U217" t="str">
        <f t="shared" si="31"/>
        <v>Normal</v>
      </c>
      <c r="V217" t="s">
        <v>102</v>
      </c>
    </row>
    <row r="218" spans="1:22">
      <c r="A218" t="s">
        <v>494</v>
      </c>
      <c r="B218" s="10">
        <v>42884.721319444441</v>
      </c>
      <c r="C218" s="10">
        <v>42884.729386574072</v>
      </c>
      <c r="D218" s="10">
        <v>42887.38449074074</v>
      </c>
      <c r="E218" s="10">
        <v>42892.774074074077</v>
      </c>
      <c r="F218" s="10">
        <v>42907</v>
      </c>
      <c r="G218" t="s">
        <v>20</v>
      </c>
      <c r="H218" t="s">
        <v>495</v>
      </c>
      <c r="I218" t="s">
        <v>58</v>
      </c>
      <c r="J218" s="11">
        <v>1</v>
      </c>
      <c r="K218" s="12">
        <v>18.989999999999998</v>
      </c>
      <c r="L218" s="12">
        <v>15.1</v>
      </c>
      <c r="M218" s="13">
        <v>5</v>
      </c>
      <c r="N218" s="13">
        <f t="shared" si="24"/>
        <v>8.0527546296361834</v>
      </c>
      <c r="O218" s="13">
        <f t="shared" si="25"/>
        <v>0</v>
      </c>
      <c r="P218" t="str">
        <f t="shared" si="26"/>
        <v>On Time</v>
      </c>
      <c r="Q218" s="13">
        <f t="shared" si="27"/>
        <v>0.1936111111426726</v>
      </c>
      <c r="R218" s="13">
        <f t="shared" si="28"/>
        <v>2.6551041666680248</v>
      </c>
      <c r="S218" s="13">
        <f t="shared" si="29"/>
        <v>5.3895833333372138</v>
      </c>
      <c r="T218" t="str">
        <f t="shared" si="30"/>
        <v>On Time/Early</v>
      </c>
      <c r="U218" t="str">
        <f t="shared" si="31"/>
        <v>Normal</v>
      </c>
      <c r="V218" t="s">
        <v>102</v>
      </c>
    </row>
    <row r="219" spans="1:22">
      <c r="A219" t="s">
        <v>496</v>
      </c>
      <c r="B219" s="10">
        <v>42884.732789351852</v>
      </c>
      <c r="C219" s="10">
        <v>42884.739768518521</v>
      </c>
      <c r="D219" s="10">
        <v>42885.605370370373</v>
      </c>
      <c r="E219" s="10">
        <v>42893.596134259256</v>
      </c>
      <c r="F219" s="10">
        <v>42908</v>
      </c>
      <c r="G219" t="s">
        <v>20</v>
      </c>
      <c r="H219" t="s">
        <v>104</v>
      </c>
      <c r="I219" t="s">
        <v>180</v>
      </c>
      <c r="J219" s="11">
        <v>1</v>
      </c>
      <c r="K219" s="12">
        <v>269.89999999999998</v>
      </c>
      <c r="L219" s="12">
        <v>22.38</v>
      </c>
      <c r="M219" s="13">
        <v>5</v>
      </c>
      <c r="N219" s="13">
        <f t="shared" si="24"/>
        <v>8.8633449074040982</v>
      </c>
      <c r="O219" s="13">
        <f t="shared" si="25"/>
        <v>0</v>
      </c>
      <c r="P219" t="str">
        <f t="shared" si="26"/>
        <v>On Time</v>
      </c>
      <c r="Q219" s="13">
        <f t="shared" si="27"/>
        <v>0.16750000003958121</v>
      </c>
      <c r="R219" s="13">
        <f t="shared" si="28"/>
        <v>0.86560185185226146</v>
      </c>
      <c r="S219" s="13">
        <f t="shared" si="29"/>
        <v>7.9907638888835208</v>
      </c>
      <c r="T219" t="str">
        <f t="shared" si="30"/>
        <v>On Time/Early</v>
      </c>
      <c r="U219" t="str">
        <f t="shared" si="31"/>
        <v>Normal</v>
      </c>
      <c r="V219" t="s">
        <v>102</v>
      </c>
    </row>
    <row r="220" spans="1:22">
      <c r="A220" t="s">
        <v>497</v>
      </c>
      <c r="B220" s="10">
        <v>42884.91741898148</v>
      </c>
      <c r="C220" s="10">
        <v>42885.920590277776</v>
      </c>
      <c r="D220" s="10">
        <v>42893.644467592596</v>
      </c>
      <c r="E220" s="10">
        <v>42902.730717592596</v>
      </c>
      <c r="F220" s="10">
        <v>42909</v>
      </c>
      <c r="G220" t="s">
        <v>20</v>
      </c>
      <c r="H220" t="s">
        <v>391</v>
      </c>
      <c r="I220" t="s">
        <v>58</v>
      </c>
      <c r="J220" s="11">
        <v>1</v>
      </c>
      <c r="K220" s="12">
        <v>458</v>
      </c>
      <c r="L220" s="12">
        <v>17.97</v>
      </c>
      <c r="M220" s="13">
        <v>2</v>
      </c>
      <c r="N220" s="13">
        <f t="shared" si="24"/>
        <v>17.813298611115897</v>
      </c>
      <c r="O220" s="13">
        <f t="shared" si="25"/>
        <v>0</v>
      </c>
      <c r="P220" t="str">
        <f t="shared" si="26"/>
        <v>On Time</v>
      </c>
      <c r="Q220" s="13">
        <f t="shared" si="27"/>
        <v>24.07611111109145</v>
      </c>
      <c r="R220" s="13">
        <f t="shared" si="28"/>
        <v>7.723877314820129</v>
      </c>
      <c r="S220" s="13">
        <f t="shared" si="29"/>
        <v>9.086250000000291</v>
      </c>
      <c r="T220" t="str">
        <f t="shared" si="30"/>
        <v>On Time/Early</v>
      </c>
      <c r="U220" t="str">
        <f t="shared" si="31"/>
        <v>Normal</v>
      </c>
      <c r="V220" t="s">
        <v>102</v>
      </c>
    </row>
    <row r="221" spans="1:22">
      <c r="A221" t="s">
        <v>498</v>
      </c>
      <c r="B221" s="10">
        <v>42885.366875</v>
      </c>
      <c r="C221" s="10">
        <v>42886.36478009259</v>
      </c>
      <c r="D221" s="10">
        <v>42893.532094907408</v>
      </c>
      <c r="E221" s="10">
        <v>42899.589166666665</v>
      </c>
      <c r="F221" s="10">
        <v>42908</v>
      </c>
      <c r="G221" t="s">
        <v>16</v>
      </c>
      <c r="H221" t="s">
        <v>138</v>
      </c>
      <c r="I221" t="s">
        <v>112</v>
      </c>
      <c r="J221" s="11">
        <v>1</v>
      </c>
      <c r="K221" s="12">
        <v>1449</v>
      </c>
      <c r="L221" s="12">
        <v>55.61</v>
      </c>
      <c r="M221" s="13">
        <v>5</v>
      </c>
      <c r="N221" s="13">
        <f t="shared" si="24"/>
        <v>14.222291666665114</v>
      </c>
      <c r="O221" s="13">
        <f t="shared" si="25"/>
        <v>0</v>
      </c>
      <c r="P221" t="str">
        <f t="shared" si="26"/>
        <v>On Time</v>
      </c>
      <c r="Q221" s="13">
        <f t="shared" si="27"/>
        <v>23.94972222216893</v>
      </c>
      <c r="R221" s="13">
        <f t="shared" si="28"/>
        <v>7.1673148148183827</v>
      </c>
      <c r="S221" s="13">
        <f t="shared" si="29"/>
        <v>6.0570717592563597</v>
      </c>
      <c r="T221" t="str">
        <f t="shared" si="30"/>
        <v>On Time/Early</v>
      </c>
      <c r="U221" t="str">
        <f t="shared" si="31"/>
        <v>Normal</v>
      </c>
      <c r="V221" t="s">
        <v>102</v>
      </c>
    </row>
    <row r="222" spans="1:22">
      <c r="A222" t="s">
        <v>499</v>
      </c>
      <c r="B222" s="10">
        <v>42885.856076388889</v>
      </c>
      <c r="C222" s="10">
        <v>42885.86478009259</v>
      </c>
      <c r="D222" s="10">
        <v>42891.73510416667</v>
      </c>
      <c r="E222" s="10">
        <v>42900.731851851851</v>
      </c>
      <c r="F222" s="10">
        <v>42912</v>
      </c>
      <c r="G222" t="s">
        <v>20</v>
      </c>
      <c r="H222" t="s">
        <v>500</v>
      </c>
      <c r="I222" t="s">
        <v>118</v>
      </c>
      <c r="J222" s="11">
        <v>1</v>
      </c>
      <c r="K222" s="12">
        <v>135</v>
      </c>
      <c r="L222" s="12">
        <v>17.39</v>
      </c>
      <c r="M222" s="13">
        <v>4</v>
      </c>
      <c r="N222" s="13">
        <f t="shared" si="24"/>
        <v>14.875775462962338</v>
      </c>
      <c r="O222" s="13">
        <f t="shared" si="25"/>
        <v>0</v>
      </c>
      <c r="P222" t="str">
        <f t="shared" si="26"/>
        <v>On Time</v>
      </c>
      <c r="Q222" s="13">
        <f t="shared" si="27"/>
        <v>0.20888888882473111</v>
      </c>
      <c r="R222" s="13">
        <f t="shared" si="28"/>
        <v>5.87032407407969</v>
      </c>
      <c r="S222" s="13">
        <f t="shared" si="29"/>
        <v>8.9967476851816173</v>
      </c>
      <c r="T222" t="str">
        <f t="shared" si="30"/>
        <v>On Time/Early</v>
      </c>
      <c r="U222" t="str">
        <f t="shared" si="31"/>
        <v>Normal</v>
      </c>
      <c r="V222" t="s">
        <v>102</v>
      </c>
    </row>
    <row r="223" spans="1:22">
      <c r="A223" t="s">
        <v>501</v>
      </c>
      <c r="B223" s="10">
        <v>42885.864247685182</v>
      </c>
      <c r="C223" s="10">
        <v>42885.87164351852</v>
      </c>
      <c r="D223" s="10">
        <v>42886.488842592589</v>
      </c>
      <c r="E223" s="10">
        <v>42892.515844907408</v>
      </c>
      <c r="F223" s="10">
        <v>42912</v>
      </c>
      <c r="G223" t="s">
        <v>16</v>
      </c>
      <c r="H223" t="s">
        <v>138</v>
      </c>
      <c r="I223" t="s">
        <v>128</v>
      </c>
      <c r="J223" s="11">
        <v>1</v>
      </c>
      <c r="K223" s="12">
        <v>39.700000000000003</v>
      </c>
      <c r="L223" s="12">
        <v>16.920000000000002</v>
      </c>
      <c r="M223" s="13">
        <v>5</v>
      </c>
      <c r="N223" s="13">
        <f t="shared" si="24"/>
        <v>6.6515972222259734</v>
      </c>
      <c r="O223" s="13">
        <f t="shared" si="25"/>
        <v>0</v>
      </c>
      <c r="P223" t="str">
        <f t="shared" si="26"/>
        <v>On Time</v>
      </c>
      <c r="Q223" s="13">
        <f t="shared" si="27"/>
        <v>0.1775000001071021</v>
      </c>
      <c r="R223" s="13">
        <f t="shared" si="28"/>
        <v>0.61719907406950369</v>
      </c>
      <c r="S223" s="13">
        <f t="shared" si="29"/>
        <v>6.0270023148186738</v>
      </c>
      <c r="T223" t="str">
        <f t="shared" si="30"/>
        <v>On Time/Early</v>
      </c>
      <c r="U223" t="str">
        <f t="shared" si="31"/>
        <v>Normal</v>
      </c>
      <c r="V223" t="s">
        <v>102</v>
      </c>
    </row>
    <row r="224" spans="1:22">
      <c r="A224" t="s">
        <v>502</v>
      </c>
      <c r="B224" s="10">
        <v>42886.054027777776</v>
      </c>
      <c r="C224" s="10">
        <v>42886.062696759262</v>
      </c>
      <c r="D224" s="10">
        <v>42886.651562500003</v>
      </c>
      <c r="E224" s="10">
        <v>42900.76730324074</v>
      </c>
      <c r="F224" s="10">
        <v>42913</v>
      </c>
      <c r="G224" t="s">
        <v>20</v>
      </c>
      <c r="H224" t="s">
        <v>503</v>
      </c>
      <c r="I224" t="s">
        <v>221</v>
      </c>
      <c r="J224" s="11">
        <v>1</v>
      </c>
      <c r="K224" s="12">
        <v>144</v>
      </c>
      <c r="L224" s="12">
        <v>15.76</v>
      </c>
      <c r="M224" s="13">
        <v>5</v>
      </c>
      <c r="N224" s="13">
        <f t="shared" si="24"/>
        <v>14.713275462963793</v>
      </c>
      <c r="O224" s="13">
        <f t="shared" si="25"/>
        <v>0</v>
      </c>
      <c r="P224" t="str">
        <f t="shared" si="26"/>
        <v>On Time</v>
      </c>
      <c r="Q224" s="13">
        <f t="shared" si="27"/>
        <v>0.20805555564584211</v>
      </c>
      <c r="R224" s="13">
        <f t="shared" si="28"/>
        <v>0.58886574074131204</v>
      </c>
      <c r="S224" s="13">
        <f t="shared" si="29"/>
        <v>14.115740740737238</v>
      </c>
      <c r="T224" t="str">
        <f t="shared" si="30"/>
        <v>On Time/Early</v>
      </c>
      <c r="U224" t="str">
        <f t="shared" si="31"/>
        <v>Normal</v>
      </c>
      <c r="V224" t="s">
        <v>102</v>
      </c>
    </row>
    <row r="225" spans="1:22">
      <c r="A225" t="s">
        <v>504</v>
      </c>
      <c r="B225" s="10">
        <v>42886.510451388887</v>
      </c>
      <c r="C225" s="10">
        <v>42886.547233796293</v>
      </c>
      <c r="D225" s="10">
        <v>42887.656030092592</v>
      </c>
      <c r="E225" s="10">
        <v>42895.847118055557</v>
      </c>
      <c r="F225" s="10">
        <v>42921</v>
      </c>
      <c r="G225" t="s">
        <v>175</v>
      </c>
      <c r="H225" t="s">
        <v>338</v>
      </c>
      <c r="I225" t="s">
        <v>143</v>
      </c>
      <c r="J225" s="11">
        <v>1</v>
      </c>
      <c r="K225" s="12">
        <v>69.900000000000006</v>
      </c>
      <c r="L225" s="12">
        <v>17.77</v>
      </c>
      <c r="M225" s="13">
        <v>5</v>
      </c>
      <c r="N225" s="13">
        <f t="shared" si="24"/>
        <v>9.3366666666697711</v>
      </c>
      <c r="O225" s="13">
        <f t="shared" si="25"/>
        <v>0</v>
      </c>
      <c r="P225" t="str">
        <f t="shared" si="26"/>
        <v>On Time</v>
      </c>
      <c r="Q225" s="13">
        <f t="shared" si="27"/>
        <v>0.88277777773328125</v>
      </c>
      <c r="R225" s="13">
        <f t="shared" si="28"/>
        <v>1.1087962962992606</v>
      </c>
      <c r="S225" s="13">
        <f t="shared" si="29"/>
        <v>8.1910879629649571</v>
      </c>
      <c r="T225" t="str">
        <f t="shared" si="30"/>
        <v>On Time/Early</v>
      </c>
      <c r="U225" t="str">
        <f t="shared" si="31"/>
        <v>Normal</v>
      </c>
      <c r="V225" t="s">
        <v>102</v>
      </c>
    </row>
    <row r="226" spans="1:22">
      <c r="A226" t="s">
        <v>505</v>
      </c>
      <c r="B226" s="10">
        <v>42886.667638888888</v>
      </c>
      <c r="C226" s="10">
        <v>42886.673807870371</v>
      </c>
      <c r="D226" s="10">
        <v>42887.323449074072</v>
      </c>
      <c r="E226" s="10">
        <v>42899.615289351852</v>
      </c>
      <c r="F226" s="10">
        <v>42912</v>
      </c>
      <c r="G226" t="s">
        <v>16</v>
      </c>
      <c r="H226" t="s">
        <v>506</v>
      </c>
      <c r="I226" t="s">
        <v>143</v>
      </c>
      <c r="J226" s="11">
        <v>1</v>
      </c>
      <c r="K226" s="12">
        <v>56.99</v>
      </c>
      <c r="L226" s="12">
        <v>14.15</v>
      </c>
      <c r="M226" s="13">
        <v>5</v>
      </c>
      <c r="N226" s="13">
        <f t="shared" si="24"/>
        <v>12.947650462963793</v>
      </c>
      <c r="O226" s="13">
        <f t="shared" si="25"/>
        <v>0</v>
      </c>
      <c r="P226" t="str">
        <f t="shared" si="26"/>
        <v>On Time</v>
      </c>
      <c r="Q226" s="13">
        <f t="shared" si="27"/>
        <v>0.14805555558996275</v>
      </c>
      <c r="R226" s="13">
        <f t="shared" si="28"/>
        <v>0.6496412037013215</v>
      </c>
      <c r="S226" s="13">
        <f t="shared" si="29"/>
        <v>12.291840277779556</v>
      </c>
      <c r="T226" t="str">
        <f t="shared" si="30"/>
        <v>On Time/Early</v>
      </c>
      <c r="U226" t="str">
        <f t="shared" si="31"/>
        <v>Normal</v>
      </c>
      <c r="V226" t="s">
        <v>102</v>
      </c>
    </row>
    <row r="227" spans="1:22">
      <c r="A227" t="s">
        <v>507</v>
      </c>
      <c r="B227" s="10">
        <v>42886.770949074074</v>
      </c>
      <c r="C227" s="10">
        <v>42886.779513888891</v>
      </c>
      <c r="D227" s="10">
        <v>42888.525706018518</v>
      </c>
      <c r="E227" s="10">
        <v>42900.513171296298</v>
      </c>
      <c r="F227" s="10">
        <v>42923</v>
      </c>
      <c r="G227" t="s">
        <v>16</v>
      </c>
      <c r="H227" t="s">
        <v>138</v>
      </c>
      <c r="I227" t="s">
        <v>58</v>
      </c>
      <c r="J227" s="11">
        <v>1</v>
      </c>
      <c r="K227" s="12">
        <v>1359</v>
      </c>
      <c r="L227" s="12">
        <v>52.62</v>
      </c>
      <c r="M227" s="13">
        <v>5</v>
      </c>
      <c r="N227" s="13">
        <f t="shared" si="24"/>
        <v>13.742222222223063</v>
      </c>
      <c r="O227" s="13">
        <f t="shared" si="25"/>
        <v>0</v>
      </c>
      <c r="P227" t="str">
        <f t="shared" si="26"/>
        <v>On Time</v>
      </c>
      <c r="Q227" s="13">
        <f t="shared" si="27"/>
        <v>0.20555555558530614</v>
      </c>
      <c r="R227" s="13">
        <f t="shared" si="28"/>
        <v>1.7461921296271612</v>
      </c>
      <c r="S227" s="13">
        <f t="shared" si="29"/>
        <v>11.987465277779847</v>
      </c>
      <c r="T227" t="str">
        <f t="shared" si="30"/>
        <v>On Time/Early</v>
      </c>
      <c r="U227" t="str">
        <f t="shared" si="31"/>
        <v>Normal</v>
      </c>
      <c r="V227" t="s">
        <v>102</v>
      </c>
    </row>
    <row r="228" spans="1:22">
      <c r="A228" t="s">
        <v>508</v>
      </c>
      <c r="B228" s="10">
        <v>42886.89162037037</v>
      </c>
      <c r="C228" s="10">
        <v>42886.899421296293</v>
      </c>
      <c r="D228" s="10">
        <v>42887.621689814812</v>
      </c>
      <c r="E228" s="10">
        <v>42894.724050925928</v>
      </c>
      <c r="F228" s="10">
        <v>42909</v>
      </c>
      <c r="G228" t="s">
        <v>8</v>
      </c>
      <c r="H228" t="s">
        <v>140</v>
      </c>
      <c r="I228" t="s">
        <v>120</v>
      </c>
      <c r="J228" s="11">
        <v>1</v>
      </c>
      <c r="K228" s="12">
        <v>93</v>
      </c>
      <c r="L228" s="12">
        <v>14.4</v>
      </c>
      <c r="M228" s="13">
        <v>4</v>
      </c>
      <c r="N228" s="13">
        <f t="shared" si="24"/>
        <v>7.8324305555579485</v>
      </c>
      <c r="O228" s="13">
        <f t="shared" si="25"/>
        <v>0</v>
      </c>
      <c r="P228" t="str">
        <f t="shared" si="26"/>
        <v>On Time</v>
      </c>
      <c r="Q228" s="13">
        <f t="shared" si="27"/>
        <v>0.18722222215728834</v>
      </c>
      <c r="R228" s="13">
        <f t="shared" si="28"/>
        <v>0.72226851851883112</v>
      </c>
      <c r="S228" s="13">
        <f t="shared" si="29"/>
        <v>7.1023611111158971</v>
      </c>
      <c r="T228" t="str">
        <f t="shared" si="30"/>
        <v>On Time/Early</v>
      </c>
      <c r="U228" t="str">
        <f t="shared" si="31"/>
        <v>Normal</v>
      </c>
      <c r="V228" t="s">
        <v>102</v>
      </c>
    </row>
    <row r="229" spans="1:22">
      <c r="A229" t="s">
        <v>509</v>
      </c>
      <c r="B229" s="10">
        <v>42887.652962962966</v>
      </c>
      <c r="C229" s="10">
        <v>42888.093831018516</v>
      </c>
      <c r="D229" s="10">
        <v>42888.493020833332</v>
      </c>
      <c r="E229" s="10">
        <v>42891.74858796296</v>
      </c>
      <c r="F229" s="10">
        <v>42900</v>
      </c>
      <c r="G229" t="s">
        <v>8</v>
      </c>
      <c r="H229" t="s">
        <v>214</v>
      </c>
      <c r="I229" t="s">
        <v>221</v>
      </c>
      <c r="J229" s="11">
        <v>1</v>
      </c>
      <c r="K229" s="12">
        <v>205.81</v>
      </c>
      <c r="L229" s="12">
        <v>10.26</v>
      </c>
      <c r="M229" s="13">
        <v>5</v>
      </c>
      <c r="N229" s="13">
        <f t="shared" si="24"/>
        <v>4.0956249999944703</v>
      </c>
      <c r="O229" s="13">
        <f t="shared" si="25"/>
        <v>0</v>
      </c>
      <c r="P229" t="str">
        <f t="shared" si="26"/>
        <v>On Time</v>
      </c>
      <c r="Q229" s="13">
        <f t="shared" si="27"/>
        <v>10.580833333195187</v>
      </c>
      <c r="R229" s="13">
        <f t="shared" si="28"/>
        <v>0.39918981481605442</v>
      </c>
      <c r="S229" s="13">
        <f t="shared" si="29"/>
        <v>3.2555671296286164</v>
      </c>
      <c r="T229" t="str">
        <f t="shared" si="30"/>
        <v>On Time/Early</v>
      </c>
      <c r="U229" t="str">
        <f t="shared" si="31"/>
        <v>Normal</v>
      </c>
      <c r="V229" t="s">
        <v>102</v>
      </c>
    </row>
    <row r="230" spans="1:22">
      <c r="A230" t="s">
        <v>510</v>
      </c>
      <c r="B230" s="10">
        <v>42888.351168981484</v>
      </c>
      <c r="C230" s="10">
        <v>42888.357881944445</v>
      </c>
      <c r="D230" s="10">
        <v>42888.706967592596</v>
      </c>
      <c r="E230" s="10">
        <v>42900.485069444447</v>
      </c>
      <c r="F230" s="10">
        <v>42922</v>
      </c>
      <c r="G230" t="s">
        <v>16</v>
      </c>
      <c r="H230" t="s">
        <v>511</v>
      </c>
      <c r="I230" t="s">
        <v>120</v>
      </c>
      <c r="J230" s="11">
        <v>2</v>
      </c>
      <c r="K230" s="12">
        <v>195.8</v>
      </c>
      <c r="L230" s="12">
        <v>34.26</v>
      </c>
      <c r="M230" s="13">
        <v>4</v>
      </c>
      <c r="N230" s="13">
        <f t="shared" si="24"/>
        <v>12.133900462962629</v>
      </c>
      <c r="O230" s="13">
        <f t="shared" si="25"/>
        <v>0</v>
      </c>
      <c r="P230" t="str">
        <f t="shared" si="26"/>
        <v>On Time</v>
      </c>
      <c r="Q230" s="13">
        <f t="shared" si="27"/>
        <v>0.16111111105419695</v>
      </c>
      <c r="R230" s="13">
        <f t="shared" si="28"/>
        <v>0.349085648151231</v>
      </c>
      <c r="S230" s="13">
        <f t="shared" si="29"/>
        <v>11.778101851850806</v>
      </c>
      <c r="T230" t="str">
        <f t="shared" si="30"/>
        <v>On Time/Early</v>
      </c>
      <c r="U230" t="str">
        <f t="shared" si="31"/>
        <v>Normal</v>
      </c>
      <c r="V230" t="s">
        <v>102</v>
      </c>
    </row>
    <row r="231" spans="1:22">
      <c r="A231" t="s">
        <v>512</v>
      </c>
      <c r="B231" s="10">
        <v>42888.622928240744</v>
      </c>
      <c r="C231" s="10">
        <v>42892.552569444444</v>
      </c>
      <c r="D231" s="10">
        <v>42892.626215277778</v>
      </c>
      <c r="E231" s="10">
        <v>42895.643460648149</v>
      </c>
      <c r="F231" s="10">
        <v>42913</v>
      </c>
      <c r="G231" t="s">
        <v>8</v>
      </c>
      <c r="H231" t="s">
        <v>140</v>
      </c>
      <c r="I231" t="s">
        <v>123</v>
      </c>
      <c r="J231" s="11">
        <v>1</v>
      </c>
      <c r="K231" s="12">
        <v>139.9</v>
      </c>
      <c r="L231" s="12">
        <v>13.11</v>
      </c>
      <c r="M231" s="13">
        <v>5</v>
      </c>
      <c r="N231" s="13">
        <f t="shared" si="24"/>
        <v>7.0205324074049713</v>
      </c>
      <c r="O231" s="13">
        <f t="shared" si="25"/>
        <v>0</v>
      </c>
      <c r="P231" t="str">
        <f t="shared" si="26"/>
        <v>On Time</v>
      </c>
      <c r="Q231" s="13">
        <f t="shared" si="27"/>
        <v>94.311388888803776</v>
      </c>
      <c r="R231" s="13">
        <f t="shared" si="28"/>
        <v>7.3645833334012423E-2</v>
      </c>
      <c r="S231" s="13">
        <f t="shared" si="29"/>
        <v>3.0172453703708015</v>
      </c>
      <c r="T231" t="str">
        <f t="shared" si="30"/>
        <v>On Time/Early</v>
      </c>
      <c r="U231" t="str">
        <f t="shared" si="31"/>
        <v>Normal</v>
      </c>
      <c r="V231" t="s">
        <v>102</v>
      </c>
    </row>
    <row r="232" spans="1:22">
      <c r="A232" t="s">
        <v>513</v>
      </c>
      <c r="B232" s="10">
        <v>42888.72078703704</v>
      </c>
      <c r="C232" s="10">
        <v>42888.729305555556</v>
      </c>
      <c r="D232" s="10">
        <v>42893.678206018521</v>
      </c>
      <c r="E232" s="10">
        <v>42905.885034722225</v>
      </c>
      <c r="F232" s="10">
        <v>42909</v>
      </c>
      <c r="G232" t="s">
        <v>8</v>
      </c>
      <c r="H232" t="s">
        <v>140</v>
      </c>
      <c r="I232" t="s">
        <v>180</v>
      </c>
      <c r="J232" s="11">
        <v>1</v>
      </c>
      <c r="K232" s="12">
        <v>34.99</v>
      </c>
      <c r="L232" s="12">
        <v>12.69</v>
      </c>
      <c r="M232" s="13">
        <v>3</v>
      </c>
      <c r="N232" s="13">
        <f t="shared" si="24"/>
        <v>17.164247685184819</v>
      </c>
      <c r="O232" s="13">
        <f t="shared" si="25"/>
        <v>0</v>
      </c>
      <c r="P232" t="str">
        <f t="shared" si="26"/>
        <v>On Time</v>
      </c>
      <c r="Q232" s="13">
        <f t="shared" si="27"/>
        <v>0.20444444438908249</v>
      </c>
      <c r="R232" s="13">
        <f t="shared" si="28"/>
        <v>4.9489004629649571</v>
      </c>
      <c r="S232" s="13">
        <f t="shared" si="29"/>
        <v>12.20682870370365</v>
      </c>
      <c r="T232" t="str">
        <f t="shared" si="30"/>
        <v>On Time/Early</v>
      </c>
      <c r="U232" t="str">
        <f t="shared" si="31"/>
        <v>Normal</v>
      </c>
      <c r="V232" t="s">
        <v>102</v>
      </c>
    </row>
    <row r="233" spans="1:22">
      <c r="A233" t="s">
        <v>514</v>
      </c>
      <c r="B233" s="10">
        <v>42889.472337962965</v>
      </c>
      <c r="C233" s="10">
        <v>42889.47929398148</v>
      </c>
      <c r="D233" s="10">
        <v>42891.639733796299</v>
      </c>
      <c r="E233" s="10">
        <v>42900.691712962966</v>
      </c>
      <c r="F233" s="10">
        <v>42907</v>
      </c>
      <c r="G233" t="s">
        <v>8</v>
      </c>
      <c r="H233" t="s">
        <v>182</v>
      </c>
      <c r="I233" t="s">
        <v>58</v>
      </c>
      <c r="J233" s="11">
        <v>1</v>
      </c>
      <c r="K233" s="12">
        <v>299.99</v>
      </c>
      <c r="L233" s="12">
        <v>11.19</v>
      </c>
      <c r="M233" s="13">
        <v>3</v>
      </c>
      <c r="N233" s="13">
        <f t="shared" si="24"/>
        <v>11.219375000000582</v>
      </c>
      <c r="O233" s="13">
        <f t="shared" si="25"/>
        <v>0</v>
      </c>
      <c r="P233" t="str">
        <f t="shared" si="26"/>
        <v>On Time</v>
      </c>
      <c r="Q233" s="13">
        <f t="shared" si="27"/>
        <v>0.16694444435415789</v>
      </c>
      <c r="R233" s="13">
        <f t="shared" si="28"/>
        <v>2.1604398148192558</v>
      </c>
      <c r="S233" s="13">
        <f t="shared" si="29"/>
        <v>9.0519791666665697</v>
      </c>
      <c r="T233" t="str">
        <f t="shared" si="30"/>
        <v>On Time/Early</v>
      </c>
      <c r="U233" t="str">
        <f t="shared" si="31"/>
        <v>Normal</v>
      </c>
      <c r="V233" t="s">
        <v>102</v>
      </c>
    </row>
    <row r="234" spans="1:22">
      <c r="A234" t="s">
        <v>515</v>
      </c>
      <c r="B234" s="10">
        <v>42889.532361111109</v>
      </c>
      <c r="C234" s="10">
        <v>42889.548738425925</v>
      </c>
      <c r="D234" s="10">
        <v>42893.720173611109</v>
      </c>
      <c r="E234" s="10">
        <v>42914.589791666665</v>
      </c>
      <c r="F234" s="10">
        <v>42912</v>
      </c>
      <c r="G234" t="s">
        <v>8</v>
      </c>
      <c r="H234" t="s">
        <v>140</v>
      </c>
      <c r="I234" t="s">
        <v>136</v>
      </c>
      <c r="J234" s="11">
        <v>1</v>
      </c>
      <c r="K234" s="12">
        <v>95</v>
      </c>
      <c r="L234" s="12">
        <v>13.69</v>
      </c>
      <c r="M234" s="13">
        <v>1</v>
      </c>
      <c r="N234" s="13">
        <f t="shared" si="24"/>
        <v>25.057430555556493</v>
      </c>
      <c r="O234" s="13">
        <f t="shared" si="25"/>
        <v>2.5897916666654055</v>
      </c>
      <c r="P234" t="str">
        <f t="shared" si="26"/>
        <v>Delayed</v>
      </c>
      <c r="Q234" s="13">
        <f t="shared" si="27"/>
        <v>0.39305555558530614</v>
      </c>
      <c r="R234" s="13">
        <f t="shared" si="28"/>
        <v>4.1714351851842366</v>
      </c>
      <c r="S234" s="13">
        <f t="shared" si="29"/>
        <v>20.869618055556202</v>
      </c>
      <c r="T234" t="str">
        <f t="shared" si="30"/>
        <v>1-3 Days Late</v>
      </c>
      <c r="U234" t="str">
        <f t="shared" si="31"/>
        <v>Needs Review</v>
      </c>
      <c r="V234" t="s">
        <v>102</v>
      </c>
    </row>
    <row r="235" spans="1:22">
      <c r="A235" t="s">
        <v>516</v>
      </c>
      <c r="B235" s="10">
        <v>42890.437094907407</v>
      </c>
      <c r="C235" s="10">
        <v>42890.447974537034</v>
      </c>
      <c r="D235" s="10">
        <v>42891.542210648149</v>
      </c>
      <c r="E235" s="10">
        <v>42892.576921296299</v>
      </c>
      <c r="F235" s="10">
        <v>42906</v>
      </c>
      <c r="G235" t="s">
        <v>8</v>
      </c>
      <c r="H235" t="s">
        <v>140</v>
      </c>
      <c r="I235" t="s">
        <v>143</v>
      </c>
      <c r="J235" s="11">
        <v>1</v>
      </c>
      <c r="K235" s="12">
        <v>178.5</v>
      </c>
      <c r="L235" s="12">
        <v>9.44</v>
      </c>
      <c r="M235" s="13">
        <v>4</v>
      </c>
      <c r="N235" s="13">
        <f t="shared" si="24"/>
        <v>2.1398263888913789</v>
      </c>
      <c r="O235" s="13">
        <f t="shared" si="25"/>
        <v>0</v>
      </c>
      <c r="P235" t="str">
        <f t="shared" si="26"/>
        <v>On Time</v>
      </c>
      <c r="Q235" s="13">
        <f t="shared" si="27"/>
        <v>0.26111111103091389</v>
      </c>
      <c r="R235" s="13">
        <f t="shared" si="28"/>
        <v>1.094236111115606</v>
      </c>
      <c r="S235" s="13">
        <f t="shared" si="29"/>
        <v>1.0347106481494848</v>
      </c>
      <c r="T235" t="str">
        <f t="shared" si="30"/>
        <v>On Time/Early</v>
      </c>
      <c r="U235" t="str">
        <f t="shared" si="31"/>
        <v>Normal</v>
      </c>
      <c r="V235" t="s">
        <v>102</v>
      </c>
    </row>
    <row r="236" spans="1:22">
      <c r="A236" t="s">
        <v>517</v>
      </c>
      <c r="B236" s="10">
        <v>42890.583518518521</v>
      </c>
      <c r="C236" s="10">
        <v>42892.557615740741</v>
      </c>
      <c r="D236" s="10">
        <v>42893.592615740738</v>
      </c>
      <c r="E236" s="10">
        <v>42905.837673611109</v>
      </c>
      <c r="F236" s="10">
        <v>42920</v>
      </c>
      <c r="G236" t="s">
        <v>20</v>
      </c>
      <c r="H236" t="s">
        <v>518</v>
      </c>
      <c r="I236" t="s">
        <v>221</v>
      </c>
      <c r="J236" s="11">
        <v>1</v>
      </c>
      <c r="K236" s="12">
        <v>66.89</v>
      </c>
      <c r="L236" s="12">
        <v>27.01</v>
      </c>
      <c r="M236" s="13">
        <v>4</v>
      </c>
      <c r="N236" s="13">
        <f t="shared" si="24"/>
        <v>15.254155092588917</v>
      </c>
      <c r="O236" s="13">
        <f t="shared" si="25"/>
        <v>0</v>
      </c>
      <c r="P236" t="str">
        <f t="shared" si="26"/>
        <v>On Time</v>
      </c>
      <c r="Q236" s="13">
        <f t="shared" si="27"/>
        <v>47.378333333297633</v>
      </c>
      <c r="R236" s="13">
        <f t="shared" si="28"/>
        <v>1.0349999999962165</v>
      </c>
      <c r="S236" s="13">
        <f t="shared" si="29"/>
        <v>12.245057870371966</v>
      </c>
      <c r="T236" t="str">
        <f t="shared" si="30"/>
        <v>On Time/Early</v>
      </c>
      <c r="U236" t="str">
        <f t="shared" si="31"/>
        <v>Normal</v>
      </c>
      <c r="V236" t="s">
        <v>102</v>
      </c>
    </row>
    <row r="237" spans="1:22">
      <c r="A237" t="s">
        <v>519</v>
      </c>
      <c r="B237" s="10">
        <v>42890.725671296299</v>
      </c>
      <c r="C237" s="10">
        <v>42890.732858796298</v>
      </c>
      <c r="D237" s="10">
        <v>42891.465266203704</v>
      </c>
      <c r="E237" s="10">
        <v>42898.640543981484</v>
      </c>
      <c r="F237" s="10">
        <v>42914</v>
      </c>
      <c r="G237" t="s">
        <v>8</v>
      </c>
      <c r="H237" t="s">
        <v>520</v>
      </c>
      <c r="I237" t="s">
        <v>154</v>
      </c>
      <c r="J237" s="11">
        <v>1</v>
      </c>
      <c r="K237" s="12">
        <v>109.99</v>
      </c>
      <c r="L237" s="12">
        <v>21.26</v>
      </c>
      <c r="M237" s="13">
        <v>5</v>
      </c>
      <c r="N237" s="13">
        <f t="shared" si="24"/>
        <v>7.9148726851854008</v>
      </c>
      <c r="O237" s="13">
        <f t="shared" si="25"/>
        <v>0</v>
      </c>
      <c r="P237" t="str">
        <f t="shared" si="26"/>
        <v>On Time</v>
      </c>
      <c r="Q237" s="13">
        <f t="shared" si="27"/>
        <v>0.17249999998603016</v>
      </c>
      <c r="R237" s="13">
        <f t="shared" si="28"/>
        <v>0.73240740740584442</v>
      </c>
      <c r="S237" s="13">
        <f t="shared" si="29"/>
        <v>7.1752777777801384</v>
      </c>
      <c r="T237" t="str">
        <f t="shared" si="30"/>
        <v>On Time/Early</v>
      </c>
      <c r="U237" t="str">
        <f t="shared" si="31"/>
        <v>Normal</v>
      </c>
      <c r="V237" t="s">
        <v>102</v>
      </c>
    </row>
    <row r="238" spans="1:22">
      <c r="A238" t="s">
        <v>521</v>
      </c>
      <c r="B238" s="10">
        <v>42891.667291666665</v>
      </c>
      <c r="C238" s="10">
        <v>42891.732766203706</v>
      </c>
      <c r="D238" s="10">
        <v>42892.629537037035</v>
      </c>
      <c r="E238" s="10">
        <v>42908.668414351851</v>
      </c>
      <c r="F238" s="10">
        <v>42905</v>
      </c>
      <c r="G238" t="s">
        <v>8</v>
      </c>
      <c r="H238" t="s">
        <v>522</v>
      </c>
      <c r="I238" t="s">
        <v>9</v>
      </c>
      <c r="J238" s="11">
        <v>1</v>
      </c>
      <c r="K238" s="12">
        <v>75</v>
      </c>
      <c r="L238" s="12">
        <v>7.78</v>
      </c>
      <c r="M238" s="13">
        <v>1</v>
      </c>
      <c r="N238" s="13">
        <f t="shared" si="24"/>
        <v>17.001122685185692</v>
      </c>
      <c r="O238" s="13">
        <f t="shared" si="25"/>
        <v>3.6684143518505152</v>
      </c>
      <c r="P238" t="str">
        <f t="shared" si="26"/>
        <v>Delayed</v>
      </c>
      <c r="Q238" s="13">
        <f t="shared" si="27"/>
        <v>1.5713888889877126</v>
      </c>
      <c r="R238" s="13">
        <f t="shared" si="28"/>
        <v>0.89677083332935581</v>
      </c>
      <c r="S238" s="13">
        <f t="shared" si="29"/>
        <v>16.038877314815181</v>
      </c>
      <c r="T238" t="str">
        <f t="shared" si="30"/>
        <v>4-7 Days Late</v>
      </c>
      <c r="U238" t="str">
        <f t="shared" si="31"/>
        <v>Needs Review</v>
      </c>
      <c r="V238" t="s">
        <v>102</v>
      </c>
    </row>
    <row r="239" spans="1:22">
      <c r="A239" t="s">
        <v>523</v>
      </c>
      <c r="B239" s="10">
        <v>42891.80568287037</v>
      </c>
      <c r="C239" s="10">
        <v>42891.812708333331</v>
      </c>
      <c r="D239" s="10">
        <v>42893.474374999998</v>
      </c>
      <c r="E239" s="10">
        <v>42899.589826388888</v>
      </c>
      <c r="F239" s="10">
        <v>42913</v>
      </c>
      <c r="G239" t="s">
        <v>8</v>
      </c>
      <c r="H239" t="s">
        <v>309</v>
      </c>
      <c r="I239" t="s">
        <v>180</v>
      </c>
      <c r="J239" s="11">
        <v>1</v>
      </c>
      <c r="K239" s="12">
        <v>89.9</v>
      </c>
      <c r="L239" s="12">
        <v>12.13</v>
      </c>
      <c r="M239" s="13"/>
      <c r="N239" s="13">
        <f t="shared" si="24"/>
        <v>7.784143518518249</v>
      </c>
      <c r="O239" s="13">
        <f t="shared" si="25"/>
        <v>0</v>
      </c>
      <c r="P239" t="str">
        <f t="shared" si="26"/>
        <v>On Time</v>
      </c>
      <c r="Q239" s="13">
        <f t="shared" si="27"/>
        <v>0.16861111106118187</v>
      </c>
      <c r="R239" s="13">
        <f t="shared" si="28"/>
        <v>1.6616666666668607</v>
      </c>
      <c r="S239" s="13">
        <f t="shared" si="29"/>
        <v>6.1154513888905058</v>
      </c>
      <c r="T239" t="str">
        <f t="shared" si="30"/>
        <v>On Time/Early</v>
      </c>
      <c r="U239" t="str">
        <f t="shared" si="31"/>
        <v>Normal</v>
      </c>
      <c r="V239" t="s">
        <v>102</v>
      </c>
    </row>
    <row r="240" spans="1:22">
      <c r="A240" t="s">
        <v>524</v>
      </c>
      <c r="B240" s="10">
        <v>42891.884733796294</v>
      </c>
      <c r="C240" s="10">
        <v>42893.114918981482</v>
      </c>
      <c r="D240" s="10">
        <v>42894.706608796296</v>
      </c>
      <c r="E240" s="10">
        <v>42902.594189814816</v>
      </c>
      <c r="F240" s="10">
        <v>42914</v>
      </c>
      <c r="G240" t="s">
        <v>20</v>
      </c>
      <c r="H240" t="s">
        <v>525</v>
      </c>
      <c r="I240" t="s">
        <v>118</v>
      </c>
      <c r="J240" s="11">
        <v>1</v>
      </c>
      <c r="K240" s="12">
        <v>18.989999999999998</v>
      </c>
      <c r="L240" s="12">
        <v>15.1</v>
      </c>
      <c r="M240" s="13">
        <v>5</v>
      </c>
      <c r="N240" s="13">
        <f t="shared" si="24"/>
        <v>10.70945601852145</v>
      </c>
      <c r="O240" s="13">
        <f t="shared" si="25"/>
        <v>0</v>
      </c>
      <c r="P240" t="str">
        <f t="shared" si="26"/>
        <v>On Time</v>
      </c>
      <c r="Q240" s="13">
        <f t="shared" si="27"/>
        <v>29.524444444512483</v>
      </c>
      <c r="R240" s="13">
        <f t="shared" si="28"/>
        <v>1.5916898148134351</v>
      </c>
      <c r="S240" s="13">
        <f t="shared" si="29"/>
        <v>7.8875810185199953</v>
      </c>
      <c r="T240" t="str">
        <f t="shared" si="30"/>
        <v>On Time/Early</v>
      </c>
      <c r="U240" t="str">
        <f t="shared" si="31"/>
        <v>Normal</v>
      </c>
      <c r="V240" t="s">
        <v>102</v>
      </c>
    </row>
    <row r="241" spans="1:22">
      <c r="A241" t="s">
        <v>526</v>
      </c>
      <c r="B241" s="10">
        <v>42892.872835648152</v>
      </c>
      <c r="C241" s="10">
        <v>42892.923900462964</v>
      </c>
      <c r="D241" s="10">
        <v>42894.615844907406</v>
      </c>
      <c r="E241" s="10">
        <v>42898.724293981482</v>
      </c>
      <c r="F241" s="10">
        <v>42906</v>
      </c>
      <c r="G241" t="s">
        <v>8</v>
      </c>
      <c r="H241" t="s">
        <v>108</v>
      </c>
      <c r="I241" t="s">
        <v>221</v>
      </c>
      <c r="J241" s="11">
        <v>1</v>
      </c>
      <c r="K241" s="12">
        <v>169.9</v>
      </c>
      <c r="L241" s="12">
        <v>8.77</v>
      </c>
      <c r="M241" s="13">
        <v>5</v>
      </c>
      <c r="N241" s="13">
        <f t="shared" si="24"/>
        <v>5.851458333330811</v>
      </c>
      <c r="O241" s="13">
        <f t="shared" si="25"/>
        <v>0</v>
      </c>
      <c r="P241" t="str">
        <f t="shared" si="26"/>
        <v>On Time</v>
      </c>
      <c r="Q241" s="13">
        <f t="shared" si="27"/>
        <v>1.2255555554875173</v>
      </c>
      <c r="R241" s="13">
        <f t="shared" si="28"/>
        <v>1.6919444444429246</v>
      </c>
      <c r="S241" s="13">
        <f t="shared" si="29"/>
        <v>4.1084490740759065</v>
      </c>
      <c r="T241" t="str">
        <f t="shared" si="30"/>
        <v>On Time/Early</v>
      </c>
      <c r="U241" t="str">
        <f t="shared" si="31"/>
        <v>Normal</v>
      </c>
      <c r="V241" t="s">
        <v>102</v>
      </c>
    </row>
    <row r="242" spans="1:22">
      <c r="A242" t="s">
        <v>527</v>
      </c>
      <c r="B242" s="10">
        <v>42892.976134259261</v>
      </c>
      <c r="C242" s="10">
        <v>42892.982974537037</v>
      </c>
      <c r="D242" s="10">
        <v>42894.576574074075</v>
      </c>
      <c r="E242" s="10">
        <v>42898.484537037039</v>
      </c>
      <c r="F242" s="10">
        <v>42913</v>
      </c>
      <c r="G242" t="s">
        <v>8</v>
      </c>
      <c r="H242" t="s">
        <v>528</v>
      </c>
      <c r="I242" t="s">
        <v>136</v>
      </c>
      <c r="J242" s="11">
        <v>1</v>
      </c>
      <c r="K242" s="12">
        <v>113.9</v>
      </c>
      <c r="L242" s="12">
        <v>12.3</v>
      </c>
      <c r="M242" s="13">
        <v>5</v>
      </c>
      <c r="N242" s="13">
        <f t="shared" si="24"/>
        <v>5.5084027777775191</v>
      </c>
      <c r="O242" s="13">
        <f t="shared" si="25"/>
        <v>0</v>
      </c>
      <c r="P242" t="str">
        <f t="shared" si="26"/>
        <v>On Time</v>
      </c>
      <c r="Q242" s="13">
        <f t="shared" si="27"/>
        <v>0.16416666662553325</v>
      </c>
      <c r="R242" s="13">
        <f t="shared" si="28"/>
        <v>1.5935995370382443</v>
      </c>
      <c r="S242" s="13">
        <f t="shared" si="29"/>
        <v>3.9079629629632109</v>
      </c>
      <c r="T242" t="str">
        <f t="shared" si="30"/>
        <v>On Time/Early</v>
      </c>
      <c r="U242" t="str">
        <f t="shared" si="31"/>
        <v>Normal</v>
      </c>
      <c r="V242" t="s">
        <v>102</v>
      </c>
    </row>
    <row r="243" spans="1:22">
      <c r="A243" t="s">
        <v>529</v>
      </c>
      <c r="B243" s="10">
        <v>42893.913923611108</v>
      </c>
      <c r="C243" s="10">
        <v>42893.920277777775</v>
      </c>
      <c r="D243" s="10">
        <v>42894.613645833335</v>
      </c>
      <c r="E243" s="10">
        <v>42905.899641203701</v>
      </c>
      <c r="F243" s="10">
        <v>42916</v>
      </c>
      <c r="G243" t="s">
        <v>20</v>
      </c>
      <c r="H243" t="s">
        <v>530</v>
      </c>
      <c r="I243" t="s">
        <v>112</v>
      </c>
      <c r="J243" s="11">
        <v>1</v>
      </c>
      <c r="K243" s="12">
        <v>76.89</v>
      </c>
      <c r="L243" s="12">
        <v>16.3</v>
      </c>
      <c r="M243" s="13">
        <v>4</v>
      </c>
      <c r="N243" s="13">
        <f t="shared" si="24"/>
        <v>11.985717592593573</v>
      </c>
      <c r="O243" s="13">
        <f t="shared" si="25"/>
        <v>0</v>
      </c>
      <c r="P243" t="str">
        <f t="shared" si="26"/>
        <v>On Time</v>
      </c>
      <c r="Q243" s="13">
        <f t="shared" si="27"/>
        <v>0.15250000002561137</v>
      </c>
      <c r="R243" s="13">
        <f t="shared" si="28"/>
        <v>0.69336805555940373</v>
      </c>
      <c r="S243" s="13">
        <f t="shared" si="29"/>
        <v>11.285995370366436</v>
      </c>
      <c r="T243" t="str">
        <f t="shared" si="30"/>
        <v>On Time/Early</v>
      </c>
      <c r="U243" t="str">
        <f t="shared" si="31"/>
        <v>Normal</v>
      </c>
      <c r="V243" t="s">
        <v>102</v>
      </c>
    </row>
    <row r="244" spans="1:22">
      <c r="A244" t="s">
        <v>531</v>
      </c>
      <c r="B244" s="10">
        <v>42894.552060185182</v>
      </c>
      <c r="C244" s="10">
        <v>42895.107824074075</v>
      </c>
      <c r="D244" s="10">
        <v>42895.666342592594</v>
      </c>
      <c r="E244" s="10">
        <v>42898.7346412037</v>
      </c>
      <c r="F244" s="10">
        <v>42908</v>
      </c>
      <c r="G244" t="s">
        <v>8</v>
      </c>
      <c r="H244" t="s">
        <v>140</v>
      </c>
      <c r="I244" t="s">
        <v>101</v>
      </c>
      <c r="J244" s="11">
        <v>1</v>
      </c>
      <c r="K244" s="12">
        <v>49.99</v>
      </c>
      <c r="L244" s="12">
        <v>9.34</v>
      </c>
      <c r="M244" s="13">
        <v>5</v>
      </c>
      <c r="N244" s="13">
        <f t="shared" si="24"/>
        <v>4.182581018518249</v>
      </c>
      <c r="O244" s="13">
        <f t="shared" si="25"/>
        <v>0</v>
      </c>
      <c r="P244" t="str">
        <f t="shared" si="26"/>
        <v>On Time</v>
      </c>
      <c r="Q244" s="13">
        <f t="shared" si="27"/>
        <v>13.338333333435003</v>
      </c>
      <c r="R244" s="13">
        <f t="shared" si="28"/>
        <v>0.55851851851912215</v>
      </c>
      <c r="S244" s="13">
        <f t="shared" si="29"/>
        <v>3.0682986111060018</v>
      </c>
      <c r="T244" t="str">
        <f t="shared" si="30"/>
        <v>On Time/Early</v>
      </c>
      <c r="U244" t="str">
        <f t="shared" si="31"/>
        <v>Normal</v>
      </c>
      <c r="V244" t="s">
        <v>102</v>
      </c>
    </row>
    <row r="245" spans="1:22">
      <c r="A245" t="s">
        <v>532</v>
      </c>
      <c r="B245" s="10">
        <v>42894.915358796294</v>
      </c>
      <c r="C245" s="10">
        <v>42894.923761574071</v>
      </c>
      <c r="D245" s="10">
        <v>42895.590081018519</v>
      </c>
      <c r="E245" s="10">
        <v>42907.720486111109</v>
      </c>
      <c r="F245" s="10">
        <v>42919</v>
      </c>
      <c r="G245" t="s">
        <v>8</v>
      </c>
      <c r="H245" t="s">
        <v>533</v>
      </c>
      <c r="I245" t="s">
        <v>185</v>
      </c>
      <c r="J245" s="11">
        <v>1</v>
      </c>
      <c r="K245" s="12">
        <v>155.75</v>
      </c>
      <c r="L245" s="12">
        <v>17.34</v>
      </c>
      <c r="M245" s="13">
        <v>4</v>
      </c>
      <c r="N245" s="13">
        <f t="shared" si="24"/>
        <v>12.805127314815763</v>
      </c>
      <c r="O245" s="13">
        <f t="shared" si="25"/>
        <v>0</v>
      </c>
      <c r="P245" t="str">
        <f t="shared" si="26"/>
        <v>On Time</v>
      </c>
      <c r="Q245" s="13">
        <f t="shared" si="27"/>
        <v>0.20166666666045785</v>
      </c>
      <c r="R245" s="13">
        <f t="shared" si="28"/>
        <v>0.66631944444816327</v>
      </c>
      <c r="S245" s="13">
        <f t="shared" si="29"/>
        <v>12.130405092590081</v>
      </c>
      <c r="T245" t="str">
        <f t="shared" si="30"/>
        <v>On Time/Early</v>
      </c>
      <c r="U245" t="str">
        <f t="shared" si="31"/>
        <v>Normal</v>
      </c>
      <c r="V245" t="s">
        <v>102</v>
      </c>
    </row>
    <row r="246" spans="1:22">
      <c r="A246" t="s">
        <v>534</v>
      </c>
      <c r="B246" s="10">
        <v>42894.948877314811</v>
      </c>
      <c r="C246" s="10">
        <v>42894.954953703702</v>
      </c>
      <c r="D246" s="10">
        <v>42900.33699074074</v>
      </c>
      <c r="E246" s="10">
        <v>42908.356979166667</v>
      </c>
      <c r="F246" s="10">
        <v>42920</v>
      </c>
      <c r="G246" t="s">
        <v>33</v>
      </c>
      <c r="H246" t="s">
        <v>535</v>
      </c>
      <c r="I246" t="s">
        <v>180</v>
      </c>
      <c r="J246" s="11">
        <v>1</v>
      </c>
      <c r="K246" s="12">
        <v>338.5</v>
      </c>
      <c r="L246" s="12">
        <v>79.39</v>
      </c>
      <c r="M246" s="13">
        <v>5</v>
      </c>
      <c r="N246" s="13">
        <f t="shared" si="24"/>
        <v>13.408101851855463</v>
      </c>
      <c r="O246" s="13">
        <f t="shared" si="25"/>
        <v>0</v>
      </c>
      <c r="P246" t="str">
        <f t="shared" si="26"/>
        <v>On Time</v>
      </c>
      <c r="Q246" s="13">
        <f t="shared" si="27"/>
        <v>0.14583333337213844</v>
      </c>
      <c r="R246" s="13">
        <f t="shared" si="28"/>
        <v>5.3820370370376622</v>
      </c>
      <c r="S246" s="13">
        <f t="shared" si="29"/>
        <v>8.0199884259272949</v>
      </c>
      <c r="T246" t="str">
        <f t="shared" si="30"/>
        <v>On Time/Early</v>
      </c>
      <c r="U246" t="str">
        <f t="shared" si="31"/>
        <v>Normal</v>
      </c>
      <c r="V246" t="s">
        <v>102</v>
      </c>
    </row>
    <row r="247" spans="1:22">
      <c r="A247" t="s">
        <v>536</v>
      </c>
      <c r="B247" s="10">
        <v>42895.2422337963</v>
      </c>
      <c r="C247" s="10">
        <v>42896.127638888887</v>
      </c>
      <c r="D247" s="10">
        <v>42898.296122685184</v>
      </c>
      <c r="E247" s="10">
        <v>42905.518182870372</v>
      </c>
      <c r="F247" s="10">
        <v>42920</v>
      </c>
      <c r="G247" t="s">
        <v>20</v>
      </c>
      <c r="H247" t="s">
        <v>537</v>
      </c>
      <c r="I247" t="s">
        <v>17</v>
      </c>
      <c r="J247" s="11">
        <v>1</v>
      </c>
      <c r="K247" s="12">
        <v>80</v>
      </c>
      <c r="L247" s="12">
        <v>15.32</v>
      </c>
      <c r="M247" s="13">
        <v>5</v>
      </c>
      <c r="N247" s="13">
        <f t="shared" si="24"/>
        <v>10.275949074071832</v>
      </c>
      <c r="O247" s="13">
        <f t="shared" si="25"/>
        <v>0</v>
      </c>
      <c r="P247" t="str">
        <f t="shared" si="26"/>
        <v>On Time</v>
      </c>
      <c r="Q247" s="13">
        <f t="shared" si="27"/>
        <v>21.249722222099081</v>
      </c>
      <c r="R247" s="13">
        <f t="shared" si="28"/>
        <v>2.1684837962966412</v>
      </c>
      <c r="S247" s="13">
        <f t="shared" si="29"/>
        <v>7.2220601851877291</v>
      </c>
      <c r="T247" t="str">
        <f t="shared" si="30"/>
        <v>On Time/Early</v>
      </c>
      <c r="U247" t="str">
        <f t="shared" si="31"/>
        <v>Normal</v>
      </c>
      <c r="V247" t="s">
        <v>102</v>
      </c>
    </row>
    <row r="248" spans="1:22">
      <c r="A248" t="s">
        <v>538</v>
      </c>
      <c r="B248" s="10">
        <v>42895.432708333334</v>
      </c>
      <c r="C248" s="10">
        <v>42895.442280092589</v>
      </c>
      <c r="D248" s="10">
        <v>42899.602824074071</v>
      </c>
      <c r="E248" s="10">
        <v>42909.492581018516</v>
      </c>
      <c r="F248" s="10">
        <v>42922</v>
      </c>
      <c r="G248" t="s">
        <v>43</v>
      </c>
      <c r="H248" t="s">
        <v>401</v>
      </c>
      <c r="I248" t="s">
        <v>58</v>
      </c>
      <c r="J248" s="11">
        <v>1</v>
      </c>
      <c r="K248" s="12">
        <v>119.9</v>
      </c>
      <c r="L248" s="12">
        <v>36.18</v>
      </c>
      <c r="M248" s="13">
        <v>4</v>
      </c>
      <c r="N248" s="13">
        <f t="shared" si="24"/>
        <v>14.059872685182199</v>
      </c>
      <c r="O248" s="13">
        <f t="shared" si="25"/>
        <v>0</v>
      </c>
      <c r="P248" t="str">
        <f t="shared" si="26"/>
        <v>On Time</v>
      </c>
      <c r="Q248" s="13">
        <f t="shared" si="27"/>
        <v>0.22972222213866189</v>
      </c>
      <c r="R248" s="13">
        <f t="shared" si="28"/>
        <v>4.1605439814811689</v>
      </c>
      <c r="S248" s="13">
        <f t="shared" si="29"/>
        <v>9.8897569444452529</v>
      </c>
      <c r="T248" t="str">
        <f t="shared" si="30"/>
        <v>On Time/Early</v>
      </c>
      <c r="U248" t="str">
        <f t="shared" si="31"/>
        <v>Normal</v>
      </c>
      <c r="V248" t="s">
        <v>102</v>
      </c>
    </row>
    <row r="249" spans="1:22">
      <c r="A249" t="s">
        <v>539</v>
      </c>
      <c r="B249" s="10">
        <v>42895.508310185185</v>
      </c>
      <c r="C249" s="10">
        <v>42895.545613425929</v>
      </c>
      <c r="D249" s="10">
        <v>42895.609490740739</v>
      </c>
      <c r="E249" s="10">
        <v>42900.594409722224</v>
      </c>
      <c r="F249" s="10">
        <v>42919</v>
      </c>
      <c r="G249" t="s">
        <v>8</v>
      </c>
      <c r="H249" t="s">
        <v>540</v>
      </c>
      <c r="I249" t="s">
        <v>143</v>
      </c>
      <c r="J249" s="11">
        <v>1</v>
      </c>
      <c r="K249" s="12">
        <v>219.9</v>
      </c>
      <c r="L249" s="12">
        <v>13.04</v>
      </c>
      <c r="M249" s="13">
        <v>5</v>
      </c>
      <c r="N249" s="13">
        <f t="shared" si="24"/>
        <v>5.0860995370385353</v>
      </c>
      <c r="O249" s="13">
        <f t="shared" si="25"/>
        <v>0</v>
      </c>
      <c r="P249" t="str">
        <f t="shared" si="26"/>
        <v>On Time</v>
      </c>
      <c r="Q249" s="13">
        <f t="shared" si="27"/>
        <v>0.89527777786133811</v>
      </c>
      <c r="R249" s="13">
        <f t="shared" si="28"/>
        <v>6.3877314809360541E-2</v>
      </c>
      <c r="S249" s="13">
        <f t="shared" si="29"/>
        <v>4.9849189814849524</v>
      </c>
      <c r="T249" t="str">
        <f t="shared" si="30"/>
        <v>On Time/Early</v>
      </c>
      <c r="U249" t="str">
        <f t="shared" si="31"/>
        <v>Normal</v>
      </c>
      <c r="V249" t="s">
        <v>102</v>
      </c>
    </row>
    <row r="250" spans="1:22">
      <c r="A250" t="s">
        <v>541</v>
      </c>
      <c r="B250" s="10">
        <v>42895.995266203703</v>
      </c>
      <c r="C250" s="10">
        <v>42896.007719907408</v>
      </c>
      <c r="D250" s="10">
        <v>42898.381655092591</v>
      </c>
      <c r="E250" s="10">
        <v>42909.458009259259</v>
      </c>
      <c r="F250" s="10">
        <v>42930</v>
      </c>
      <c r="G250" t="s">
        <v>474</v>
      </c>
      <c r="H250" t="s">
        <v>542</v>
      </c>
      <c r="I250" t="s">
        <v>279</v>
      </c>
      <c r="J250" s="11">
        <v>1</v>
      </c>
      <c r="K250" s="12">
        <v>49</v>
      </c>
      <c r="L250" s="12">
        <v>34.15</v>
      </c>
      <c r="M250" s="13">
        <v>3</v>
      </c>
      <c r="N250" s="13">
        <f t="shared" si="24"/>
        <v>13.46274305555562</v>
      </c>
      <c r="O250" s="13">
        <f t="shared" si="25"/>
        <v>0</v>
      </c>
      <c r="P250" t="str">
        <f t="shared" si="26"/>
        <v>On Time</v>
      </c>
      <c r="Q250" s="13">
        <f t="shared" si="27"/>
        <v>0.29888888890855014</v>
      </c>
      <c r="R250" s="13">
        <f t="shared" si="28"/>
        <v>2.3739351851836545</v>
      </c>
      <c r="S250" s="13">
        <f t="shared" si="29"/>
        <v>11.076354166667443</v>
      </c>
      <c r="T250" t="str">
        <f t="shared" si="30"/>
        <v>On Time/Early</v>
      </c>
      <c r="U250" t="str">
        <f t="shared" si="31"/>
        <v>Normal</v>
      </c>
      <c r="V250" t="s">
        <v>102</v>
      </c>
    </row>
    <row r="251" spans="1:22">
      <c r="A251" t="s">
        <v>543</v>
      </c>
      <c r="B251" s="10">
        <v>42896.605844907404</v>
      </c>
      <c r="C251" s="10">
        <v>42897.612673611111</v>
      </c>
      <c r="D251" s="10">
        <v>42898.433541666665</v>
      </c>
      <c r="E251" s="10">
        <v>42908.560243055559</v>
      </c>
      <c r="F251" s="10">
        <v>42921</v>
      </c>
      <c r="G251" t="s">
        <v>20</v>
      </c>
      <c r="H251" t="s">
        <v>544</v>
      </c>
      <c r="I251" t="s">
        <v>235</v>
      </c>
      <c r="J251" s="11">
        <v>1</v>
      </c>
      <c r="K251" s="12">
        <v>59.9</v>
      </c>
      <c r="L251" s="12">
        <v>15.17</v>
      </c>
      <c r="M251" s="13">
        <v>5</v>
      </c>
      <c r="N251" s="13">
        <f t="shared" si="24"/>
        <v>11.954398148154723</v>
      </c>
      <c r="O251" s="13">
        <f t="shared" si="25"/>
        <v>0</v>
      </c>
      <c r="P251" t="str">
        <f t="shared" si="26"/>
        <v>On Time</v>
      </c>
      <c r="Q251" s="13">
        <f t="shared" si="27"/>
        <v>24.163888888957445</v>
      </c>
      <c r="R251" s="13">
        <f t="shared" si="28"/>
        <v>0.82086805555445608</v>
      </c>
      <c r="S251" s="13">
        <f t="shared" si="29"/>
        <v>10.126701388893707</v>
      </c>
      <c r="T251" t="str">
        <f t="shared" si="30"/>
        <v>On Time/Early</v>
      </c>
      <c r="U251" t="str">
        <f t="shared" si="31"/>
        <v>Normal</v>
      </c>
      <c r="V251" t="s">
        <v>102</v>
      </c>
    </row>
    <row r="252" spans="1:22">
      <c r="A252" t="s">
        <v>545</v>
      </c>
      <c r="B252" s="10">
        <v>42896.697465277779</v>
      </c>
      <c r="C252" s="10">
        <v>42896.705081018517</v>
      </c>
      <c r="D252" s="10">
        <v>42899.423009259262</v>
      </c>
      <c r="E252" s="10">
        <v>42900.523877314816</v>
      </c>
      <c r="F252" s="10">
        <v>42915</v>
      </c>
      <c r="G252" t="s">
        <v>8</v>
      </c>
      <c r="H252" t="s">
        <v>140</v>
      </c>
      <c r="I252" t="s">
        <v>58</v>
      </c>
      <c r="J252" s="11">
        <v>1</v>
      </c>
      <c r="K252" s="12">
        <v>19.989999999999998</v>
      </c>
      <c r="L252" s="12">
        <v>7.78</v>
      </c>
      <c r="M252" s="13">
        <v>5</v>
      </c>
      <c r="N252" s="13">
        <f t="shared" si="24"/>
        <v>3.8264120370367891</v>
      </c>
      <c r="O252" s="13">
        <f t="shared" si="25"/>
        <v>0</v>
      </c>
      <c r="P252" t="str">
        <f t="shared" si="26"/>
        <v>On Time</v>
      </c>
      <c r="Q252" s="13">
        <f t="shared" si="27"/>
        <v>0.18277777772163972</v>
      </c>
      <c r="R252" s="13">
        <f t="shared" si="28"/>
        <v>2.7179282407450955</v>
      </c>
      <c r="S252" s="13">
        <f t="shared" si="29"/>
        <v>1.1008680555532919</v>
      </c>
      <c r="T252" t="str">
        <f t="shared" si="30"/>
        <v>On Time/Early</v>
      </c>
      <c r="U252" t="str">
        <f t="shared" si="31"/>
        <v>Normal</v>
      </c>
      <c r="V252" t="s">
        <v>102</v>
      </c>
    </row>
    <row r="253" spans="1:22">
      <c r="A253" t="s">
        <v>546</v>
      </c>
      <c r="B253" s="10">
        <v>42897.473749999997</v>
      </c>
      <c r="C253" s="10">
        <v>42897.482719907406</v>
      </c>
      <c r="D253" s="10">
        <v>42900.545162037037</v>
      </c>
      <c r="E253" s="10">
        <v>42905.879780092589</v>
      </c>
      <c r="F253" s="10">
        <v>42921</v>
      </c>
      <c r="G253" t="s">
        <v>43</v>
      </c>
      <c r="H253" t="s">
        <v>318</v>
      </c>
      <c r="I253" t="s">
        <v>143</v>
      </c>
      <c r="J253" s="11">
        <v>1</v>
      </c>
      <c r="K253" s="12">
        <v>99.9</v>
      </c>
      <c r="L253" s="12">
        <v>19.940000000000001</v>
      </c>
      <c r="M253" s="13">
        <v>4</v>
      </c>
      <c r="N253" s="13">
        <f t="shared" si="24"/>
        <v>8.4060300925921183</v>
      </c>
      <c r="O253" s="13">
        <f t="shared" si="25"/>
        <v>0</v>
      </c>
      <c r="P253" t="str">
        <f t="shared" si="26"/>
        <v>On Time</v>
      </c>
      <c r="Q253" s="13">
        <f t="shared" si="27"/>
        <v>0.21527777781011537</v>
      </c>
      <c r="R253" s="13">
        <f t="shared" si="28"/>
        <v>3.0624421296306537</v>
      </c>
      <c r="S253" s="13">
        <f t="shared" si="29"/>
        <v>5.3346180555527098</v>
      </c>
      <c r="T253" t="str">
        <f t="shared" si="30"/>
        <v>On Time/Early</v>
      </c>
      <c r="U253" t="str">
        <f t="shared" si="31"/>
        <v>Normal</v>
      </c>
      <c r="V253" t="s">
        <v>102</v>
      </c>
    </row>
    <row r="254" spans="1:22">
      <c r="A254" t="s">
        <v>547</v>
      </c>
      <c r="B254" s="10">
        <v>42897.49560185185</v>
      </c>
      <c r="C254" s="10">
        <v>42897.510706018518</v>
      </c>
      <c r="D254" s="10">
        <v>42900.599097222221</v>
      </c>
      <c r="E254" s="10">
        <v>42912.648310185185</v>
      </c>
      <c r="F254" s="10">
        <v>42923</v>
      </c>
      <c r="G254" t="s">
        <v>30</v>
      </c>
      <c r="H254" t="s">
        <v>365</v>
      </c>
      <c r="I254" t="s">
        <v>118</v>
      </c>
      <c r="J254" s="11">
        <v>1</v>
      </c>
      <c r="K254" s="12">
        <v>11.99</v>
      </c>
      <c r="L254" s="12">
        <v>14.1</v>
      </c>
      <c r="M254" s="13">
        <v>5</v>
      </c>
      <c r="N254" s="13">
        <f t="shared" si="24"/>
        <v>15.152708333334886</v>
      </c>
      <c r="O254" s="13">
        <f t="shared" si="25"/>
        <v>0</v>
      </c>
      <c r="P254" t="str">
        <f t="shared" si="26"/>
        <v>On Time</v>
      </c>
      <c r="Q254" s="13">
        <f t="shared" si="27"/>
        <v>0.36250000004656613</v>
      </c>
      <c r="R254" s="13">
        <f t="shared" si="28"/>
        <v>3.0883912037024857</v>
      </c>
      <c r="S254" s="13">
        <f t="shared" si="29"/>
        <v>12.049212962963793</v>
      </c>
      <c r="T254" t="str">
        <f t="shared" si="30"/>
        <v>On Time/Early</v>
      </c>
      <c r="U254" t="str">
        <f t="shared" si="31"/>
        <v>Normal</v>
      </c>
      <c r="V254" t="s">
        <v>102</v>
      </c>
    </row>
    <row r="255" spans="1:22">
      <c r="A255" t="s">
        <v>548</v>
      </c>
      <c r="B255" s="10">
        <v>42897.601168981484</v>
      </c>
      <c r="C255" s="10">
        <v>42897.607870370368</v>
      </c>
      <c r="D255" s="10">
        <v>42902.436076388891</v>
      </c>
      <c r="E255" s="10">
        <v>42912.669872685183</v>
      </c>
      <c r="F255" s="10">
        <v>42923</v>
      </c>
      <c r="G255" t="s">
        <v>30</v>
      </c>
      <c r="H255" t="s">
        <v>549</v>
      </c>
      <c r="I255" t="s">
        <v>112</v>
      </c>
      <c r="J255" s="11">
        <v>1</v>
      </c>
      <c r="K255" s="12">
        <v>54.9</v>
      </c>
      <c r="L255" s="12">
        <v>14.13</v>
      </c>
      <c r="M255" s="13">
        <v>5</v>
      </c>
      <c r="N255" s="13">
        <f t="shared" si="24"/>
        <v>15.068703703698702</v>
      </c>
      <c r="O255" s="13">
        <f t="shared" si="25"/>
        <v>0</v>
      </c>
      <c r="P255" t="str">
        <f t="shared" si="26"/>
        <v>On Time</v>
      </c>
      <c r="Q255" s="13">
        <f t="shared" si="27"/>
        <v>0.1608333332114853</v>
      </c>
      <c r="R255" s="13">
        <f t="shared" si="28"/>
        <v>4.8282060185229057</v>
      </c>
      <c r="S255" s="13">
        <f t="shared" si="29"/>
        <v>10.233796296291985</v>
      </c>
      <c r="T255" t="str">
        <f t="shared" si="30"/>
        <v>On Time/Early</v>
      </c>
      <c r="U255" t="str">
        <f t="shared" si="31"/>
        <v>Normal</v>
      </c>
      <c r="V255" t="s">
        <v>102</v>
      </c>
    </row>
    <row r="256" spans="1:22">
      <c r="A256" t="s">
        <v>550</v>
      </c>
      <c r="B256" s="10">
        <v>42898.555960648147</v>
      </c>
      <c r="C256" s="10">
        <v>42899.15996527778</v>
      </c>
      <c r="D256" s="10">
        <v>42900.533472222225</v>
      </c>
      <c r="E256" s="10">
        <v>42910.502268518518</v>
      </c>
      <c r="F256" s="10">
        <v>42921</v>
      </c>
      <c r="G256" t="s">
        <v>16</v>
      </c>
      <c r="H256" t="s">
        <v>138</v>
      </c>
      <c r="I256" t="s">
        <v>246</v>
      </c>
      <c r="J256" s="11">
        <v>1</v>
      </c>
      <c r="K256" s="12">
        <v>89.9</v>
      </c>
      <c r="L256" s="12">
        <v>55.91</v>
      </c>
      <c r="M256" s="13">
        <v>4</v>
      </c>
      <c r="N256" s="13">
        <f t="shared" si="24"/>
        <v>11.946307870370219</v>
      </c>
      <c r="O256" s="13">
        <f t="shared" si="25"/>
        <v>0</v>
      </c>
      <c r="P256" t="str">
        <f t="shared" si="26"/>
        <v>On Time</v>
      </c>
      <c r="Q256" s="13">
        <f t="shared" si="27"/>
        <v>14.496111111191567</v>
      </c>
      <c r="R256" s="13">
        <f t="shared" si="28"/>
        <v>1.3735069444446708</v>
      </c>
      <c r="S256" s="13">
        <f t="shared" si="29"/>
        <v>9.9687962962925667</v>
      </c>
      <c r="T256" t="str">
        <f t="shared" si="30"/>
        <v>On Time/Early</v>
      </c>
      <c r="U256" t="str">
        <f t="shared" si="31"/>
        <v>Normal</v>
      </c>
      <c r="V256" t="s">
        <v>102</v>
      </c>
    </row>
    <row r="257" spans="1:22">
      <c r="A257" t="s">
        <v>551</v>
      </c>
      <c r="B257" s="10">
        <v>42898.592372685183</v>
      </c>
      <c r="C257" s="10">
        <v>42898.600868055553</v>
      </c>
      <c r="D257" s="10">
        <v>42899.618368055555</v>
      </c>
      <c r="E257" s="10">
        <v>42905.647557870368</v>
      </c>
      <c r="F257" s="10">
        <v>42919</v>
      </c>
      <c r="G257" t="s">
        <v>8</v>
      </c>
      <c r="H257" t="s">
        <v>552</v>
      </c>
      <c r="I257" t="s">
        <v>221</v>
      </c>
      <c r="J257" s="11">
        <v>1</v>
      </c>
      <c r="K257" s="12">
        <v>44</v>
      </c>
      <c r="L257" s="12">
        <v>11.85</v>
      </c>
      <c r="M257" s="13">
        <v>5</v>
      </c>
      <c r="N257" s="13">
        <f t="shared" si="24"/>
        <v>7.0551851851851097</v>
      </c>
      <c r="O257" s="13">
        <f t="shared" si="25"/>
        <v>0</v>
      </c>
      <c r="P257" t="str">
        <f t="shared" si="26"/>
        <v>On Time</v>
      </c>
      <c r="Q257" s="13">
        <f t="shared" si="27"/>
        <v>0.20388888887828216</v>
      </c>
      <c r="R257" s="13">
        <f t="shared" si="28"/>
        <v>1.0175000000017462</v>
      </c>
      <c r="S257" s="13">
        <f t="shared" si="29"/>
        <v>6.0291898148134351</v>
      </c>
      <c r="T257" t="str">
        <f t="shared" si="30"/>
        <v>On Time/Early</v>
      </c>
      <c r="U257" t="str">
        <f t="shared" si="31"/>
        <v>Normal</v>
      </c>
      <c r="V257" t="s">
        <v>102</v>
      </c>
    </row>
    <row r="258" spans="1:22">
      <c r="A258" t="s">
        <v>553</v>
      </c>
      <c r="B258" s="10">
        <v>42899.405868055554</v>
      </c>
      <c r="C258" s="10">
        <v>42899.413368055553</v>
      </c>
      <c r="D258" s="10">
        <v>42902.686724537038</v>
      </c>
      <c r="E258" s="10">
        <v>42913.596631944441</v>
      </c>
      <c r="F258" s="10">
        <v>42926</v>
      </c>
      <c r="G258" t="s">
        <v>30</v>
      </c>
      <c r="H258" t="s">
        <v>365</v>
      </c>
      <c r="I258" t="s">
        <v>128</v>
      </c>
      <c r="J258" s="11">
        <v>1</v>
      </c>
      <c r="K258" s="12">
        <v>159.9</v>
      </c>
      <c r="L258" s="12">
        <v>21.61</v>
      </c>
      <c r="M258" s="13">
        <v>5</v>
      </c>
      <c r="N258" s="13">
        <f t="shared" ref="N258:N321" si="32">IFERROR(E258-B258,"")</f>
        <v>14.190763888887886</v>
      </c>
      <c r="O258" s="13">
        <f t="shared" ref="O258:O321" si="33">IFERROR(MAX(0,E258-F258),"")</f>
        <v>0</v>
      </c>
      <c r="P258" t="str">
        <f t="shared" ref="P258:P321" si="34">IF(O258&gt;0,"Delayed","On Time")</f>
        <v>On Time</v>
      </c>
      <c r="Q258" s="13">
        <f t="shared" ref="Q258:Q321" si="35">IFERROR((C258-B258)*24,"")</f>
        <v>0.17999999999301508</v>
      </c>
      <c r="R258" s="13">
        <f t="shared" ref="R258:R321" si="36">IFERROR(D258-C258,"")</f>
        <v>3.2733564814843703</v>
      </c>
      <c r="S258" s="13">
        <f t="shared" ref="S258:S321" si="37">IFERROR(E258-D258,"")</f>
        <v>10.909907407403807</v>
      </c>
      <c r="T258" t="str">
        <f t="shared" ref="T258:T321" si="38">IF(O258=0,"On Time/Early",IF(O258&lt;=3,"1-3 Days Late",IF(O258&lt;=7,"4-7 Days Late","8+ Days Late")))</f>
        <v>On Time/Early</v>
      </c>
      <c r="U258" t="str">
        <f t="shared" ref="U258:U321" si="39">IF(P258="Delayed","Needs Review","Normal")</f>
        <v>Normal</v>
      </c>
      <c r="V258" t="s">
        <v>102</v>
      </c>
    </row>
    <row r="259" spans="1:22">
      <c r="A259" t="s">
        <v>554</v>
      </c>
      <c r="B259" s="10">
        <v>42899.481932870367</v>
      </c>
      <c r="C259" s="10">
        <v>42899.496712962966</v>
      </c>
      <c r="D259" s="10">
        <v>42900.710509259261</v>
      </c>
      <c r="E259" s="10">
        <v>42908.614710648151</v>
      </c>
      <c r="F259" s="10">
        <v>42920</v>
      </c>
      <c r="G259" t="s">
        <v>8</v>
      </c>
      <c r="H259" t="s">
        <v>212</v>
      </c>
      <c r="I259" t="s">
        <v>368</v>
      </c>
      <c r="J259" s="11">
        <v>1</v>
      </c>
      <c r="K259" s="12">
        <v>189.99</v>
      </c>
      <c r="L259" s="12">
        <v>14.35</v>
      </c>
      <c r="M259" s="13">
        <v>5</v>
      </c>
      <c r="N259" s="13">
        <f t="shared" si="32"/>
        <v>9.132777777784213</v>
      </c>
      <c r="O259" s="13">
        <f t="shared" si="33"/>
        <v>0</v>
      </c>
      <c r="P259" t="str">
        <f t="shared" si="34"/>
        <v>On Time</v>
      </c>
      <c r="Q259" s="13">
        <f t="shared" si="35"/>
        <v>0.35472222237149253</v>
      </c>
      <c r="R259" s="13">
        <f t="shared" si="36"/>
        <v>1.213796296295186</v>
      </c>
      <c r="S259" s="13">
        <f t="shared" si="37"/>
        <v>7.9042013888902147</v>
      </c>
      <c r="T259" t="str">
        <f t="shared" si="38"/>
        <v>On Time/Early</v>
      </c>
      <c r="U259" t="str">
        <f t="shared" si="39"/>
        <v>Normal</v>
      </c>
      <c r="V259" t="s">
        <v>102</v>
      </c>
    </row>
    <row r="260" spans="1:22">
      <c r="A260" t="s">
        <v>555</v>
      </c>
      <c r="B260" s="10">
        <v>42899.490405092591</v>
      </c>
      <c r="C260" s="10">
        <v>42900.108067129629</v>
      </c>
      <c r="D260" s="10">
        <v>42900.31113425926</v>
      </c>
      <c r="E260" s="10">
        <v>42997.668402777781</v>
      </c>
      <c r="F260" s="10">
        <v>42928</v>
      </c>
      <c r="G260" t="s">
        <v>33</v>
      </c>
      <c r="H260" t="s">
        <v>556</v>
      </c>
      <c r="I260" t="s">
        <v>101</v>
      </c>
      <c r="J260" s="11">
        <v>1</v>
      </c>
      <c r="K260" s="12">
        <v>38.5</v>
      </c>
      <c r="L260" s="12">
        <v>17.920000000000002</v>
      </c>
      <c r="M260" s="13">
        <v>5</v>
      </c>
      <c r="N260" s="13">
        <f t="shared" si="32"/>
        <v>98.177997685190348</v>
      </c>
      <c r="O260" s="13">
        <f t="shared" si="33"/>
        <v>69.668402777781012</v>
      </c>
      <c r="P260" t="str">
        <f t="shared" si="34"/>
        <v>Delayed</v>
      </c>
      <c r="Q260" s="13">
        <f t="shared" si="35"/>
        <v>14.823888888931833</v>
      </c>
      <c r="R260" s="13">
        <f t="shared" si="36"/>
        <v>0.20306712963065365</v>
      </c>
      <c r="S260" s="13">
        <f t="shared" si="37"/>
        <v>97.357268518520868</v>
      </c>
      <c r="T260" t="str">
        <f t="shared" si="38"/>
        <v>8+ Days Late</v>
      </c>
      <c r="U260" t="str">
        <f t="shared" si="39"/>
        <v>Needs Review</v>
      </c>
      <c r="V260" t="s">
        <v>102</v>
      </c>
    </row>
    <row r="261" spans="1:22">
      <c r="A261" t="s">
        <v>557</v>
      </c>
      <c r="B261" s="10">
        <v>42899.511388888888</v>
      </c>
      <c r="C261" s="10">
        <v>42899.521180555559</v>
      </c>
      <c r="D261" s="10">
        <v>42899.605439814812</v>
      </c>
      <c r="E261" s="10">
        <v>42915.624826388892</v>
      </c>
      <c r="F261" s="10">
        <v>42926</v>
      </c>
      <c r="G261" t="s">
        <v>30</v>
      </c>
      <c r="H261" t="s">
        <v>365</v>
      </c>
      <c r="I261" t="s">
        <v>143</v>
      </c>
      <c r="J261" s="11">
        <v>1</v>
      </c>
      <c r="K261" s="12">
        <v>169</v>
      </c>
      <c r="L261" s="12">
        <v>14.93</v>
      </c>
      <c r="M261" s="13">
        <v>5</v>
      </c>
      <c r="N261" s="13">
        <f t="shared" si="32"/>
        <v>16.113437500003783</v>
      </c>
      <c r="O261" s="13">
        <f t="shared" si="33"/>
        <v>0</v>
      </c>
      <c r="P261" t="str">
        <f t="shared" si="34"/>
        <v>On Time</v>
      </c>
      <c r="Q261" s="13">
        <f t="shared" si="35"/>
        <v>0.23500000010244548</v>
      </c>
      <c r="R261" s="13">
        <f t="shared" si="36"/>
        <v>8.4259259252576157E-2</v>
      </c>
      <c r="S261" s="13">
        <f t="shared" si="37"/>
        <v>16.019386574080272</v>
      </c>
      <c r="T261" t="str">
        <f t="shared" si="38"/>
        <v>On Time/Early</v>
      </c>
      <c r="U261" t="str">
        <f t="shared" si="39"/>
        <v>Normal</v>
      </c>
      <c r="V261" t="s">
        <v>102</v>
      </c>
    </row>
    <row r="262" spans="1:22">
      <c r="A262" t="s">
        <v>558</v>
      </c>
      <c r="B262" s="10">
        <v>42900.620520833334</v>
      </c>
      <c r="C262" s="10">
        <v>42900.899467592593</v>
      </c>
      <c r="D262" s="10">
        <v>42905.589606481481</v>
      </c>
      <c r="E262" s="10">
        <v>42912.546840277777</v>
      </c>
      <c r="F262" s="10">
        <v>42926</v>
      </c>
      <c r="G262" t="s">
        <v>16</v>
      </c>
      <c r="H262" t="s">
        <v>559</v>
      </c>
      <c r="I262" t="s">
        <v>58</v>
      </c>
      <c r="J262" s="11">
        <v>1</v>
      </c>
      <c r="K262" s="12">
        <v>59.99</v>
      </c>
      <c r="L262" s="12">
        <v>14.17</v>
      </c>
      <c r="M262" s="13">
        <v>5</v>
      </c>
      <c r="N262" s="13">
        <f t="shared" si="32"/>
        <v>11.926319444442925</v>
      </c>
      <c r="O262" s="13">
        <f t="shared" si="33"/>
        <v>0</v>
      </c>
      <c r="P262" t="str">
        <f t="shared" si="34"/>
        <v>On Time</v>
      </c>
      <c r="Q262" s="13">
        <f t="shared" si="35"/>
        <v>6.6947222222224809</v>
      </c>
      <c r="R262" s="13">
        <f t="shared" si="36"/>
        <v>4.6901388888873043</v>
      </c>
      <c r="S262" s="13">
        <f t="shared" si="37"/>
        <v>6.9572337962963502</v>
      </c>
      <c r="T262" t="str">
        <f t="shared" si="38"/>
        <v>On Time/Early</v>
      </c>
      <c r="U262" t="str">
        <f t="shared" si="39"/>
        <v>Normal</v>
      </c>
      <c r="V262" t="s">
        <v>102</v>
      </c>
    </row>
    <row r="263" spans="1:22">
      <c r="A263" t="s">
        <v>560</v>
      </c>
      <c r="B263" s="10">
        <v>42901.40960648148</v>
      </c>
      <c r="C263" s="10">
        <v>42901.418715277781</v>
      </c>
      <c r="D263" s="10">
        <v>42905.837476851855</v>
      </c>
      <c r="E263" s="10">
        <v>42913.737453703703</v>
      </c>
      <c r="F263" s="10">
        <v>42928</v>
      </c>
      <c r="G263" t="s">
        <v>16</v>
      </c>
      <c r="H263" t="s">
        <v>561</v>
      </c>
      <c r="I263" t="s">
        <v>384</v>
      </c>
      <c r="J263" s="11">
        <v>2</v>
      </c>
      <c r="K263" s="12">
        <v>59.8</v>
      </c>
      <c r="L263" s="12">
        <v>31.58</v>
      </c>
      <c r="M263" s="13">
        <v>1</v>
      </c>
      <c r="N263" s="13">
        <f t="shared" si="32"/>
        <v>12.327847222222772</v>
      </c>
      <c r="O263" s="13">
        <f t="shared" si="33"/>
        <v>0</v>
      </c>
      <c r="P263" t="str">
        <f t="shared" si="34"/>
        <v>On Time</v>
      </c>
      <c r="Q263" s="13">
        <f t="shared" si="35"/>
        <v>0.21861111122416332</v>
      </c>
      <c r="R263" s="13">
        <f t="shared" si="36"/>
        <v>4.4187615740738693</v>
      </c>
      <c r="S263" s="13">
        <f t="shared" si="37"/>
        <v>7.8999768518478959</v>
      </c>
      <c r="T263" t="str">
        <f t="shared" si="38"/>
        <v>On Time/Early</v>
      </c>
      <c r="U263" t="str">
        <f t="shared" si="39"/>
        <v>Normal</v>
      </c>
      <c r="V263" t="s">
        <v>102</v>
      </c>
    </row>
    <row r="264" spans="1:22">
      <c r="A264" t="s">
        <v>562</v>
      </c>
      <c r="B264" s="10">
        <v>42901.809606481482</v>
      </c>
      <c r="C264" s="10">
        <v>42901.816365740742</v>
      </c>
      <c r="D264" s="10">
        <v>42906.438993055555</v>
      </c>
      <c r="E264" s="10">
        <v>42916.671956018516</v>
      </c>
      <c r="F264" s="10">
        <v>42928</v>
      </c>
      <c r="G264" t="s">
        <v>16</v>
      </c>
      <c r="H264" t="s">
        <v>563</v>
      </c>
      <c r="I264" t="s">
        <v>128</v>
      </c>
      <c r="J264" s="11">
        <v>1</v>
      </c>
      <c r="K264" s="12">
        <v>37.99</v>
      </c>
      <c r="L264" s="12">
        <v>16.79</v>
      </c>
      <c r="M264" s="13">
        <v>4</v>
      </c>
      <c r="N264" s="13">
        <f t="shared" si="32"/>
        <v>14.862349537033879</v>
      </c>
      <c r="O264" s="13">
        <f t="shared" si="33"/>
        <v>0</v>
      </c>
      <c r="P264" t="str">
        <f t="shared" si="34"/>
        <v>On Time</v>
      </c>
      <c r="Q264" s="13">
        <f t="shared" si="35"/>
        <v>0.1622222222504206</v>
      </c>
      <c r="R264" s="13">
        <f t="shared" si="36"/>
        <v>4.622627314813144</v>
      </c>
      <c r="S264" s="13">
        <f t="shared" si="37"/>
        <v>10.232962962960301</v>
      </c>
      <c r="T264" t="str">
        <f t="shared" si="38"/>
        <v>On Time/Early</v>
      </c>
      <c r="U264" t="str">
        <f t="shared" si="39"/>
        <v>Normal</v>
      </c>
      <c r="V264" t="s">
        <v>102</v>
      </c>
    </row>
    <row r="265" spans="1:22">
      <c r="A265" t="s">
        <v>564</v>
      </c>
      <c r="B265" s="10">
        <v>42901.830729166664</v>
      </c>
      <c r="C265" s="10">
        <v>42901.837002314816</v>
      </c>
      <c r="D265" s="10">
        <v>42905.673831018517</v>
      </c>
      <c r="E265" s="10">
        <v>42914.48945601852</v>
      </c>
      <c r="F265" s="10">
        <v>42928</v>
      </c>
      <c r="G265" t="s">
        <v>43</v>
      </c>
      <c r="H265" t="s">
        <v>565</v>
      </c>
      <c r="I265" t="s">
        <v>136</v>
      </c>
      <c r="J265" s="11">
        <v>1</v>
      </c>
      <c r="K265" s="12">
        <v>159.9</v>
      </c>
      <c r="L265" s="12">
        <v>18.37</v>
      </c>
      <c r="M265" s="13">
        <v>3</v>
      </c>
      <c r="N265" s="13">
        <f t="shared" si="32"/>
        <v>12.658726851856045</v>
      </c>
      <c r="O265" s="13">
        <f t="shared" si="33"/>
        <v>0</v>
      </c>
      <c r="P265" t="str">
        <f t="shared" si="34"/>
        <v>On Time</v>
      </c>
      <c r="Q265" s="13">
        <f t="shared" si="35"/>
        <v>0.15055555565049872</v>
      </c>
      <c r="R265" s="13">
        <f t="shared" si="36"/>
        <v>3.8368287037010305</v>
      </c>
      <c r="S265" s="13">
        <f t="shared" si="37"/>
        <v>8.8156250000029104</v>
      </c>
      <c r="T265" t="str">
        <f t="shared" si="38"/>
        <v>On Time/Early</v>
      </c>
      <c r="U265" t="str">
        <f t="shared" si="39"/>
        <v>Normal</v>
      </c>
      <c r="V265" t="s">
        <v>102</v>
      </c>
    </row>
    <row r="266" spans="1:22">
      <c r="A266" t="s">
        <v>566</v>
      </c>
      <c r="B266" s="10">
        <v>42902.083773148152</v>
      </c>
      <c r="C266" s="10">
        <v>42902.090381944443</v>
      </c>
      <c r="D266" s="10">
        <v>42902.326689814814</v>
      </c>
      <c r="E266" s="10">
        <v>42907.658182870371</v>
      </c>
      <c r="F266" s="10">
        <v>42915</v>
      </c>
      <c r="G266" t="s">
        <v>8</v>
      </c>
      <c r="H266" t="s">
        <v>225</v>
      </c>
      <c r="I266" t="s">
        <v>141</v>
      </c>
      <c r="J266" s="11">
        <v>1</v>
      </c>
      <c r="K266" s="12">
        <v>24.99</v>
      </c>
      <c r="L266" s="12">
        <v>9.34</v>
      </c>
      <c r="M266" s="13">
        <v>4</v>
      </c>
      <c r="N266" s="13">
        <f t="shared" si="32"/>
        <v>5.5744097222195705</v>
      </c>
      <c r="O266" s="13">
        <f t="shared" si="33"/>
        <v>0</v>
      </c>
      <c r="P266" t="str">
        <f t="shared" si="34"/>
        <v>On Time</v>
      </c>
      <c r="Q266" s="13">
        <f t="shared" si="35"/>
        <v>0.15861111099366099</v>
      </c>
      <c r="R266" s="13">
        <f t="shared" si="36"/>
        <v>0.23630787037109258</v>
      </c>
      <c r="S266" s="13">
        <f t="shared" si="37"/>
        <v>5.3314930555570754</v>
      </c>
      <c r="T266" t="str">
        <f t="shared" si="38"/>
        <v>On Time/Early</v>
      </c>
      <c r="U266" t="str">
        <f t="shared" si="39"/>
        <v>Normal</v>
      </c>
      <c r="V266" t="s">
        <v>102</v>
      </c>
    </row>
    <row r="267" spans="1:22">
      <c r="A267" t="s">
        <v>567</v>
      </c>
      <c r="B267" s="10">
        <v>42902.671053240738</v>
      </c>
      <c r="C267" s="10">
        <v>42902.682708333334</v>
      </c>
      <c r="D267" s="10">
        <v>42905.872569444444</v>
      </c>
      <c r="E267" s="10">
        <v>42919.710636574076</v>
      </c>
      <c r="F267" s="10">
        <v>42926</v>
      </c>
      <c r="G267" t="s">
        <v>20</v>
      </c>
      <c r="H267" t="s">
        <v>104</v>
      </c>
      <c r="I267" t="s">
        <v>21</v>
      </c>
      <c r="J267" s="11">
        <v>1</v>
      </c>
      <c r="K267" s="12">
        <v>89.9</v>
      </c>
      <c r="L267" s="12">
        <v>17.88</v>
      </c>
      <c r="M267" s="13">
        <v>3</v>
      </c>
      <c r="N267" s="13">
        <f t="shared" si="32"/>
        <v>17.039583333338669</v>
      </c>
      <c r="O267" s="13">
        <f t="shared" si="33"/>
        <v>0</v>
      </c>
      <c r="P267" t="str">
        <f t="shared" si="34"/>
        <v>On Time</v>
      </c>
      <c r="Q267" s="13">
        <f t="shared" si="35"/>
        <v>0.27972222230164334</v>
      </c>
      <c r="R267" s="13">
        <f t="shared" si="36"/>
        <v>3.1898611111100763</v>
      </c>
      <c r="S267" s="13">
        <f t="shared" si="37"/>
        <v>13.838067129632691</v>
      </c>
      <c r="T267" t="str">
        <f t="shared" si="38"/>
        <v>On Time/Early</v>
      </c>
      <c r="U267" t="str">
        <f t="shared" si="39"/>
        <v>Normal</v>
      </c>
      <c r="V267" t="s">
        <v>102</v>
      </c>
    </row>
    <row r="268" spans="1:22">
      <c r="A268" t="s">
        <v>568</v>
      </c>
      <c r="B268" s="10">
        <v>42902.732916666668</v>
      </c>
      <c r="C268" s="10">
        <v>42902.743171296293</v>
      </c>
      <c r="D268" s="10">
        <v>42905.794722222221</v>
      </c>
      <c r="E268" s="10">
        <v>42914.714282407411</v>
      </c>
      <c r="F268" s="10">
        <v>42922</v>
      </c>
      <c r="G268" t="s">
        <v>8</v>
      </c>
      <c r="H268" t="s">
        <v>569</v>
      </c>
      <c r="I268" t="s">
        <v>180</v>
      </c>
      <c r="J268" s="11">
        <v>1</v>
      </c>
      <c r="K268" s="12">
        <v>199.9</v>
      </c>
      <c r="L268" s="12">
        <v>18.11</v>
      </c>
      <c r="M268" s="13">
        <v>5</v>
      </c>
      <c r="N268" s="13">
        <f t="shared" si="32"/>
        <v>11.981365740743058</v>
      </c>
      <c r="O268" s="13">
        <f t="shared" si="33"/>
        <v>0</v>
      </c>
      <c r="P268" t="str">
        <f t="shared" si="34"/>
        <v>On Time</v>
      </c>
      <c r="Q268" s="13">
        <f t="shared" si="35"/>
        <v>0.24611111101694405</v>
      </c>
      <c r="R268" s="13">
        <f t="shared" si="36"/>
        <v>3.0515509259275859</v>
      </c>
      <c r="S268" s="13">
        <f t="shared" si="37"/>
        <v>8.9195601851897663</v>
      </c>
      <c r="T268" t="str">
        <f t="shared" si="38"/>
        <v>On Time/Early</v>
      </c>
      <c r="U268" t="str">
        <f t="shared" si="39"/>
        <v>Normal</v>
      </c>
      <c r="V268" t="s">
        <v>102</v>
      </c>
    </row>
    <row r="269" spans="1:22">
      <c r="A269" t="s">
        <v>570</v>
      </c>
      <c r="B269" s="10">
        <v>42902.865347222221</v>
      </c>
      <c r="C269" s="10">
        <v>42902.871655092589</v>
      </c>
      <c r="D269" s="10">
        <v>42905.788622685184</v>
      </c>
      <c r="E269" s="10">
        <v>42916.432986111111</v>
      </c>
      <c r="F269" s="10">
        <v>42928</v>
      </c>
      <c r="G269" t="s">
        <v>16</v>
      </c>
      <c r="H269" t="s">
        <v>138</v>
      </c>
      <c r="I269" t="s">
        <v>180</v>
      </c>
      <c r="J269" s="11">
        <v>1</v>
      </c>
      <c r="K269" s="12">
        <v>44.9</v>
      </c>
      <c r="L269" s="12">
        <v>15.1</v>
      </c>
      <c r="M269" s="13">
        <v>1</v>
      </c>
      <c r="N269" s="13">
        <f t="shared" si="32"/>
        <v>13.567638888889633</v>
      </c>
      <c r="O269" s="13">
        <f t="shared" si="33"/>
        <v>0</v>
      </c>
      <c r="P269" t="str">
        <f t="shared" si="34"/>
        <v>On Time</v>
      </c>
      <c r="Q269" s="13">
        <f t="shared" si="35"/>
        <v>0.15138888882938772</v>
      </c>
      <c r="R269" s="13">
        <f t="shared" si="36"/>
        <v>2.9169675925950287</v>
      </c>
      <c r="S269" s="13">
        <f t="shared" si="37"/>
        <v>10.644363425926713</v>
      </c>
      <c r="T269" t="str">
        <f t="shared" si="38"/>
        <v>On Time/Early</v>
      </c>
      <c r="U269" t="str">
        <f t="shared" si="39"/>
        <v>Normal</v>
      </c>
      <c r="V269" t="s">
        <v>102</v>
      </c>
    </row>
    <row r="270" spans="1:22">
      <c r="A270" t="s">
        <v>571</v>
      </c>
      <c r="B270" s="10">
        <v>42904.821643518517</v>
      </c>
      <c r="C270" s="10">
        <v>42905.826574074075</v>
      </c>
      <c r="D270" s="10">
        <v>42913.37841435185</v>
      </c>
      <c r="E270" s="10">
        <v>42920.583275462966</v>
      </c>
      <c r="F270" s="10">
        <v>42934</v>
      </c>
      <c r="G270" t="s">
        <v>20</v>
      </c>
      <c r="H270" t="s">
        <v>500</v>
      </c>
      <c r="I270" t="s">
        <v>120</v>
      </c>
      <c r="J270" s="11">
        <v>1</v>
      </c>
      <c r="K270" s="12">
        <v>89.7</v>
      </c>
      <c r="L270" s="12">
        <v>15.38</v>
      </c>
      <c r="M270" s="13">
        <v>5</v>
      </c>
      <c r="N270" s="13">
        <f t="shared" si="32"/>
        <v>15.761631944449618</v>
      </c>
      <c r="O270" s="13">
        <f t="shared" si="33"/>
        <v>0</v>
      </c>
      <c r="P270" t="str">
        <f t="shared" si="34"/>
        <v>On Time</v>
      </c>
      <c r="Q270" s="13">
        <f t="shared" si="35"/>
        <v>24.118333333404735</v>
      </c>
      <c r="R270" s="13">
        <f t="shared" si="36"/>
        <v>7.5518402777743177</v>
      </c>
      <c r="S270" s="13">
        <f t="shared" si="37"/>
        <v>7.2048611111167702</v>
      </c>
      <c r="T270" t="str">
        <f t="shared" si="38"/>
        <v>On Time/Early</v>
      </c>
      <c r="U270" t="str">
        <f t="shared" si="39"/>
        <v>Normal</v>
      </c>
      <c r="V270" t="s">
        <v>102</v>
      </c>
    </row>
    <row r="271" spans="1:22">
      <c r="A271" t="s">
        <v>572</v>
      </c>
      <c r="B271" s="10">
        <v>42904.922349537039</v>
      </c>
      <c r="C271" s="10">
        <v>42904.927349537036</v>
      </c>
      <c r="D271" s="10">
        <v>42905.559629629628</v>
      </c>
      <c r="E271" s="10">
        <v>42914.540081018517</v>
      </c>
      <c r="F271" s="10">
        <v>42929</v>
      </c>
      <c r="G271" t="s">
        <v>30</v>
      </c>
      <c r="H271" t="s">
        <v>573</v>
      </c>
      <c r="I271" t="s">
        <v>118</v>
      </c>
      <c r="J271" s="11">
        <v>1</v>
      </c>
      <c r="K271" s="12">
        <v>25.99</v>
      </c>
      <c r="L271" s="12">
        <v>14.1</v>
      </c>
      <c r="M271" s="13">
        <v>4</v>
      </c>
      <c r="N271" s="13">
        <f t="shared" si="32"/>
        <v>9.6177314814776764</v>
      </c>
      <c r="O271" s="13">
        <f t="shared" si="33"/>
        <v>0</v>
      </c>
      <c r="P271" t="str">
        <f t="shared" si="34"/>
        <v>On Time</v>
      </c>
      <c r="Q271" s="13">
        <f t="shared" si="35"/>
        <v>0.11999999993713573</v>
      </c>
      <c r="R271" s="13">
        <f t="shared" si="36"/>
        <v>0.63228009259182727</v>
      </c>
      <c r="S271" s="13">
        <f t="shared" si="37"/>
        <v>8.9804513888884685</v>
      </c>
      <c r="T271" t="str">
        <f t="shared" si="38"/>
        <v>On Time/Early</v>
      </c>
      <c r="U271" t="str">
        <f t="shared" si="39"/>
        <v>Normal</v>
      </c>
      <c r="V271" t="s">
        <v>102</v>
      </c>
    </row>
    <row r="272" spans="1:22">
      <c r="A272" t="s">
        <v>574</v>
      </c>
      <c r="B272" s="10">
        <v>42905.004247685189</v>
      </c>
      <c r="C272" s="10">
        <v>42905.010682870372</v>
      </c>
      <c r="D272" s="10">
        <v>42905.848136574074</v>
      </c>
      <c r="E272" s="10">
        <v>42909.514780092592</v>
      </c>
      <c r="F272" s="10">
        <v>42927</v>
      </c>
      <c r="G272" t="s">
        <v>16</v>
      </c>
      <c r="H272" t="s">
        <v>138</v>
      </c>
      <c r="I272" t="s">
        <v>58</v>
      </c>
      <c r="J272" s="11">
        <v>1</v>
      </c>
      <c r="K272" s="12">
        <v>189</v>
      </c>
      <c r="L272" s="12">
        <v>15.08</v>
      </c>
      <c r="M272" s="13">
        <v>5</v>
      </c>
      <c r="N272" s="13">
        <f t="shared" si="32"/>
        <v>4.510532407402934</v>
      </c>
      <c r="O272" s="13">
        <f t="shared" si="33"/>
        <v>0</v>
      </c>
      <c r="P272" t="str">
        <f t="shared" si="34"/>
        <v>On Time</v>
      </c>
      <c r="Q272" s="13">
        <f t="shared" si="35"/>
        <v>0.15444444440072402</v>
      </c>
      <c r="R272" s="13">
        <f t="shared" si="36"/>
        <v>0.83745370370161254</v>
      </c>
      <c r="S272" s="13">
        <f t="shared" si="37"/>
        <v>3.666643518517958</v>
      </c>
      <c r="T272" t="str">
        <f t="shared" si="38"/>
        <v>On Time/Early</v>
      </c>
      <c r="U272" t="str">
        <f t="shared" si="39"/>
        <v>Normal</v>
      </c>
      <c r="V272" t="s">
        <v>102</v>
      </c>
    </row>
    <row r="273" spans="1:22">
      <c r="A273" t="s">
        <v>575</v>
      </c>
      <c r="B273" s="10">
        <v>42905.58734953704</v>
      </c>
      <c r="C273" s="10">
        <v>42905.599502314813</v>
      </c>
      <c r="D273" s="10">
        <v>42906.575543981482</v>
      </c>
      <c r="E273" s="10">
        <v>42908.774247685185</v>
      </c>
      <c r="F273" s="10">
        <v>42916</v>
      </c>
      <c r="G273" t="s">
        <v>8</v>
      </c>
      <c r="H273" t="s">
        <v>161</v>
      </c>
      <c r="I273" t="s">
        <v>141</v>
      </c>
      <c r="J273" s="11">
        <v>2</v>
      </c>
      <c r="K273" s="12">
        <v>119.8</v>
      </c>
      <c r="L273" s="12">
        <v>23.46</v>
      </c>
      <c r="M273" s="13">
        <v>5</v>
      </c>
      <c r="N273" s="13">
        <f t="shared" si="32"/>
        <v>3.1868981481457013</v>
      </c>
      <c r="O273" s="13">
        <f t="shared" si="33"/>
        <v>0</v>
      </c>
      <c r="P273" t="str">
        <f t="shared" si="34"/>
        <v>On Time</v>
      </c>
      <c r="Q273" s="13">
        <f t="shared" si="35"/>
        <v>0.2916666665696539</v>
      </c>
      <c r="R273" s="13">
        <f t="shared" si="36"/>
        <v>0.97604166666860692</v>
      </c>
      <c r="S273" s="13">
        <f t="shared" si="37"/>
        <v>2.1987037037033588</v>
      </c>
      <c r="T273" t="str">
        <f t="shared" si="38"/>
        <v>On Time/Early</v>
      </c>
      <c r="U273" t="str">
        <f t="shared" si="39"/>
        <v>Normal</v>
      </c>
      <c r="V273" t="s">
        <v>102</v>
      </c>
    </row>
    <row r="274" spans="1:22">
      <c r="A274" t="s">
        <v>576</v>
      </c>
      <c r="B274" s="10">
        <v>42905.848912037036</v>
      </c>
      <c r="C274" s="10">
        <v>42906.462048611109</v>
      </c>
      <c r="D274" s="10">
        <v>42913.450682870367</v>
      </c>
      <c r="E274" s="10">
        <v>42921.66505787037</v>
      </c>
      <c r="F274" s="10">
        <v>42933</v>
      </c>
      <c r="G274" t="s">
        <v>8</v>
      </c>
      <c r="H274" t="s">
        <v>361</v>
      </c>
      <c r="I274" t="s">
        <v>101</v>
      </c>
      <c r="J274" s="11">
        <v>1</v>
      </c>
      <c r="K274" s="12">
        <v>59.9</v>
      </c>
      <c r="L274" s="12">
        <v>13.44</v>
      </c>
      <c r="M274" s="13">
        <v>3</v>
      </c>
      <c r="N274" s="13">
        <f t="shared" si="32"/>
        <v>15.816145833334303</v>
      </c>
      <c r="O274" s="13">
        <f t="shared" si="33"/>
        <v>0</v>
      </c>
      <c r="P274" t="str">
        <f t="shared" si="34"/>
        <v>On Time</v>
      </c>
      <c r="Q274" s="13">
        <f t="shared" si="35"/>
        <v>14.715277777751908</v>
      </c>
      <c r="R274" s="13">
        <f t="shared" si="36"/>
        <v>6.9886342592581059</v>
      </c>
      <c r="S274" s="13">
        <f t="shared" si="37"/>
        <v>8.2143750000032014</v>
      </c>
      <c r="T274" t="str">
        <f t="shared" si="38"/>
        <v>On Time/Early</v>
      </c>
      <c r="U274" t="str">
        <f t="shared" si="39"/>
        <v>Normal</v>
      </c>
      <c r="V274" t="s">
        <v>102</v>
      </c>
    </row>
    <row r="275" spans="1:22">
      <c r="A275" t="s">
        <v>577</v>
      </c>
      <c r="B275" s="10">
        <v>42906.577280092592</v>
      </c>
      <c r="C275" s="10">
        <v>42906.586076388892</v>
      </c>
      <c r="D275" s="10">
        <v>42913.380798611113</v>
      </c>
      <c r="E275" s="10">
        <v>42926.719131944446</v>
      </c>
      <c r="F275" s="10">
        <v>42934</v>
      </c>
      <c r="G275" t="s">
        <v>320</v>
      </c>
      <c r="H275" t="s">
        <v>321</v>
      </c>
      <c r="I275" t="s">
        <v>221</v>
      </c>
      <c r="J275" s="11">
        <v>1</v>
      </c>
      <c r="K275" s="12">
        <v>180</v>
      </c>
      <c r="L275" s="12">
        <v>16.010000000000002</v>
      </c>
      <c r="M275" s="13">
        <v>4</v>
      </c>
      <c r="N275" s="13">
        <f t="shared" si="32"/>
        <v>20.141851851854881</v>
      </c>
      <c r="O275" s="13">
        <f t="shared" si="33"/>
        <v>0</v>
      </c>
      <c r="P275" t="str">
        <f t="shared" si="34"/>
        <v>On Time</v>
      </c>
      <c r="Q275" s="13">
        <f t="shared" si="35"/>
        <v>0.2111111112171784</v>
      </c>
      <c r="R275" s="13">
        <f t="shared" si="36"/>
        <v>6.7947222222210257</v>
      </c>
      <c r="S275" s="13">
        <f t="shared" si="37"/>
        <v>13.338333333333139</v>
      </c>
      <c r="T275" t="str">
        <f t="shared" si="38"/>
        <v>On Time/Early</v>
      </c>
      <c r="U275" t="str">
        <f t="shared" si="39"/>
        <v>Normal</v>
      </c>
      <c r="V275" t="s">
        <v>102</v>
      </c>
    </row>
    <row r="276" spans="1:22">
      <c r="A276" t="s">
        <v>578</v>
      </c>
      <c r="B276" s="10">
        <v>42906.584143518521</v>
      </c>
      <c r="C276" s="10">
        <v>42906.593900462962</v>
      </c>
      <c r="D276" s="10">
        <v>42908.534490740742</v>
      </c>
      <c r="E276" s="10">
        <v>42912.671423611115</v>
      </c>
      <c r="F276" s="10">
        <v>42930</v>
      </c>
      <c r="G276" t="s">
        <v>36</v>
      </c>
      <c r="H276" t="s">
        <v>467</v>
      </c>
      <c r="I276" t="s">
        <v>58</v>
      </c>
      <c r="J276" s="11">
        <v>1</v>
      </c>
      <c r="K276" s="12">
        <v>34.99</v>
      </c>
      <c r="L276" s="12">
        <v>14.1</v>
      </c>
      <c r="M276" s="13">
        <v>4</v>
      </c>
      <c r="N276" s="13">
        <f t="shared" si="32"/>
        <v>6.0872800925935735</v>
      </c>
      <c r="O276" s="13">
        <f t="shared" si="33"/>
        <v>0</v>
      </c>
      <c r="P276" t="str">
        <f t="shared" si="34"/>
        <v>On Time</v>
      </c>
      <c r="Q276" s="13">
        <f t="shared" si="35"/>
        <v>0.23416666657431051</v>
      </c>
      <c r="R276" s="13">
        <f t="shared" si="36"/>
        <v>1.9405902777798474</v>
      </c>
      <c r="S276" s="13">
        <f t="shared" si="37"/>
        <v>4.1369328703731298</v>
      </c>
      <c r="T276" t="str">
        <f t="shared" si="38"/>
        <v>On Time/Early</v>
      </c>
      <c r="U276" t="str">
        <f t="shared" si="39"/>
        <v>Normal</v>
      </c>
      <c r="V276" t="s">
        <v>102</v>
      </c>
    </row>
    <row r="277" spans="1:22">
      <c r="A277" t="s">
        <v>579</v>
      </c>
      <c r="B277" s="10">
        <v>42908.461967592593</v>
      </c>
      <c r="C277" s="10">
        <v>42908.469027777777</v>
      </c>
      <c r="D277" s="10">
        <v>42910.273310185185</v>
      </c>
      <c r="E277" s="10">
        <v>42915.487696759257</v>
      </c>
      <c r="F277" s="10">
        <v>42928</v>
      </c>
      <c r="G277" t="s">
        <v>8</v>
      </c>
      <c r="H277" t="s">
        <v>580</v>
      </c>
      <c r="I277" t="s">
        <v>141</v>
      </c>
      <c r="J277" s="11">
        <v>1</v>
      </c>
      <c r="K277" s="12">
        <v>59.9</v>
      </c>
      <c r="L277" s="12">
        <v>17.13</v>
      </c>
      <c r="M277" s="13">
        <v>5</v>
      </c>
      <c r="N277" s="13">
        <f t="shared" si="32"/>
        <v>7.0257291666639503</v>
      </c>
      <c r="O277" s="13">
        <f t="shared" si="33"/>
        <v>0</v>
      </c>
      <c r="P277" t="str">
        <f t="shared" si="34"/>
        <v>On Time</v>
      </c>
      <c r="Q277" s="13">
        <f t="shared" si="35"/>
        <v>0.16944444441469386</v>
      </c>
      <c r="R277" s="13">
        <f t="shared" si="36"/>
        <v>1.8042824074072996</v>
      </c>
      <c r="S277" s="13">
        <f t="shared" si="37"/>
        <v>5.2143865740727051</v>
      </c>
      <c r="T277" t="str">
        <f t="shared" si="38"/>
        <v>On Time/Early</v>
      </c>
      <c r="U277" t="str">
        <f t="shared" si="39"/>
        <v>Normal</v>
      </c>
      <c r="V277" t="s">
        <v>102</v>
      </c>
    </row>
    <row r="278" spans="1:22">
      <c r="A278" t="s">
        <v>581</v>
      </c>
      <c r="B278" s="10">
        <v>42908.499560185184</v>
      </c>
      <c r="C278" s="10">
        <v>42908.507476851853</v>
      </c>
      <c r="D278" s="10">
        <v>42913.630844907406</v>
      </c>
      <c r="E278" s="10">
        <v>42921.605682870373</v>
      </c>
      <c r="F278" s="10">
        <v>42930</v>
      </c>
      <c r="G278" t="s">
        <v>20</v>
      </c>
      <c r="H278" t="s">
        <v>582</v>
      </c>
      <c r="I278" t="s">
        <v>120</v>
      </c>
      <c r="J278" s="11">
        <v>1</v>
      </c>
      <c r="K278" s="12">
        <v>349</v>
      </c>
      <c r="L278" s="12">
        <v>18.2</v>
      </c>
      <c r="M278" s="13">
        <v>5</v>
      </c>
      <c r="N278" s="13">
        <f t="shared" si="32"/>
        <v>13.106122685188893</v>
      </c>
      <c r="O278" s="13">
        <f t="shared" si="33"/>
        <v>0</v>
      </c>
      <c r="P278" t="str">
        <f t="shared" si="34"/>
        <v>On Time</v>
      </c>
      <c r="Q278" s="13">
        <f t="shared" si="35"/>
        <v>0.19000000006053597</v>
      </c>
      <c r="R278" s="13">
        <f t="shared" si="36"/>
        <v>5.1233680555524188</v>
      </c>
      <c r="S278" s="13">
        <f t="shared" si="37"/>
        <v>7.9748379629672854</v>
      </c>
      <c r="T278" t="str">
        <f t="shared" si="38"/>
        <v>On Time/Early</v>
      </c>
      <c r="U278" t="str">
        <f t="shared" si="39"/>
        <v>Normal</v>
      </c>
      <c r="V278" t="s">
        <v>102</v>
      </c>
    </row>
    <row r="279" spans="1:22">
      <c r="A279" t="s">
        <v>583</v>
      </c>
      <c r="B279" s="10">
        <v>42908.530590277776</v>
      </c>
      <c r="C279" s="10">
        <v>42908.538449074076</v>
      </c>
      <c r="D279" s="10">
        <v>42909.538831018515</v>
      </c>
      <c r="E279" s="10">
        <v>42929.426215277781</v>
      </c>
      <c r="F279" s="10">
        <v>42921</v>
      </c>
      <c r="G279" t="s">
        <v>8</v>
      </c>
      <c r="H279" t="s">
        <v>140</v>
      </c>
      <c r="I279" t="s">
        <v>123</v>
      </c>
      <c r="J279" s="11">
        <v>1</v>
      </c>
      <c r="K279" s="12">
        <v>109.99</v>
      </c>
      <c r="L279" s="12">
        <v>11.97</v>
      </c>
      <c r="M279" s="13">
        <v>1</v>
      </c>
      <c r="N279" s="13">
        <f t="shared" si="32"/>
        <v>20.895625000004657</v>
      </c>
      <c r="O279" s="13">
        <f t="shared" si="33"/>
        <v>8.4262152777810115</v>
      </c>
      <c r="P279" t="str">
        <f t="shared" si="34"/>
        <v>Delayed</v>
      </c>
      <c r="Q279" s="13">
        <f t="shared" si="35"/>
        <v>0.18861111119622365</v>
      </c>
      <c r="R279" s="13">
        <f t="shared" si="36"/>
        <v>1.0003819444391411</v>
      </c>
      <c r="S279" s="13">
        <f t="shared" si="37"/>
        <v>19.887384259265673</v>
      </c>
      <c r="T279" t="str">
        <f t="shared" si="38"/>
        <v>8+ Days Late</v>
      </c>
      <c r="U279" t="str">
        <f t="shared" si="39"/>
        <v>Needs Review</v>
      </c>
      <c r="V279" t="s">
        <v>102</v>
      </c>
    </row>
    <row r="280" spans="1:22">
      <c r="A280" t="s">
        <v>584</v>
      </c>
      <c r="B280" s="10">
        <v>42909.391087962962</v>
      </c>
      <c r="C280" s="10">
        <v>42910.100868055553</v>
      </c>
      <c r="D280" s="10">
        <v>42913.419722222221</v>
      </c>
      <c r="E280" s="10">
        <v>42920.336238425924</v>
      </c>
      <c r="F280" s="10">
        <v>42936</v>
      </c>
      <c r="G280" t="s">
        <v>30</v>
      </c>
      <c r="H280" t="s">
        <v>585</v>
      </c>
      <c r="I280" t="s">
        <v>141</v>
      </c>
      <c r="J280" s="11">
        <v>3</v>
      </c>
      <c r="K280" s="12">
        <v>71.7</v>
      </c>
      <c r="L280" s="12">
        <v>48.33</v>
      </c>
      <c r="M280" s="13">
        <v>4</v>
      </c>
      <c r="N280" s="13">
        <f t="shared" si="32"/>
        <v>10.945150462961465</v>
      </c>
      <c r="O280" s="13">
        <f t="shared" si="33"/>
        <v>0</v>
      </c>
      <c r="P280" t="str">
        <f t="shared" si="34"/>
        <v>On Time</v>
      </c>
      <c r="Q280" s="13">
        <f t="shared" si="35"/>
        <v>17.034722222189885</v>
      </c>
      <c r="R280" s="13">
        <f t="shared" si="36"/>
        <v>3.3188541666677338</v>
      </c>
      <c r="S280" s="13">
        <f t="shared" si="37"/>
        <v>6.9165162037024857</v>
      </c>
      <c r="T280" t="str">
        <f t="shared" si="38"/>
        <v>On Time/Early</v>
      </c>
      <c r="U280" t="str">
        <f t="shared" si="39"/>
        <v>Normal</v>
      </c>
      <c r="V280" t="s">
        <v>102</v>
      </c>
    </row>
    <row r="281" spans="1:22">
      <c r="A281" t="s">
        <v>586</v>
      </c>
      <c r="B281" s="10">
        <v>42909.541990740741</v>
      </c>
      <c r="C281" s="10">
        <v>42909.552233796298</v>
      </c>
      <c r="D281" s="10">
        <v>42912.677083333336</v>
      </c>
      <c r="E281" s="10">
        <v>42916.668344907404</v>
      </c>
      <c r="F281" s="10">
        <v>42929</v>
      </c>
      <c r="G281" t="s">
        <v>8</v>
      </c>
      <c r="H281" t="s">
        <v>145</v>
      </c>
      <c r="I281" t="s">
        <v>128</v>
      </c>
      <c r="J281" s="11">
        <v>1</v>
      </c>
      <c r="K281" s="12">
        <v>126.99</v>
      </c>
      <c r="L281" s="12">
        <v>17.600000000000001</v>
      </c>
      <c r="M281" s="13">
        <v>5</v>
      </c>
      <c r="N281" s="13">
        <f t="shared" si="32"/>
        <v>7.1263541666630772</v>
      </c>
      <c r="O281" s="13">
        <f t="shared" si="33"/>
        <v>0</v>
      </c>
      <c r="P281" t="str">
        <f t="shared" si="34"/>
        <v>On Time</v>
      </c>
      <c r="Q281" s="13">
        <f t="shared" si="35"/>
        <v>0.24583333334885538</v>
      </c>
      <c r="R281" s="13">
        <f t="shared" si="36"/>
        <v>3.1248495370382443</v>
      </c>
      <c r="S281" s="13">
        <f t="shared" si="37"/>
        <v>3.9912615740686306</v>
      </c>
      <c r="T281" t="str">
        <f t="shared" si="38"/>
        <v>On Time/Early</v>
      </c>
      <c r="U281" t="str">
        <f t="shared" si="39"/>
        <v>Normal</v>
      </c>
      <c r="V281" t="s">
        <v>102</v>
      </c>
    </row>
    <row r="282" spans="1:22">
      <c r="A282" t="s">
        <v>587</v>
      </c>
      <c r="B282" s="10">
        <v>42909.555358796293</v>
      </c>
      <c r="C282" s="10">
        <v>42910.113425925927</v>
      </c>
      <c r="D282" s="10">
        <v>42912.72896990741</v>
      </c>
      <c r="E282" s="10">
        <v>42920.629502314812</v>
      </c>
      <c r="F282" s="10">
        <v>42934</v>
      </c>
      <c r="G282" t="s">
        <v>8</v>
      </c>
      <c r="H282" t="s">
        <v>588</v>
      </c>
      <c r="I282" t="s">
        <v>58</v>
      </c>
      <c r="J282" s="11">
        <v>1</v>
      </c>
      <c r="K282" s="12">
        <v>129.9</v>
      </c>
      <c r="L282" s="12">
        <v>16.670000000000002</v>
      </c>
      <c r="M282" s="13">
        <v>5</v>
      </c>
      <c r="N282" s="13">
        <f t="shared" si="32"/>
        <v>11.074143518519122</v>
      </c>
      <c r="O282" s="13">
        <f t="shared" si="33"/>
        <v>0</v>
      </c>
      <c r="P282" t="str">
        <f t="shared" si="34"/>
        <v>On Time</v>
      </c>
      <c r="Q282" s="13">
        <f t="shared" si="35"/>
        <v>13.393611111212522</v>
      </c>
      <c r="R282" s="13">
        <f t="shared" si="36"/>
        <v>2.6155439814829151</v>
      </c>
      <c r="S282" s="13">
        <f t="shared" si="37"/>
        <v>7.900532407402352</v>
      </c>
      <c r="T282" t="str">
        <f t="shared" si="38"/>
        <v>On Time/Early</v>
      </c>
      <c r="U282" t="str">
        <f t="shared" si="39"/>
        <v>Normal</v>
      </c>
      <c r="V282" t="s">
        <v>102</v>
      </c>
    </row>
    <row r="283" spans="1:22">
      <c r="A283" t="s">
        <v>589</v>
      </c>
      <c r="B283" s="10">
        <v>42909.761863425927</v>
      </c>
      <c r="C283" s="10">
        <v>42909.770983796298</v>
      </c>
      <c r="D283" s="10">
        <v>42912.572013888886</v>
      </c>
      <c r="E283" s="10">
        <v>42919.701319444444</v>
      </c>
      <c r="F283" s="10">
        <v>42937</v>
      </c>
      <c r="G283" t="s">
        <v>16</v>
      </c>
      <c r="H283" t="s">
        <v>590</v>
      </c>
      <c r="I283" t="s">
        <v>112</v>
      </c>
      <c r="J283" s="11">
        <v>1</v>
      </c>
      <c r="K283" s="12">
        <v>99.99</v>
      </c>
      <c r="L283" s="12">
        <v>27.24</v>
      </c>
      <c r="M283" s="13">
        <v>1</v>
      </c>
      <c r="N283" s="13">
        <f t="shared" si="32"/>
        <v>9.9394560185173759</v>
      </c>
      <c r="O283" s="13">
        <f t="shared" si="33"/>
        <v>0</v>
      </c>
      <c r="P283" t="str">
        <f t="shared" si="34"/>
        <v>On Time</v>
      </c>
      <c r="Q283" s="13">
        <f t="shared" si="35"/>
        <v>0.218888888892252</v>
      </c>
      <c r="R283" s="13">
        <f t="shared" si="36"/>
        <v>2.8010300925889169</v>
      </c>
      <c r="S283" s="13">
        <f t="shared" si="37"/>
        <v>7.1293055555579485</v>
      </c>
      <c r="T283" t="str">
        <f t="shared" si="38"/>
        <v>On Time/Early</v>
      </c>
      <c r="U283" t="str">
        <f t="shared" si="39"/>
        <v>Normal</v>
      </c>
      <c r="V283" t="s">
        <v>102</v>
      </c>
    </row>
    <row r="284" spans="1:22">
      <c r="A284" t="s">
        <v>591</v>
      </c>
      <c r="B284" s="10">
        <v>42911.77138888889</v>
      </c>
      <c r="C284" s="10">
        <v>42913.182766203703</v>
      </c>
      <c r="D284" s="10">
        <v>42913.563784722224</v>
      </c>
      <c r="E284" s="10">
        <v>42928.786145833335</v>
      </c>
      <c r="F284" s="10">
        <v>42934</v>
      </c>
      <c r="G284" t="s">
        <v>33</v>
      </c>
      <c r="H284" t="s">
        <v>592</v>
      </c>
      <c r="I284" t="s">
        <v>112</v>
      </c>
      <c r="J284" s="11">
        <v>1</v>
      </c>
      <c r="K284" s="12">
        <v>113.9</v>
      </c>
      <c r="L284" s="12">
        <v>18.05</v>
      </c>
      <c r="M284" s="13">
        <v>5</v>
      </c>
      <c r="N284" s="13">
        <f t="shared" si="32"/>
        <v>17.014756944445253</v>
      </c>
      <c r="O284" s="13">
        <f t="shared" si="33"/>
        <v>0</v>
      </c>
      <c r="P284" t="str">
        <f t="shared" si="34"/>
        <v>On Time</v>
      </c>
      <c r="Q284" s="13">
        <f t="shared" si="35"/>
        <v>33.873055555508472</v>
      </c>
      <c r="R284" s="13">
        <f t="shared" si="36"/>
        <v>0.38101851852115942</v>
      </c>
      <c r="S284" s="13">
        <f t="shared" si="37"/>
        <v>15.22236111111124</v>
      </c>
      <c r="T284" t="str">
        <f t="shared" si="38"/>
        <v>On Time/Early</v>
      </c>
      <c r="U284" t="str">
        <f t="shared" si="39"/>
        <v>Normal</v>
      </c>
      <c r="V284" t="s">
        <v>102</v>
      </c>
    </row>
    <row r="285" spans="1:22">
      <c r="A285" t="s">
        <v>593</v>
      </c>
      <c r="B285" s="10">
        <v>42911.775902777779</v>
      </c>
      <c r="C285" s="10">
        <v>42911.784884259258</v>
      </c>
      <c r="D285" s="10">
        <v>42912.783263888887</v>
      </c>
      <c r="E285" s="10">
        <v>42922.50677083333</v>
      </c>
      <c r="F285" s="10">
        <v>42937</v>
      </c>
      <c r="G285" t="s">
        <v>20</v>
      </c>
      <c r="H285" t="s">
        <v>594</v>
      </c>
      <c r="I285" t="s">
        <v>221</v>
      </c>
      <c r="J285" s="11">
        <v>1</v>
      </c>
      <c r="K285" s="12">
        <v>1349</v>
      </c>
      <c r="L285" s="12">
        <v>24.19</v>
      </c>
      <c r="M285" s="13">
        <v>5</v>
      </c>
      <c r="N285" s="13">
        <f t="shared" si="32"/>
        <v>10.730868055550673</v>
      </c>
      <c r="O285" s="13">
        <f t="shared" si="33"/>
        <v>0</v>
      </c>
      <c r="P285" t="str">
        <f t="shared" si="34"/>
        <v>On Time</v>
      </c>
      <c r="Q285" s="13">
        <f t="shared" si="35"/>
        <v>0.21555555547820404</v>
      </c>
      <c r="R285" s="13">
        <f t="shared" si="36"/>
        <v>0.99837962962919846</v>
      </c>
      <c r="S285" s="13">
        <f t="shared" si="37"/>
        <v>9.7235069444432156</v>
      </c>
      <c r="T285" t="str">
        <f t="shared" si="38"/>
        <v>On Time/Early</v>
      </c>
      <c r="U285" t="str">
        <f t="shared" si="39"/>
        <v>Normal</v>
      </c>
      <c r="V285" t="s">
        <v>102</v>
      </c>
    </row>
    <row r="286" spans="1:22">
      <c r="A286" t="s">
        <v>595</v>
      </c>
      <c r="B286" s="10">
        <v>42912.483599537038</v>
      </c>
      <c r="C286" s="10">
        <v>42912.489803240744</v>
      </c>
      <c r="D286" s="10">
        <v>42915.65011574074</v>
      </c>
      <c r="E286" s="10">
        <v>42926.781458333331</v>
      </c>
      <c r="F286" s="10">
        <v>42948</v>
      </c>
      <c r="G286" t="s">
        <v>33</v>
      </c>
      <c r="H286" t="s">
        <v>596</v>
      </c>
      <c r="I286" t="s">
        <v>180</v>
      </c>
      <c r="J286" s="11">
        <v>1</v>
      </c>
      <c r="K286" s="12">
        <v>27.9</v>
      </c>
      <c r="L286" s="12">
        <v>15.1</v>
      </c>
      <c r="M286" s="13">
        <v>5</v>
      </c>
      <c r="N286" s="13">
        <f t="shared" si="32"/>
        <v>14.29785879629344</v>
      </c>
      <c r="O286" s="13">
        <f t="shared" si="33"/>
        <v>0</v>
      </c>
      <c r="P286" t="str">
        <f t="shared" si="34"/>
        <v>On Time</v>
      </c>
      <c r="Q286" s="13">
        <f t="shared" si="35"/>
        <v>0.14888888894347474</v>
      </c>
      <c r="R286" s="13">
        <f t="shared" si="36"/>
        <v>3.1603124999965075</v>
      </c>
      <c r="S286" s="13">
        <f t="shared" si="37"/>
        <v>11.131342592590954</v>
      </c>
      <c r="T286" t="str">
        <f t="shared" si="38"/>
        <v>On Time/Early</v>
      </c>
      <c r="U286" t="str">
        <f t="shared" si="39"/>
        <v>Normal</v>
      </c>
      <c r="V286" t="s">
        <v>102</v>
      </c>
    </row>
    <row r="287" spans="1:22">
      <c r="A287" t="s">
        <v>597</v>
      </c>
      <c r="B287" s="10">
        <v>42912.749085648145</v>
      </c>
      <c r="C287" s="10">
        <v>42912.75712962963</v>
      </c>
      <c r="D287" s="10">
        <v>42913.637708333335</v>
      </c>
      <c r="E287" s="10">
        <v>42922.581192129626</v>
      </c>
      <c r="F287" s="10">
        <v>42942</v>
      </c>
      <c r="G287" t="s">
        <v>110</v>
      </c>
      <c r="H287" t="s">
        <v>111</v>
      </c>
      <c r="I287" t="s">
        <v>58</v>
      </c>
      <c r="J287" s="11">
        <v>3</v>
      </c>
      <c r="K287" s="12">
        <v>130.44</v>
      </c>
      <c r="L287" s="12">
        <v>45.3</v>
      </c>
      <c r="M287" s="13">
        <v>3</v>
      </c>
      <c r="N287" s="13">
        <f t="shared" si="32"/>
        <v>9.8321064814808778</v>
      </c>
      <c r="O287" s="13">
        <f t="shared" si="33"/>
        <v>0</v>
      </c>
      <c r="P287" t="str">
        <f t="shared" si="34"/>
        <v>On Time</v>
      </c>
      <c r="Q287" s="13">
        <f t="shared" si="35"/>
        <v>0.19305555563187227</v>
      </c>
      <c r="R287" s="13">
        <f t="shared" si="36"/>
        <v>0.88057870370539604</v>
      </c>
      <c r="S287" s="13">
        <f t="shared" si="37"/>
        <v>8.9434837962908205</v>
      </c>
      <c r="T287" t="str">
        <f t="shared" si="38"/>
        <v>On Time/Early</v>
      </c>
      <c r="U287" t="str">
        <f t="shared" si="39"/>
        <v>Normal</v>
      </c>
      <c r="V287" t="s">
        <v>102</v>
      </c>
    </row>
    <row r="288" spans="1:22">
      <c r="A288" t="s">
        <v>598</v>
      </c>
      <c r="B288" s="10">
        <v>42913.478009259263</v>
      </c>
      <c r="C288" s="10">
        <v>42913.503750000003</v>
      </c>
      <c r="D288" s="10">
        <v>42913.727662037039</v>
      </c>
      <c r="E288" s="10">
        <v>42914.65960648148</v>
      </c>
      <c r="F288" s="10">
        <v>42926</v>
      </c>
      <c r="G288" t="s">
        <v>8</v>
      </c>
      <c r="H288" t="s">
        <v>140</v>
      </c>
      <c r="I288" t="s">
        <v>141</v>
      </c>
      <c r="J288" s="11">
        <v>1</v>
      </c>
      <c r="K288" s="12">
        <v>59.9</v>
      </c>
      <c r="L288" s="12">
        <v>14.13</v>
      </c>
      <c r="M288" s="13">
        <v>1</v>
      </c>
      <c r="N288" s="13">
        <f t="shared" si="32"/>
        <v>1.1815972222175333</v>
      </c>
      <c r="O288" s="13">
        <f t="shared" si="33"/>
        <v>0</v>
      </c>
      <c r="P288" t="str">
        <f t="shared" si="34"/>
        <v>On Time</v>
      </c>
      <c r="Q288" s="13">
        <f t="shared" si="35"/>
        <v>0.61777777777751908</v>
      </c>
      <c r="R288" s="13">
        <f t="shared" si="36"/>
        <v>0.223912037035916</v>
      </c>
      <c r="S288" s="13">
        <f t="shared" si="37"/>
        <v>0.93194444444088731</v>
      </c>
      <c r="T288" t="str">
        <f t="shared" si="38"/>
        <v>On Time/Early</v>
      </c>
      <c r="U288" t="str">
        <f t="shared" si="39"/>
        <v>Normal</v>
      </c>
      <c r="V288" t="s">
        <v>102</v>
      </c>
    </row>
    <row r="289" spans="1:22">
      <c r="A289" t="s">
        <v>599</v>
      </c>
      <c r="B289" s="10">
        <v>42913.485011574077</v>
      </c>
      <c r="C289" s="10">
        <v>42913.51767361111</v>
      </c>
      <c r="D289" s="10">
        <v>42926.82403935185</v>
      </c>
      <c r="E289" s="10">
        <v>42933.694467592592</v>
      </c>
      <c r="F289" s="10">
        <v>42935</v>
      </c>
      <c r="G289" t="s">
        <v>8</v>
      </c>
      <c r="H289" t="s">
        <v>140</v>
      </c>
      <c r="I289" t="s">
        <v>384</v>
      </c>
      <c r="J289" s="11">
        <v>1</v>
      </c>
      <c r="K289" s="12">
        <v>35.9</v>
      </c>
      <c r="L289" s="12">
        <v>14.1</v>
      </c>
      <c r="M289" s="13">
        <v>3</v>
      </c>
      <c r="N289" s="13">
        <f t="shared" si="32"/>
        <v>20.209456018514175</v>
      </c>
      <c r="O289" s="13">
        <f t="shared" si="33"/>
        <v>0</v>
      </c>
      <c r="P289" t="str">
        <f t="shared" si="34"/>
        <v>On Time</v>
      </c>
      <c r="Q289" s="13">
        <f t="shared" si="35"/>
        <v>0.78388888877816498</v>
      </c>
      <c r="R289" s="13">
        <f t="shared" si="36"/>
        <v>13.306365740740148</v>
      </c>
      <c r="S289" s="13">
        <f t="shared" si="37"/>
        <v>6.8704282407416031</v>
      </c>
      <c r="T289" t="str">
        <f t="shared" si="38"/>
        <v>On Time/Early</v>
      </c>
      <c r="U289" t="str">
        <f t="shared" si="39"/>
        <v>Normal</v>
      </c>
      <c r="V289" t="s">
        <v>102</v>
      </c>
    </row>
    <row r="290" spans="1:22">
      <c r="A290" t="s">
        <v>600</v>
      </c>
      <c r="B290" s="10">
        <v>42914.614583333336</v>
      </c>
      <c r="C290" s="10">
        <v>42914.621747685182</v>
      </c>
      <c r="D290" s="10">
        <v>42914.626643518517</v>
      </c>
      <c r="E290" s="10">
        <v>42919.564375000002</v>
      </c>
      <c r="F290" s="10">
        <v>42934</v>
      </c>
      <c r="G290" t="s">
        <v>8</v>
      </c>
      <c r="H290" t="s">
        <v>140</v>
      </c>
      <c r="I290" t="s">
        <v>58</v>
      </c>
      <c r="J290" s="11">
        <v>1</v>
      </c>
      <c r="K290" s="12">
        <v>148.9</v>
      </c>
      <c r="L290" s="12">
        <v>16.670000000000002</v>
      </c>
      <c r="M290" s="13">
        <v>5</v>
      </c>
      <c r="N290" s="13">
        <f t="shared" si="32"/>
        <v>4.9497916666659876</v>
      </c>
      <c r="O290" s="13">
        <f t="shared" si="33"/>
        <v>0</v>
      </c>
      <c r="P290" t="str">
        <f t="shared" si="34"/>
        <v>On Time</v>
      </c>
      <c r="Q290" s="13">
        <f t="shared" si="35"/>
        <v>0.17194444430060685</v>
      </c>
      <c r="R290" s="13">
        <f t="shared" si="36"/>
        <v>4.8958333354676142E-3</v>
      </c>
      <c r="S290" s="13">
        <f t="shared" si="37"/>
        <v>4.9377314814846613</v>
      </c>
      <c r="T290" t="str">
        <f t="shared" si="38"/>
        <v>On Time/Early</v>
      </c>
      <c r="U290" t="str">
        <f t="shared" si="39"/>
        <v>Normal</v>
      </c>
      <c r="V290" t="s">
        <v>102</v>
      </c>
    </row>
    <row r="291" spans="1:22">
      <c r="A291" t="s">
        <v>601</v>
      </c>
      <c r="B291" s="10">
        <v>42914.702303240738</v>
      </c>
      <c r="C291" s="10">
        <v>42914.729826388888</v>
      </c>
      <c r="D291" s="10">
        <v>42915.713831018518</v>
      </c>
      <c r="E291" s="10">
        <v>42934.752013888887</v>
      </c>
      <c r="F291" s="10">
        <v>42944</v>
      </c>
      <c r="G291" t="s">
        <v>23</v>
      </c>
      <c r="H291" t="s">
        <v>602</v>
      </c>
      <c r="I291" t="s">
        <v>141</v>
      </c>
      <c r="J291" s="11">
        <v>1</v>
      </c>
      <c r="K291" s="12">
        <v>59.9</v>
      </c>
      <c r="L291" s="12">
        <v>27.8</v>
      </c>
      <c r="M291" s="13">
        <v>3</v>
      </c>
      <c r="N291" s="13">
        <f t="shared" si="32"/>
        <v>20.049710648148903</v>
      </c>
      <c r="O291" s="13">
        <f t="shared" si="33"/>
        <v>0</v>
      </c>
      <c r="P291" t="str">
        <f t="shared" si="34"/>
        <v>On Time</v>
      </c>
      <c r="Q291" s="13">
        <f t="shared" si="35"/>
        <v>0.66055555560160428</v>
      </c>
      <c r="R291" s="13">
        <f t="shared" si="36"/>
        <v>0.98400462963036261</v>
      </c>
      <c r="S291" s="13">
        <f t="shared" si="37"/>
        <v>19.038182870368473</v>
      </c>
      <c r="T291" t="str">
        <f t="shared" si="38"/>
        <v>On Time/Early</v>
      </c>
      <c r="U291" t="str">
        <f t="shared" si="39"/>
        <v>Normal</v>
      </c>
      <c r="V291" t="s">
        <v>102</v>
      </c>
    </row>
    <row r="292" spans="1:22">
      <c r="A292" t="s">
        <v>603</v>
      </c>
      <c r="B292" s="10">
        <v>42915.546215277776</v>
      </c>
      <c r="C292" s="10">
        <v>42915.552314814813</v>
      </c>
      <c r="D292" s="10">
        <v>42916.686111111114</v>
      </c>
      <c r="E292" s="10">
        <v>42922.577592592592</v>
      </c>
      <c r="F292" s="10">
        <v>42935</v>
      </c>
      <c r="G292" t="s">
        <v>8</v>
      </c>
      <c r="H292" t="s">
        <v>212</v>
      </c>
      <c r="I292" t="s">
        <v>101</v>
      </c>
      <c r="J292" s="11">
        <v>1</v>
      </c>
      <c r="K292" s="12">
        <v>59.9</v>
      </c>
      <c r="L292" s="12">
        <v>11.92</v>
      </c>
      <c r="M292" s="13">
        <v>5</v>
      </c>
      <c r="N292" s="13">
        <f t="shared" si="32"/>
        <v>7.0313773148154723</v>
      </c>
      <c r="O292" s="13">
        <f t="shared" si="33"/>
        <v>0</v>
      </c>
      <c r="P292" t="str">
        <f t="shared" si="34"/>
        <v>On Time</v>
      </c>
      <c r="Q292" s="13">
        <f t="shared" si="35"/>
        <v>0.14638888888293877</v>
      </c>
      <c r="R292" s="13">
        <f t="shared" si="36"/>
        <v>1.1337962963007158</v>
      </c>
      <c r="S292" s="13">
        <f t="shared" si="37"/>
        <v>5.8914814814779675</v>
      </c>
      <c r="T292" t="str">
        <f t="shared" si="38"/>
        <v>On Time/Early</v>
      </c>
      <c r="U292" t="str">
        <f t="shared" si="39"/>
        <v>Normal</v>
      </c>
      <c r="V292" t="s">
        <v>102</v>
      </c>
    </row>
    <row r="293" spans="1:22">
      <c r="A293" t="s">
        <v>604</v>
      </c>
      <c r="B293" s="10">
        <v>42915.644363425927</v>
      </c>
      <c r="C293" s="10">
        <v>42915.649537037039</v>
      </c>
      <c r="D293" s="10">
        <v>42916.602916666663</v>
      </c>
      <c r="E293" s="10">
        <v>42925.658136574071</v>
      </c>
      <c r="F293" s="10">
        <v>42949</v>
      </c>
      <c r="G293" t="s">
        <v>8</v>
      </c>
      <c r="H293" t="s">
        <v>605</v>
      </c>
      <c r="I293" t="s">
        <v>185</v>
      </c>
      <c r="J293" s="11">
        <v>1</v>
      </c>
      <c r="K293" s="12">
        <v>29.9</v>
      </c>
      <c r="L293" s="12">
        <v>12.69</v>
      </c>
      <c r="M293" s="13">
        <v>4</v>
      </c>
      <c r="N293" s="13">
        <f t="shared" si="32"/>
        <v>10.013773148144537</v>
      </c>
      <c r="O293" s="13">
        <f t="shared" si="33"/>
        <v>0</v>
      </c>
      <c r="P293" t="str">
        <f t="shared" si="34"/>
        <v>On Time</v>
      </c>
      <c r="Q293" s="13">
        <f t="shared" si="35"/>
        <v>0.12416666670469567</v>
      </c>
      <c r="R293" s="13">
        <f t="shared" si="36"/>
        <v>0.95337962962366873</v>
      </c>
      <c r="S293" s="13">
        <f t="shared" si="37"/>
        <v>9.0552199074081727</v>
      </c>
      <c r="T293" t="str">
        <f t="shared" si="38"/>
        <v>On Time/Early</v>
      </c>
      <c r="U293" t="str">
        <f t="shared" si="39"/>
        <v>Normal</v>
      </c>
      <c r="V293" t="s">
        <v>102</v>
      </c>
    </row>
    <row r="294" spans="1:22">
      <c r="A294" t="s">
        <v>606</v>
      </c>
      <c r="B294" s="10">
        <v>42915.891608796293</v>
      </c>
      <c r="C294" s="10">
        <v>42917.196817129632</v>
      </c>
      <c r="D294" s="10">
        <v>42919.642129629632</v>
      </c>
      <c r="E294" s="10">
        <v>42926.744166666664</v>
      </c>
      <c r="F294" s="10">
        <v>42935</v>
      </c>
      <c r="G294" t="s">
        <v>8</v>
      </c>
      <c r="H294" t="s">
        <v>607</v>
      </c>
      <c r="I294" t="s">
        <v>118</v>
      </c>
      <c r="J294" s="11">
        <v>1</v>
      </c>
      <c r="K294" s="12">
        <v>17</v>
      </c>
      <c r="L294" s="12">
        <v>11.85</v>
      </c>
      <c r="M294" s="13">
        <v>5</v>
      </c>
      <c r="N294" s="13">
        <f t="shared" si="32"/>
        <v>10.852557870370219</v>
      </c>
      <c r="O294" s="13">
        <f t="shared" si="33"/>
        <v>0</v>
      </c>
      <c r="P294" t="str">
        <f t="shared" si="34"/>
        <v>On Time</v>
      </c>
      <c r="Q294" s="13">
        <f t="shared" si="35"/>
        <v>31.325000000128057</v>
      </c>
      <c r="R294" s="13">
        <f t="shared" si="36"/>
        <v>2.4453125</v>
      </c>
      <c r="S294" s="13">
        <f t="shared" si="37"/>
        <v>7.1020370370315504</v>
      </c>
      <c r="T294" t="str">
        <f t="shared" si="38"/>
        <v>On Time/Early</v>
      </c>
      <c r="U294" t="str">
        <f t="shared" si="39"/>
        <v>Normal</v>
      </c>
      <c r="V294" t="s">
        <v>102</v>
      </c>
    </row>
    <row r="295" spans="1:22">
      <c r="A295" t="s">
        <v>608</v>
      </c>
      <c r="B295" s="10">
        <v>42915.893495370372</v>
      </c>
      <c r="C295" s="10">
        <v>42915.899409722224</v>
      </c>
      <c r="D295" s="10">
        <v>42916.657453703701</v>
      </c>
      <c r="E295" s="10">
        <v>42936.946458333332</v>
      </c>
      <c r="F295" s="10">
        <v>42941</v>
      </c>
      <c r="G295" t="s">
        <v>43</v>
      </c>
      <c r="H295" t="s">
        <v>398</v>
      </c>
      <c r="I295" t="s">
        <v>180</v>
      </c>
      <c r="J295" s="11">
        <v>1</v>
      </c>
      <c r="K295" s="12">
        <v>89.9</v>
      </c>
      <c r="L295" s="12">
        <v>15.38</v>
      </c>
      <c r="M295" s="13">
        <v>5</v>
      </c>
      <c r="N295" s="13">
        <f t="shared" si="32"/>
        <v>21.052962962960009</v>
      </c>
      <c r="O295" s="13">
        <f t="shared" si="33"/>
        <v>0</v>
      </c>
      <c r="P295" t="str">
        <f t="shared" si="34"/>
        <v>On Time</v>
      </c>
      <c r="Q295" s="13">
        <f t="shared" si="35"/>
        <v>0.14194444444729015</v>
      </c>
      <c r="R295" s="13">
        <f t="shared" si="36"/>
        <v>0.75804398147738539</v>
      </c>
      <c r="S295" s="13">
        <f t="shared" si="37"/>
        <v>20.289004629630654</v>
      </c>
      <c r="T295" t="str">
        <f t="shared" si="38"/>
        <v>On Time/Early</v>
      </c>
      <c r="U295" t="str">
        <f t="shared" si="39"/>
        <v>Normal</v>
      </c>
      <c r="V295" t="s">
        <v>102</v>
      </c>
    </row>
    <row r="296" spans="1:22">
      <c r="A296" t="s">
        <v>609</v>
      </c>
      <c r="B296" s="10">
        <v>42916.681944444441</v>
      </c>
      <c r="C296" s="10">
        <v>42916.691076388888</v>
      </c>
      <c r="D296" s="10">
        <v>42920.663576388892</v>
      </c>
      <c r="E296" s="10">
        <v>42921.615729166668</v>
      </c>
      <c r="F296" s="10">
        <v>42929</v>
      </c>
      <c r="G296" t="s">
        <v>8</v>
      </c>
      <c r="H296" t="s">
        <v>140</v>
      </c>
      <c r="I296" t="s">
        <v>101</v>
      </c>
      <c r="J296" s="11">
        <v>1</v>
      </c>
      <c r="K296" s="12">
        <v>49.9</v>
      </c>
      <c r="L296" s="12">
        <v>9.34</v>
      </c>
      <c r="M296" s="13">
        <v>5</v>
      </c>
      <c r="N296" s="13">
        <f t="shared" si="32"/>
        <v>4.9337847222268465</v>
      </c>
      <c r="O296" s="13">
        <f t="shared" si="33"/>
        <v>0</v>
      </c>
      <c r="P296" t="str">
        <f t="shared" si="34"/>
        <v>On Time</v>
      </c>
      <c r="Q296" s="13">
        <f t="shared" si="35"/>
        <v>0.21916666673496366</v>
      </c>
      <c r="R296" s="13">
        <f t="shared" si="36"/>
        <v>3.9725000000034925</v>
      </c>
      <c r="S296" s="13">
        <f t="shared" si="37"/>
        <v>0.95215277777606389</v>
      </c>
      <c r="T296" t="str">
        <f t="shared" si="38"/>
        <v>On Time/Early</v>
      </c>
      <c r="U296" t="str">
        <f t="shared" si="39"/>
        <v>Normal</v>
      </c>
      <c r="V296" t="s">
        <v>102</v>
      </c>
    </row>
    <row r="297" spans="1:22">
      <c r="A297" t="s">
        <v>610</v>
      </c>
      <c r="B297" s="10">
        <v>42917.918865740743</v>
      </c>
      <c r="C297" s="10">
        <v>42917.92728009259</v>
      </c>
      <c r="D297" s="10">
        <v>42919.640057870369</v>
      </c>
      <c r="E297" s="10">
        <v>42927.810219907406</v>
      </c>
      <c r="F297" s="10">
        <v>42941</v>
      </c>
      <c r="G297" t="s">
        <v>33</v>
      </c>
      <c r="H297" t="s">
        <v>611</v>
      </c>
      <c r="I297" t="s">
        <v>123</v>
      </c>
      <c r="J297" s="11">
        <v>1</v>
      </c>
      <c r="K297" s="12">
        <v>199.99</v>
      </c>
      <c r="L297" s="12">
        <v>18.649999999999999</v>
      </c>
      <c r="M297" s="13">
        <v>5</v>
      </c>
      <c r="N297" s="13">
        <f t="shared" si="32"/>
        <v>9.8913541666624951</v>
      </c>
      <c r="O297" s="13">
        <f t="shared" si="33"/>
        <v>0</v>
      </c>
      <c r="P297" t="str">
        <f t="shared" si="34"/>
        <v>On Time</v>
      </c>
      <c r="Q297" s="13">
        <f t="shared" si="35"/>
        <v>0.20194444432854652</v>
      </c>
      <c r="R297" s="13">
        <f t="shared" si="36"/>
        <v>1.7127777777786832</v>
      </c>
      <c r="S297" s="13">
        <f t="shared" si="37"/>
        <v>8.1701620370367891</v>
      </c>
      <c r="T297" t="str">
        <f t="shared" si="38"/>
        <v>On Time/Early</v>
      </c>
      <c r="U297" t="str">
        <f t="shared" si="39"/>
        <v>Normal</v>
      </c>
      <c r="V297" t="s">
        <v>102</v>
      </c>
    </row>
    <row r="298" spans="1:22">
      <c r="A298" t="s">
        <v>612</v>
      </c>
      <c r="B298" s="10">
        <v>42918.033368055556</v>
      </c>
      <c r="C298" s="10">
        <v>42918.044664351852</v>
      </c>
      <c r="D298" s="10">
        <v>42919.570162037038</v>
      </c>
      <c r="E298" s="10">
        <v>42921.595555555556</v>
      </c>
      <c r="F298" s="10">
        <v>42941</v>
      </c>
      <c r="G298" t="s">
        <v>8</v>
      </c>
      <c r="H298" t="s">
        <v>140</v>
      </c>
      <c r="I298" t="s">
        <v>101</v>
      </c>
      <c r="J298" s="11">
        <v>2</v>
      </c>
      <c r="K298" s="12">
        <v>33.799999999999997</v>
      </c>
      <c r="L298" s="12">
        <v>30.2</v>
      </c>
      <c r="M298" s="13">
        <v>3</v>
      </c>
      <c r="N298" s="13">
        <f t="shared" si="32"/>
        <v>3.562187499999709</v>
      </c>
      <c r="O298" s="13">
        <f t="shared" si="33"/>
        <v>0</v>
      </c>
      <c r="P298" t="str">
        <f t="shared" si="34"/>
        <v>On Time</v>
      </c>
      <c r="Q298" s="13">
        <f t="shared" si="35"/>
        <v>0.27111111109843478</v>
      </c>
      <c r="R298" s="13">
        <f t="shared" si="36"/>
        <v>1.5254976851865649</v>
      </c>
      <c r="S298" s="13">
        <f t="shared" si="37"/>
        <v>2.0253935185173759</v>
      </c>
      <c r="T298" t="str">
        <f t="shared" si="38"/>
        <v>On Time/Early</v>
      </c>
      <c r="U298" t="str">
        <f t="shared" si="39"/>
        <v>Normal</v>
      </c>
      <c r="V298" t="s">
        <v>102</v>
      </c>
    </row>
    <row r="299" spans="1:22">
      <c r="A299" t="s">
        <v>613</v>
      </c>
      <c r="B299" s="10">
        <v>42918.502442129633</v>
      </c>
      <c r="C299" s="10">
        <v>42918.510636574072</v>
      </c>
      <c r="D299" s="10">
        <v>42921.572754629633</v>
      </c>
      <c r="E299" s="10">
        <v>42927.91920138889</v>
      </c>
      <c r="F299" s="10">
        <v>42941</v>
      </c>
      <c r="G299" t="s">
        <v>16</v>
      </c>
      <c r="H299" t="s">
        <v>563</v>
      </c>
      <c r="I299" t="s">
        <v>141</v>
      </c>
      <c r="J299" s="11">
        <v>2</v>
      </c>
      <c r="K299" s="12">
        <v>269</v>
      </c>
      <c r="L299" s="12">
        <v>37.11</v>
      </c>
      <c r="M299" s="13">
        <v>5</v>
      </c>
      <c r="N299" s="13">
        <f t="shared" si="32"/>
        <v>9.4167592592566507</v>
      </c>
      <c r="O299" s="13">
        <f t="shared" si="33"/>
        <v>0</v>
      </c>
      <c r="P299" t="str">
        <f t="shared" si="34"/>
        <v>On Time</v>
      </c>
      <c r="Q299" s="13">
        <f t="shared" si="35"/>
        <v>0.19666666653938591</v>
      </c>
      <c r="R299" s="13">
        <f t="shared" si="36"/>
        <v>3.0621180555608589</v>
      </c>
      <c r="S299" s="13">
        <f t="shared" si="37"/>
        <v>6.3464467592566507</v>
      </c>
      <c r="T299" t="str">
        <f t="shared" si="38"/>
        <v>On Time/Early</v>
      </c>
      <c r="U299" t="str">
        <f t="shared" si="39"/>
        <v>Normal</v>
      </c>
      <c r="V299" t="s">
        <v>102</v>
      </c>
    </row>
    <row r="300" spans="1:22">
      <c r="A300" t="s">
        <v>614</v>
      </c>
      <c r="B300" s="10">
        <v>42918.665567129632</v>
      </c>
      <c r="C300" s="10">
        <v>42918.673773148148</v>
      </c>
      <c r="D300" s="10">
        <v>42920.665810185186</v>
      </c>
      <c r="E300" s="10">
        <v>42951.505289351851</v>
      </c>
      <c r="F300" s="10">
        <v>42951</v>
      </c>
      <c r="G300" t="s">
        <v>192</v>
      </c>
      <c r="H300" t="s">
        <v>615</v>
      </c>
      <c r="I300" t="s">
        <v>31</v>
      </c>
      <c r="J300" s="11">
        <v>1</v>
      </c>
      <c r="K300" s="12">
        <v>65</v>
      </c>
      <c r="L300" s="12">
        <v>35.770000000000003</v>
      </c>
      <c r="M300" s="13">
        <v>4</v>
      </c>
      <c r="N300" s="13">
        <f t="shared" si="32"/>
        <v>32.83972222221928</v>
      </c>
      <c r="O300" s="13">
        <f t="shared" si="33"/>
        <v>0.50528935185138835</v>
      </c>
      <c r="P300" t="str">
        <f t="shared" si="34"/>
        <v>Delayed</v>
      </c>
      <c r="Q300" s="13">
        <f t="shared" si="35"/>
        <v>0.19694444438209757</v>
      </c>
      <c r="R300" s="13">
        <f t="shared" si="36"/>
        <v>1.9920370370382443</v>
      </c>
      <c r="S300" s="13">
        <f t="shared" si="37"/>
        <v>30.839479166665114</v>
      </c>
      <c r="T300" t="str">
        <f t="shared" si="38"/>
        <v>1-3 Days Late</v>
      </c>
      <c r="U300" t="str">
        <f t="shared" si="39"/>
        <v>Needs Review</v>
      </c>
      <c r="V300" t="s">
        <v>102</v>
      </c>
    </row>
    <row r="301" spans="1:22">
      <c r="A301" t="s">
        <v>616</v>
      </c>
      <c r="B301" s="10">
        <v>42918.874108796299</v>
      </c>
      <c r="C301" s="10">
        <v>42918.882175925923</v>
      </c>
      <c r="D301" s="10">
        <v>42923.724085648151</v>
      </c>
      <c r="E301" s="10">
        <v>42922.602673611109</v>
      </c>
      <c r="F301" s="10">
        <v>42937</v>
      </c>
      <c r="G301" t="s">
        <v>20</v>
      </c>
      <c r="H301" t="s">
        <v>617</v>
      </c>
      <c r="I301" t="s">
        <v>101</v>
      </c>
      <c r="J301" s="11">
        <v>2</v>
      </c>
      <c r="K301" s="12">
        <v>83.8</v>
      </c>
      <c r="L301" s="12">
        <v>27.44</v>
      </c>
      <c r="M301" s="13">
        <v>1</v>
      </c>
      <c r="N301" s="13">
        <f t="shared" si="32"/>
        <v>3.7285648148099426</v>
      </c>
      <c r="O301" s="13">
        <f t="shared" si="33"/>
        <v>0</v>
      </c>
      <c r="P301" t="str">
        <f t="shared" si="34"/>
        <v>On Time</v>
      </c>
      <c r="Q301" s="13">
        <f t="shared" si="35"/>
        <v>0.19361111096804962</v>
      </c>
      <c r="R301" s="13">
        <f t="shared" si="36"/>
        <v>4.8419097222285927</v>
      </c>
      <c r="S301" s="13">
        <f t="shared" si="37"/>
        <v>-1.1214120370423188</v>
      </c>
      <c r="T301" t="str">
        <f t="shared" si="38"/>
        <v>On Time/Early</v>
      </c>
      <c r="U301" t="str">
        <f t="shared" si="39"/>
        <v>Normal</v>
      </c>
      <c r="V301" t="s">
        <v>102</v>
      </c>
    </row>
    <row r="302" spans="1:22">
      <c r="A302" t="s">
        <v>618</v>
      </c>
      <c r="B302" s="10">
        <v>42918.91715277778</v>
      </c>
      <c r="C302" s="10">
        <v>42918.923784722225</v>
      </c>
      <c r="D302" s="10">
        <v>42920.38994212963</v>
      </c>
      <c r="E302" s="10">
        <v>42930.809907407405</v>
      </c>
      <c r="F302" s="10">
        <v>42943</v>
      </c>
      <c r="G302" t="s">
        <v>43</v>
      </c>
      <c r="H302" t="s">
        <v>401</v>
      </c>
      <c r="I302" t="s">
        <v>136</v>
      </c>
      <c r="J302" s="11">
        <v>1</v>
      </c>
      <c r="K302" s="12">
        <v>36.9</v>
      </c>
      <c r="L302" s="12">
        <v>16.11</v>
      </c>
      <c r="M302" s="13">
        <v>5</v>
      </c>
      <c r="N302" s="13">
        <f t="shared" si="32"/>
        <v>11.892754629625415</v>
      </c>
      <c r="O302" s="13">
        <f t="shared" si="33"/>
        <v>0</v>
      </c>
      <c r="P302" t="str">
        <f t="shared" si="34"/>
        <v>On Time</v>
      </c>
      <c r="Q302" s="13">
        <f t="shared" si="35"/>
        <v>0.1591666666790843</v>
      </c>
      <c r="R302" s="13">
        <f t="shared" si="36"/>
        <v>1.4661574074052623</v>
      </c>
      <c r="S302" s="13">
        <f t="shared" si="37"/>
        <v>10.419965277775191</v>
      </c>
      <c r="T302" t="str">
        <f t="shared" si="38"/>
        <v>On Time/Early</v>
      </c>
      <c r="U302" t="str">
        <f t="shared" si="39"/>
        <v>Normal</v>
      </c>
      <c r="V302" t="s">
        <v>102</v>
      </c>
    </row>
    <row r="303" spans="1:22">
      <c r="A303" t="s">
        <v>619</v>
      </c>
      <c r="B303" s="10">
        <v>42919.582557870373</v>
      </c>
      <c r="C303" s="10">
        <v>42919.593946759262</v>
      </c>
      <c r="D303" s="10">
        <v>42922.412847222222</v>
      </c>
      <c r="E303" s="10">
        <v>42928.797106481485</v>
      </c>
      <c r="F303" s="10">
        <v>42941</v>
      </c>
      <c r="G303" t="s">
        <v>8</v>
      </c>
      <c r="H303" t="s">
        <v>620</v>
      </c>
      <c r="I303" t="s">
        <v>136</v>
      </c>
      <c r="J303" s="11">
        <v>1</v>
      </c>
      <c r="K303" s="12">
        <v>29.5</v>
      </c>
      <c r="L303" s="12">
        <v>16.11</v>
      </c>
      <c r="M303" s="13">
        <v>4</v>
      </c>
      <c r="N303" s="13">
        <f t="shared" si="32"/>
        <v>9.2145486111112405</v>
      </c>
      <c r="O303" s="13">
        <f t="shared" si="33"/>
        <v>0</v>
      </c>
      <c r="P303" t="str">
        <f t="shared" si="34"/>
        <v>On Time</v>
      </c>
      <c r="Q303" s="13">
        <f t="shared" si="35"/>
        <v>0.27333333331625909</v>
      </c>
      <c r="R303" s="13">
        <f t="shared" si="36"/>
        <v>2.8189004629603005</v>
      </c>
      <c r="S303" s="13">
        <f t="shared" si="37"/>
        <v>6.3842592592627625</v>
      </c>
      <c r="T303" t="str">
        <f t="shared" si="38"/>
        <v>On Time/Early</v>
      </c>
      <c r="U303" t="str">
        <f t="shared" si="39"/>
        <v>Normal</v>
      </c>
      <c r="V303" t="s">
        <v>102</v>
      </c>
    </row>
    <row r="304" spans="1:22">
      <c r="A304" t="s">
        <v>621</v>
      </c>
      <c r="B304" s="10">
        <v>42919.609363425923</v>
      </c>
      <c r="C304" s="10">
        <v>42919.618310185186</v>
      </c>
      <c r="D304" s="10">
        <v>42919.647928240738</v>
      </c>
      <c r="E304" s="10">
        <v>42927.754016203704</v>
      </c>
      <c r="F304" s="10">
        <v>42937</v>
      </c>
      <c r="G304" t="s">
        <v>8</v>
      </c>
      <c r="H304" t="s">
        <v>182</v>
      </c>
      <c r="I304" t="s">
        <v>112</v>
      </c>
      <c r="J304" s="11">
        <v>1</v>
      </c>
      <c r="K304" s="12">
        <v>45</v>
      </c>
      <c r="L304" s="12">
        <v>12.69</v>
      </c>
      <c r="M304" s="13">
        <v>3</v>
      </c>
      <c r="N304" s="13">
        <f t="shared" si="32"/>
        <v>8.1446527777807205</v>
      </c>
      <c r="O304" s="13">
        <f t="shared" si="33"/>
        <v>0</v>
      </c>
      <c r="P304" t="str">
        <f t="shared" si="34"/>
        <v>On Time</v>
      </c>
      <c r="Q304" s="13">
        <f t="shared" si="35"/>
        <v>0.21472222229931504</v>
      </c>
      <c r="R304" s="13">
        <f t="shared" si="36"/>
        <v>2.9618055552418809E-2</v>
      </c>
      <c r="S304" s="13">
        <f t="shared" si="37"/>
        <v>8.1060879629658302</v>
      </c>
      <c r="T304" t="str">
        <f t="shared" si="38"/>
        <v>On Time/Early</v>
      </c>
      <c r="U304" t="str">
        <f t="shared" si="39"/>
        <v>Normal</v>
      </c>
      <c r="V304" t="s">
        <v>102</v>
      </c>
    </row>
    <row r="305" spans="1:22">
      <c r="A305" t="s">
        <v>622</v>
      </c>
      <c r="B305" s="10">
        <v>42919.737372685187</v>
      </c>
      <c r="C305" s="10">
        <v>42919.746759259258</v>
      </c>
      <c r="D305" s="10">
        <v>42922.578287037039</v>
      </c>
      <c r="E305" s="10">
        <v>42927.843680555554</v>
      </c>
      <c r="F305" s="10">
        <v>42943</v>
      </c>
      <c r="G305" t="s">
        <v>30</v>
      </c>
      <c r="H305" t="s">
        <v>100</v>
      </c>
      <c r="I305" t="s">
        <v>623</v>
      </c>
      <c r="J305" s="11">
        <v>1</v>
      </c>
      <c r="K305" s="12">
        <v>41.5</v>
      </c>
      <c r="L305" s="12">
        <v>16.11</v>
      </c>
      <c r="M305" s="13">
        <v>5</v>
      </c>
      <c r="N305" s="13">
        <f t="shared" si="32"/>
        <v>8.106307870366436</v>
      </c>
      <c r="O305" s="13">
        <f t="shared" si="33"/>
        <v>0</v>
      </c>
      <c r="P305" t="str">
        <f t="shared" si="34"/>
        <v>On Time</v>
      </c>
      <c r="Q305" s="13">
        <f t="shared" si="35"/>
        <v>0.22527777770301327</v>
      </c>
      <c r="R305" s="13">
        <f t="shared" si="36"/>
        <v>2.8315277777801384</v>
      </c>
      <c r="S305" s="13">
        <f t="shared" si="37"/>
        <v>5.2653935185153387</v>
      </c>
      <c r="T305" t="str">
        <f t="shared" si="38"/>
        <v>On Time/Early</v>
      </c>
      <c r="U305" t="str">
        <f t="shared" si="39"/>
        <v>Normal</v>
      </c>
      <c r="V305" t="s">
        <v>102</v>
      </c>
    </row>
    <row r="306" spans="1:22">
      <c r="A306" t="s">
        <v>624</v>
      </c>
      <c r="B306" s="10">
        <v>42919.854062500002</v>
      </c>
      <c r="C306" s="10">
        <v>42919.864722222221</v>
      </c>
      <c r="D306" s="10">
        <v>42923.806875000002</v>
      </c>
      <c r="E306" s="10">
        <v>42962.491319444445</v>
      </c>
      <c r="F306" s="10">
        <v>42941</v>
      </c>
      <c r="G306" t="s">
        <v>16</v>
      </c>
      <c r="H306" t="s">
        <v>625</v>
      </c>
      <c r="I306" t="s">
        <v>120</v>
      </c>
      <c r="J306" s="11">
        <v>1</v>
      </c>
      <c r="K306" s="12">
        <v>109.9</v>
      </c>
      <c r="L306" s="12">
        <v>15.52</v>
      </c>
      <c r="M306" s="13">
        <v>5</v>
      </c>
      <c r="N306" s="13">
        <f t="shared" si="32"/>
        <v>42.637256944442925</v>
      </c>
      <c r="O306" s="13">
        <f t="shared" si="33"/>
        <v>21.491319444445253</v>
      </c>
      <c r="P306" t="str">
        <f t="shared" si="34"/>
        <v>Delayed</v>
      </c>
      <c r="Q306" s="13">
        <f t="shared" si="35"/>
        <v>0.25583333324175328</v>
      </c>
      <c r="R306" s="13">
        <f t="shared" si="36"/>
        <v>3.9421527777813026</v>
      </c>
      <c r="S306" s="13">
        <f t="shared" si="37"/>
        <v>38.684444444443216</v>
      </c>
      <c r="T306" t="str">
        <f t="shared" si="38"/>
        <v>8+ Days Late</v>
      </c>
      <c r="U306" t="str">
        <f t="shared" si="39"/>
        <v>Needs Review</v>
      </c>
      <c r="V306" t="s">
        <v>102</v>
      </c>
    </row>
    <row r="307" spans="1:22">
      <c r="A307" t="s">
        <v>626</v>
      </c>
      <c r="B307" s="10">
        <v>42920.64334490741</v>
      </c>
      <c r="C307" s="10">
        <v>42922.141655092593</v>
      </c>
      <c r="D307" s="10">
        <v>42922.565659722219</v>
      </c>
      <c r="E307" s="10">
        <v>42930.788611111115</v>
      </c>
      <c r="F307" s="10">
        <v>42942</v>
      </c>
      <c r="G307" t="s">
        <v>16</v>
      </c>
      <c r="H307" t="s">
        <v>138</v>
      </c>
      <c r="I307" t="s">
        <v>24</v>
      </c>
      <c r="J307" s="11">
        <v>1</v>
      </c>
      <c r="K307" s="12">
        <v>63.49</v>
      </c>
      <c r="L307" s="12">
        <v>15.19</v>
      </c>
      <c r="M307" s="13">
        <v>5</v>
      </c>
      <c r="N307" s="13">
        <f t="shared" si="32"/>
        <v>10.145266203704523</v>
      </c>
      <c r="O307" s="13">
        <f t="shared" si="33"/>
        <v>0</v>
      </c>
      <c r="P307" t="str">
        <f t="shared" si="34"/>
        <v>On Time</v>
      </c>
      <c r="Q307" s="13">
        <f t="shared" si="35"/>
        <v>35.959444444393739</v>
      </c>
      <c r="R307" s="13">
        <f t="shared" si="36"/>
        <v>0.42400462962541496</v>
      </c>
      <c r="S307" s="13">
        <f t="shared" si="37"/>
        <v>8.2229513888960355</v>
      </c>
      <c r="T307" t="str">
        <f t="shared" si="38"/>
        <v>On Time/Early</v>
      </c>
      <c r="U307" t="str">
        <f t="shared" si="39"/>
        <v>Normal</v>
      </c>
      <c r="V307" t="s">
        <v>102</v>
      </c>
    </row>
    <row r="308" spans="1:22">
      <c r="A308" t="s">
        <v>627</v>
      </c>
      <c r="B308" s="10">
        <v>42920.65519675926</v>
      </c>
      <c r="C308" s="10">
        <v>42922.142881944441</v>
      </c>
      <c r="D308" s="10">
        <v>42922.580347222225</v>
      </c>
      <c r="E308" s="10">
        <v>42935.706145833334</v>
      </c>
      <c r="F308" s="10">
        <v>42956</v>
      </c>
      <c r="G308" t="s">
        <v>134</v>
      </c>
      <c r="H308" t="s">
        <v>628</v>
      </c>
      <c r="I308" t="s">
        <v>368</v>
      </c>
      <c r="J308" s="11">
        <v>2</v>
      </c>
      <c r="K308" s="12">
        <v>73.8</v>
      </c>
      <c r="L308" s="12">
        <v>33.58</v>
      </c>
      <c r="M308" s="13">
        <v>5</v>
      </c>
      <c r="N308" s="13">
        <f t="shared" si="32"/>
        <v>15.050949074073287</v>
      </c>
      <c r="O308" s="13">
        <f t="shared" si="33"/>
        <v>0</v>
      </c>
      <c r="P308" t="str">
        <f t="shared" si="34"/>
        <v>On Time</v>
      </c>
      <c r="Q308" s="13">
        <f t="shared" si="35"/>
        <v>35.704444444330875</v>
      </c>
      <c r="R308" s="13">
        <f t="shared" si="36"/>
        <v>0.43746527778421296</v>
      </c>
      <c r="S308" s="13">
        <f t="shared" si="37"/>
        <v>13.125798611108621</v>
      </c>
      <c r="T308" t="str">
        <f t="shared" si="38"/>
        <v>On Time/Early</v>
      </c>
      <c r="U308" t="str">
        <f t="shared" si="39"/>
        <v>Normal</v>
      </c>
      <c r="V308" t="s">
        <v>102</v>
      </c>
    </row>
    <row r="309" spans="1:22">
      <c r="A309" t="s">
        <v>629</v>
      </c>
      <c r="B309" s="10">
        <v>42921.329328703701</v>
      </c>
      <c r="C309" s="10">
        <v>42921.73505787037</v>
      </c>
      <c r="D309" s="10">
        <v>42922.496840277781</v>
      </c>
      <c r="E309" s="10">
        <v>42928.745787037034</v>
      </c>
      <c r="F309" s="10">
        <v>42943</v>
      </c>
      <c r="G309" t="s">
        <v>33</v>
      </c>
      <c r="H309" t="s">
        <v>630</v>
      </c>
      <c r="I309" t="s">
        <v>141</v>
      </c>
      <c r="J309" s="11">
        <v>1</v>
      </c>
      <c r="K309" s="12">
        <v>52.9</v>
      </c>
      <c r="L309" s="12">
        <v>15.12</v>
      </c>
      <c r="M309" s="13">
        <v>5</v>
      </c>
      <c r="N309" s="13">
        <f t="shared" si="32"/>
        <v>7.4164583333331393</v>
      </c>
      <c r="O309" s="13">
        <f t="shared" si="33"/>
        <v>0</v>
      </c>
      <c r="P309" t="str">
        <f t="shared" si="34"/>
        <v>On Time</v>
      </c>
      <c r="Q309" s="13">
        <f t="shared" si="35"/>
        <v>9.7375000000465661</v>
      </c>
      <c r="R309" s="13">
        <f t="shared" si="36"/>
        <v>0.76178240741137415</v>
      </c>
      <c r="S309" s="13">
        <f t="shared" si="37"/>
        <v>6.2489467592531582</v>
      </c>
      <c r="T309" t="str">
        <f t="shared" si="38"/>
        <v>On Time/Early</v>
      </c>
      <c r="U309" t="str">
        <f t="shared" si="39"/>
        <v>Normal</v>
      </c>
      <c r="V309" t="s">
        <v>102</v>
      </c>
    </row>
    <row r="310" spans="1:22">
      <c r="A310" t="s">
        <v>631</v>
      </c>
      <c r="B310" s="10">
        <v>42921.416342592594</v>
      </c>
      <c r="C310" s="10">
        <v>42921.73574074074</v>
      </c>
      <c r="D310" s="10">
        <v>42923.818749999999</v>
      </c>
      <c r="E310" s="10">
        <v>42930.849849537037</v>
      </c>
      <c r="F310" s="10">
        <v>42943</v>
      </c>
      <c r="G310" t="s">
        <v>20</v>
      </c>
      <c r="H310" t="s">
        <v>632</v>
      </c>
      <c r="I310" t="s">
        <v>112</v>
      </c>
      <c r="J310" s="11">
        <v>1</v>
      </c>
      <c r="K310" s="12">
        <v>34.9</v>
      </c>
      <c r="L310" s="12">
        <v>15.1</v>
      </c>
      <c r="M310" s="13">
        <v>5</v>
      </c>
      <c r="N310" s="13">
        <f t="shared" si="32"/>
        <v>9.4335069444423425</v>
      </c>
      <c r="O310" s="13">
        <f t="shared" si="33"/>
        <v>0</v>
      </c>
      <c r="P310" t="str">
        <f t="shared" si="34"/>
        <v>On Time</v>
      </c>
      <c r="Q310" s="13">
        <f t="shared" si="35"/>
        <v>7.6655555554898456</v>
      </c>
      <c r="R310" s="13">
        <f t="shared" si="36"/>
        <v>2.083009259258688</v>
      </c>
      <c r="S310" s="13">
        <f t="shared" si="37"/>
        <v>7.0310995370382443</v>
      </c>
      <c r="T310" t="str">
        <f t="shared" si="38"/>
        <v>On Time/Early</v>
      </c>
      <c r="U310" t="str">
        <f t="shared" si="39"/>
        <v>Normal</v>
      </c>
      <c r="V310" t="s">
        <v>102</v>
      </c>
    </row>
    <row r="311" spans="1:22">
      <c r="A311" t="s">
        <v>633</v>
      </c>
      <c r="B311" s="10">
        <v>42921.778379629628</v>
      </c>
      <c r="C311" s="10">
        <v>42923.354317129626</v>
      </c>
      <c r="D311" s="10">
        <v>42926.744988425926</v>
      </c>
      <c r="E311" s="10">
        <v>42927.696909722225</v>
      </c>
      <c r="F311" s="10">
        <v>42934</v>
      </c>
      <c r="G311" t="s">
        <v>8</v>
      </c>
      <c r="H311" t="s">
        <v>140</v>
      </c>
      <c r="I311" t="s">
        <v>118</v>
      </c>
      <c r="J311" s="11">
        <v>1</v>
      </c>
      <c r="K311" s="12">
        <v>49.99</v>
      </c>
      <c r="L311" s="12">
        <v>7.78</v>
      </c>
      <c r="M311" s="13">
        <v>5</v>
      </c>
      <c r="N311" s="13">
        <f t="shared" si="32"/>
        <v>5.9185300925964839</v>
      </c>
      <c r="O311" s="13">
        <f t="shared" si="33"/>
        <v>0</v>
      </c>
      <c r="P311" t="str">
        <f t="shared" si="34"/>
        <v>On Time</v>
      </c>
      <c r="Q311" s="13">
        <f t="shared" si="35"/>
        <v>37.822499999951106</v>
      </c>
      <c r="R311" s="13">
        <f t="shared" si="36"/>
        <v>3.3906712962998427</v>
      </c>
      <c r="S311" s="13">
        <f t="shared" si="37"/>
        <v>0.9519212962986785</v>
      </c>
      <c r="T311" t="str">
        <f t="shared" si="38"/>
        <v>On Time/Early</v>
      </c>
      <c r="U311" t="str">
        <f t="shared" si="39"/>
        <v>Normal</v>
      </c>
      <c r="V311" t="s">
        <v>102</v>
      </c>
    </row>
    <row r="312" spans="1:22">
      <c r="A312" t="s">
        <v>634</v>
      </c>
      <c r="B312" s="10">
        <v>42921.873020833336</v>
      </c>
      <c r="C312" s="10">
        <v>42921.882094907407</v>
      </c>
      <c r="D312" s="10">
        <v>42922.615173611113</v>
      </c>
      <c r="E312" s="10">
        <v>42923.534525462965</v>
      </c>
      <c r="F312" s="10">
        <v>42934</v>
      </c>
      <c r="G312" t="s">
        <v>8</v>
      </c>
      <c r="H312" t="s">
        <v>140</v>
      </c>
      <c r="I312" t="s">
        <v>180</v>
      </c>
      <c r="J312" s="11">
        <v>1</v>
      </c>
      <c r="K312" s="12">
        <v>80</v>
      </c>
      <c r="L312" s="12">
        <v>11.77</v>
      </c>
      <c r="M312" s="13">
        <v>5</v>
      </c>
      <c r="N312" s="13">
        <f t="shared" si="32"/>
        <v>1.6615046296283253</v>
      </c>
      <c r="O312" s="13">
        <f t="shared" si="33"/>
        <v>0</v>
      </c>
      <c r="P312" t="str">
        <f t="shared" si="34"/>
        <v>On Time</v>
      </c>
      <c r="Q312" s="13">
        <f t="shared" si="35"/>
        <v>0.21777777769602835</v>
      </c>
      <c r="R312" s="13">
        <f t="shared" si="36"/>
        <v>0.73307870370626915</v>
      </c>
      <c r="S312" s="13">
        <f t="shared" si="37"/>
        <v>0.91935185185138835</v>
      </c>
      <c r="T312" t="str">
        <f t="shared" si="38"/>
        <v>On Time/Early</v>
      </c>
      <c r="U312" t="str">
        <f t="shared" si="39"/>
        <v>Normal</v>
      </c>
      <c r="V312" t="s">
        <v>102</v>
      </c>
    </row>
    <row r="313" spans="1:22">
      <c r="A313" t="s">
        <v>635</v>
      </c>
      <c r="B313" s="10">
        <v>42922.76635416667</v>
      </c>
      <c r="C313" s="10">
        <v>42924.142708333333</v>
      </c>
      <c r="D313" s="10">
        <v>42930.835752314815</v>
      </c>
      <c r="E313" s="10">
        <v>42937.756076388891</v>
      </c>
      <c r="F313" s="10">
        <v>42958</v>
      </c>
      <c r="G313" t="s">
        <v>36</v>
      </c>
      <c r="H313" t="s">
        <v>467</v>
      </c>
      <c r="I313" t="s">
        <v>180</v>
      </c>
      <c r="J313" s="11">
        <v>1</v>
      </c>
      <c r="K313" s="12">
        <v>42.9</v>
      </c>
      <c r="L313" s="12">
        <v>16.11</v>
      </c>
      <c r="M313" s="13">
        <v>3</v>
      </c>
      <c r="N313" s="13">
        <f t="shared" si="32"/>
        <v>14.989722222220735</v>
      </c>
      <c r="O313" s="13">
        <f t="shared" si="33"/>
        <v>0</v>
      </c>
      <c r="P313" t="str">
        <f t="shared" si="34"/>
        <v>On Time</v>
      </c>
      <c r="Q313" s="13">
        <f t="shared" si="35"/>
        <v>33.032499999913853</v>
      </c>
      <c r="R313" s="13">
        <f t="shared" si="36"/>
        <v>6.693043981482333</v>
      </c>
      <c r="S313" s="13">
        <f t="shared" si="37"/>
        <v>6.9203240740753245</v>
      </c>
      <c r="T313" t="str">
        <f t="shared" si="38"/>
        <v>On Time/Early</v>
      </c>
      <c r="U313" t="str">
        <f t="shared" si="39"/>
        <v>Normal</v>
      </c>
      <c r="V313" t="s">
        <v>102</v>
      </c>
    </row>
    <row r="314" spans="1:22">
      <c r="A314" t="s">
        <v>636</v>
      </c>
      <c r="B314" s="10">
        <v>42922.802534722221</v>
      </c>
      <c r="C314" s="10">
        <v>42924.146261574075</v>
      </c>
      <c r="D314" s="10">
        <v>42926.741597222222</v>
      </c>
      <c r="E314" s="10">
        <v>42936.849652777775</v>
      </c>
      <c r="F314" s="10">
        <v>42950</v>
      </c>
      <c r="G314" t="s">
        <v>23</v>
      </c>
      <c r="H314" t="s">
        <v>637</v>
      </c>
      <c r="I314" t="s">
        <v>112</v>
      </c>
      <c r="J314" s="11">
        <v>1</v>
      </c>
      <c r="K314" s="12">
        <v>50</v>
      </c>
      <c r="L314" s="12">
        <v>28.75</v>
      </c>
      <c r="M314" s="13">
        <v>5</v>
      </c>
      <c r="N314" s="13">
        <f t="shared" si="32"/>
        <v>14.047118055554165</v>
      </c>
      <c r="O314" s="13">
        <f t="shared" si="33"/>
        <v>0</v>
      </c>
      <c r="P314" t="str">
        <f t="shared" si="34"/>
        <v>On Time</v>
      </c>
      <c r="Q314" s="13">
        <f t="shared" si="35"/>
        <v>32.2494444444892</v>
      </c>
      <c r="R314" s="13">
        <f t="shared" si="36"/>
        <v>2.5953356481477385</v>
      </c>
      <c r="S314" s="13">
        <f t="shared" si="37"/>
        <v>10.10805555555271</v>
      </c>
      <c r="T314" t="str">
        <f t="shared" si="38"/>
        <v>On Time/Early</v>
      </c>
      <c r="U314" t="str">
        <f t="shared" si="39"/>
        <v>Normal</v>
      </c>
      <c r="V314" t="s">
        <v>102</v>
      </c>
    </row>
    <row r="315" spans="1:22">
      <c r="A315" t="s">
        <v>638</v>
      </c>
      <c r="B315" s="10">
        <v>42922.871967592589</v>
      </c>
      <c r="C315" s="10">
        <v>42922.878622685188</v>
      </c>
      <c r="D315" s="10">
        <v>42926.699965277781</v>
      </c>
      <c r="E315" s="10">
        <v>42943.806689814817</v>
      </c>
      <c r="F315" s="10">
        <v>42948</v>
      </c>
      <c r="G315" t="s">
        <v>320</v>
      </c>
      <c r="H315" t="s">
        <v>321</v>
      </c>
      <c r="I315" t="s">
        <v>34</v>
      </c>
      <c r="J315" s="11">
        <v>1</v>
      </c>
      <c r="K315" s="12">
        <v>79.900000000000006</v>
      </c>
      <c r="L315" s="12">
        <v>14.31</v>
      </c>
      <c r="M315" s="13">
        <v>5</v>
      </c>
      <c r="N315" s="13">
        <f t="shared" si="32"/>
        <v>20.93472222222772</v>
      </c>
      <c r="O315" s="13">
        <f t="shared" si="33"/>
        <v>0</v>
      </c>
      <c r="P315" t="str">
        <f t="shared" si="34"/>
        <v>On Time</v>
      </c>
      <c r="Q315" s="13">
        <f t="shared" si="35"/>
        <v>0.15972222236450762</v>
      </c>
      <c r="R315" s="13">
        <f t="shared" si="36"/>
        <v>3.8213425925932825</v>
      </c>
      <c r="S315" s="13">
        <f t="shared" si="37"/>
        <v>17.106724537035916</v>
      </c>
      <c r="T315" t="str">
        <f t="shared" si="38"/>
        <v>On Time/Early</v>
      </c>
      <c r="U315" t="str">
        <f t="shared" si="39"/>
        <v>Normal</v>
      </c>
      <c r="V315" t="s">
        <v>102</v>
      </c>
    </row>
    <row r="316" spans="1:22">
      <c r="A316" t="s">
        <v>639</v>
      </c>
      <c r="B316" s="10">
        <v>42923.94840277778</v>
      </c>
      <c r="C316" s="10">
        <v>42923.955023148148</v>
      </c>
      <c r="D316" s="10">
        <v>42928.777731481481</v>
      </c>
      <c r="E316" s="10">
        <v>42935.810879629629</v>
      </c>
      <c r="F316" s="10">
        <v>42947</v>
      </c>
      <c r="G316" t="s">
        <v>20</v>
      </c>
      <c r="H316" t="s">
        <v>640</v>
      </c>
      <c r="I316" t="s">
        <v>180</v>
      </c>
      <c r="J316" s="11">
        <v>1</v>
      </c>
      <c r="K316" s="12">
        <v>99.9</v>
      </c>
      <c r="L316" s="12">
        <v>17.95</v>
      </c>
      <c r="M316" s="13">
        <v>3</v>
      </c>
      <c r="N316" s="13">
        <f t="shared" si="32"/>
        <v>11.862476851849351</v>
      </c>
      <c r="O316" s="13">
        <f t="shared" si="33"/>
        <v>0</v>
      </c>
      <c r="P316" t="str">
        <f t="shared" si="34"/>
        <v>On Time</v>
      </c>
      <c r="Q316" s="13">
        <f t="shared" si="35"/>
        <v>0.15888888883637264</v>
      </c>
      <c r="R316" s="13">
        <f t="shared" si="36"/>
        <v>4.8227083333331393</v>
      </c>
      <c r="S316" s="13">
        <f t="shared" si="37"/>
        <v>7.0331481481480296</v>
      </c>
      <c r="T316" t="str">
        <f t="shared" si="38"/>
        <v>On Time/Early</v>
      </c>
      <c r="U316" t="str">
        <f t="shared" si="39"/>
        <v>Normal</v>
      </c>
      <c r="V316" t="s">
        <v>102</v>
      </c>
    </row>
    <row r="317" spans="1:22">
      <c r="A317" t="s">
        <v>641</v>
      </c>
      <c r="B317" s="10">
        <v>42924.622129629628</v>
      </c>
      <c r="C317" s="10">
        <v>42924.632106481484</v>
      </c>
      <c r="D317" s="10">
        <v>42927.717141203706</v>
      </c>
      <c r="E317" s="10">
        <v>42935.865937499999</v>
      </c>
      <c r="F317" s="10">
        <v>42950</v>
      </c>
      <c r="G317" t="s">
        <v>16</v>
      </c>
      <c r="H317" t="s">
        <v>642</v>
      </c>
      <c r="I317" t="s">
        <v>180</v>
      </c>
      <c r="J317" s="11">
        <v>1</v>
      </c>
      <c r="K317" s="12">
        <v>205</v>
      </c>
      <c r="L317" s="12">
        <v>26.27</v>
      </c>
      <c r="M317" s="13">
        <v>5</v>
      </c>
      <c r="N317" s="13">
        <f t="shared" si="32"/>
        <v>11.243807870370802</v>
      </c>
      <c r="O317" s="13">
        <f t="shared" si="33"/>
        <v>0</v>
      </c>
      <c r="P317" t="str">
        <f t="shared" si="34"/>
        <v>On Time</v>
      </c>
      <c r="Q317" s="13">
        <f t="shared" si="35"/>
        <v>0.2394444445380941</v>
      </c>
      <c r="R317" s="13">
        <f t="shared" si="36"/>
        <v>3.0850347222221899</v>
      </c>
      <c r="S317" s="13">
        <f t="shared" si="37"/>
        <v>8.1487962962928577</v>
      </c>
      <c r="T317" t="str">
        <f t="shared" si="38"/>
        <v>On Time/Early</v>
      </c>
      <c r="U317" t="str">
        <f t="shared" si="39"/>
        <v>Normal</v>
      </c>
      <c r="V317" t="s">
        <v>102</v>
      </c>
    </row>
    <row r="318" spans="1:22">
      <c r="A318" t="s">
        <v>643</v>
      </c>
      <c r="B318" s="10">
        <v>42924.684386574074</v>
      </c>
      <c r="C318" s="10">
        <v>42924.691111111111</v>
      </c>
      <c r="D318" s="10">
        <v>42927.648819444446</v>
      </c>
      <c r="E318" s="10">
        <v>42940.9297337963</v>
      </c>
      <c r="F318" s="10">
        <v>42948</v>
      </c>
      <c r="G318" t="s">
        <v>20</v>
      </c>
      <c r="H318" t="s">
        <v>644</v>
      </c>
      <c r="I318" t="s">
        <v>185</v>
      </c>
      <c r="J318" s="11">
        <v>1</v>
      </c>
      <c r="K318" s="12">
        <v>117.3</v>
      </c>
      <c r="L318" s="12">
        <v>21.66</v>
      </c>
      <c r="M318" s="13">
        <v>4</v>
      </c>
      <c r="N318" s="13">
        <f t="shared" si="32"/>
        <v>16.245347222225973</v>
      </c>
      <c r="O318" s="13">
        <f t="shared" si="33"/>
        <v>0</v>
      </c>
      <c r="P318" t="str">
        <f t="shared" si="34"/>
        <v>On Time</v>
      </c>
      <c r="Q318" s="13">
        <f t="shared" si="35"/>
        <v>0.16138888889690861</v>
      </c>
      <c r="R318" s="13">
        <f t="shared" si="36"/>
        <v>2.9577083333351766</v>
      </c>
      <c r="S318" s="13">
        <f t="shared" si="37"/>
        <v>13.280914351853426</v>
      </c>
      <c r="T318" t="str">
        <f t="shared" si="38"/>
        <v>On Time/Early</v>
      </c>
      <c r="U318" t="str">
        <f t="shared" si="39"/>
        <v>Normal</v>
      </c>
      <c r="V318" t="s">
        <v>102</v>
      </c>
    </row>
    <row r="319" spans="1:22">
      <c r="A319" t="s">
        <v>645</v>
      </c>
      <c r="B319" s="10">
        <v>42925.895555555559</v>
      </c>
      <c r="C319" s="10">
        <v>42925.905115740738</v>
      </c>
      <c r="D319" s="10">
        <v>42927.730891203704</v>
      </c>
      <c r="E319" s="10">
        <v>42930.821030092593</v>
      </c>
      <c r="F319" s="10">
        <v>42956</v>
      </c>
      <c r="G319" t="s">
        <v>57</v>
      </c>
      <c r="H319" t="s">
        <v>254</v>
      </c>
      <c r="I319" t="s">
        <v>120</v>
      </c>
      <c r="J319" s="11">
        <v>1</v>
      </c>
      <c r="K319" s="12">
        <v>31.9</v>
      </c>
      <c r="L319" s="12">
        <v>21.15</v>
      </c>
      <c r="M319" s="13">
        <v>5</v>
      </c>
      <c r="N319" s="13">
        <f t="shared" si="32"/>
        <v>4.9254745370344608</v>
      </c>
      <c r="O319" s="13">
        <f t="shared" si="33"/>
        <v>0</v>
      </c>
      <c r="P319" t="str">
        <f t="shared" si="34"/>
        <v>On Time</v>
      </c>
      <c r="Q319" s="13">
        <f t="shared" si="35"/>
        <v>0.22944444429595023</v>
      </c>
      <c r="R319" s="13">
        <f t="shared" si="36"/>
        <v>1.8257754629667033</v>
      </c>
      <c r="S319" s="13">
        <f t="shared" si="37"/>
        <v>3.0901388888887595</v>
      </c>
      <c r="T319" t="str">
        <f t="shared" si="38"/>
        <v>On Time/Early</v>
      </c>
      <c r="U319" t="str">
        <f t="shared" si="39"/>
        <v>Normal</v>
      </c>
      <c r="V319" t="s">
        <v>102</v>
      </c>
    </row>
    <row r="320" spans="1:22">
      <c r="A320" t="s">
        <v>646</v>
      </c>
      <c r="B320" s="10">
        <v>42926.008460648147</v>
      </c>
      <c r="C320" s="10">
        <v>42926.017453703702</v>
      </c>
      <c r="D320" s="10">
        <v>42926.737905092596</v>
      </c>
      <c r="E320" s="10">
        <v>42957.867256944446</v>
      </c>
      <c r="F320" s="10">
        <v>42948</v>
      </c>
      <c r="G320" t="s">
        <v>8</v>
      </c>
      <c r="H320" t="s">
        <v>140</v>
      </c>
      <c r="I320" t="s">
        <v>246</v>
      </c>
      <c r="J320" s="11">
        <v>1</v>
      </c>
      <c r="K320" s="12">
        <v>106.9</v>
      </c>
      <c r="L320" s="12">
        <v>14.48</v>
      </c>
      <c r="M320" s="13">
        <v>1</v>
      </c>
      <c r="N320" s="13">
        <f t="shared" si="32"/>
        <v>31.858796296299261</v>
      </c>
      <c r="O320" s="13">
        <f t="shared" si="33"/>
        <v>9.867256944446126</v>
      </c>
      <c r="P320" t="str">
        <f t="shared" si="34"/>
        <v>Delayed</v>
      </c>
      <c r="Q320" s="13">
        <f t="shared" si="35"/>
        <v>0.2158333333209157</v>
      </c>
      <c r="R320" s="13">
        <f t="shared" si="36"/>
        <v>0.72045138889370719</v>
      </c>
      <c r="S320" s="13">
        <f t="shared" si="37"/>
        <v>31.129351851850515</v>
      </c>
      <c r="T320" t="str">
        <f t="shared" si="38"/>
        <v>8+ Days Late</v>
      </c>
      <c r="U320" t="str">
        <f t="shared" si="39"/>
        <v>Needs Review</v>
      </c>
      <c r="V320" t="s">
        <v>102</v>
      </c>
    </row>
    <row r="321" spans="1:22">
      <c r="A321" t="s">
        <v>647</v>
      </c>
      <c r="B321" s="10">
        <v>42926.639687499999</v>
      </c>
      <c r="C321" s="10">
        <v>42927.170648148145</v>
      </c>
      <c r="D321" s="10">
        <v>42927.699201388888</v>
      </c>
      <c r="E321" s="10">
        <v>42935.791388888887</v>
      </c>
      <c r="F321" s="10">
        <v>42944</v>
      </c>
      <c r="G321" t="s">
        <v>8</v>
      </c>
      <c r="H321" t="s">
        <v>522</v>
      </c>
      <c r="I321" t="s">
        <v>112</v>
      </c>
      <c r="J321" s="11">
        <v>1</v>
      </c>
      <c r="K321" s="12">
        <v>45</v>
      </c>
      <c r="L321" s="12">
        <v>12.69</v>
      </c>
      <c r="M321" s="13">
        <v>1</v>
      </c>
      <c r="N321" s="13">
        <f t="shared" si="32"/>
        <v>9.1517013888878864</v>
      </c>
      <c r="O321" s="13">
        <f t="shared" si="33"/>
        <v>0</v>
      </c>
      <c r="P321" t="str">
        <f t="shared" si="34"/>
        <v>On Time</v>
      </c>
      <c r="Q321" s="13">
        <f t="shared" si="35"/>
        <v>12.743055555503815</v>
      </c>
      <c r="R321" s="13">
        <f t="shared" si="36"/>
        <v>0.52855324074334931</v>
      </c>
      <c r="S321" s="13">
        <f t="shared" si="37"/>
        <v>8.0921874999985448</v>
      </c>
      <c r="T321" t="str">
        <f t="shared" si="38"/>
        <v>On Time/Early</v>
      </c>
      <c r="U321" t="str">
        <f t="shared" si="39"/>
        <v>Normal</v>
      </c>
      <c r="V321" t="s">
        <v>102</v>
      </c>
    </row>
    <row r="322" spans="1:22">
      <c r="A322" t="s">
        <v>648</v>
      </c>
      <c r="B322" s="10">
        <v>42926.705671296295</v>
      </c>
      <c r="C322" s="10">
        <v>42926.715567129628</v>
      </c>
      <c r="D322" s="10">
        <v>42928.619606481479</v>
      </c>
      <c r="E322" s="10">
        <v>42934.904305555552</v>
      </c>
      <c r="F322" s="10">
        <v>42944</v>
      </c>
      <c r="G322" t="s">
        <v>8</v>
      </c>
      <c r="H322" t="s">
        <v>649</v>
      </c>
      <c r="I322" t="s">
        <v>180</v>
      </c>
      <c r="J322" s="11">
        <v>1</v>
      </c>
      <c r="K322" s="12">
        <v>79.900000000000006</v>
      </c>
      <c r="L322" s="12">
        <v>16.190000000000001</v>
      </c>
      <c r="M322" s="13">
        <v>5</v>
      </c>
      <c r="N322" s="13">
        <f t="shared" ref="N322:N385" si="40">IFERROR(E322-B322,"")</f>
        <v>8.1986342592572328</v>
      </c>
      <c r="O322" s="13">
        <f t="shared" ref="O322:O385" si="41">IFERROR(MAX(0,E322-F322),"")</f>
        <v>0</v>
      </c>
      <c r="P322" t="str">
        <f t="shared" ref="P322:P385" si="42">IF(O322&gt;0,"Delayed","On Time")</f>
        <v>On Time</v>
      </c>
      <c r="Q322" s="13">
        <f t="shared" ref="Q322:Q385" si="43">IFERROR((C322-B322)*24,"")</f>
        <v>0.23749999998835847</v>
      </c>
      <c r="R322" s="13">
        <f t="shared" ref="R322:R385" si="44">IFERROR(D322-C322,"")</f>
        <v>1.9040393518516794</v>
      </c>
      <c r="S322" s="13">
        <f t="shared" ref="S322:S385" si="45">IFERROR(E322-D322,"")</f>
        <v>6.2846990740727051</v>
      </c>
      <c r="T322" t="str">
        <f t="shared" ref="T322:T385" si="46">IF(O322=0,"On Time/Early",IF(O322&lt;=3,"1-3 Days Late",IF(O322&lt;=7,"4-7 Days Late","8+ Days Late")))</f>
        <v>On Time/Early</v>
      </c>
      <c r="U322" t="str">
        <f t="shared" ref="U322:U385" si="47">IF(P322="Delayed","Needs Review","Normal")</f>
        <v>Normal</v>
      </c>
      <c r="V322" t="s">
        <v>102</v>
      </c>
    </row>
    <row r="323" spans="1:22">
      <c r="A323" t="s">
        <v>650</v>
      </c>
      <c r="B323" s="10">
        <v>42926.747245370374</v>
      </c>
      <c r="C323" s="10">
        <v>42927.280347222222</v>
      </c>
      <c r="D323" s="10">
        <v>42927.908321759256</v>
      </c>
      <c r="E323" s="10">
        <v>42941.811689814815</v>
      </c>
      <c r="F323" s="10">
        <v>42950</v>
      </c>
      <c r="G323" t="s">
        <v>8</v>
      </c>
      <c r="H323" t="s">
        <v>225</v>
      </c>
      <c r="I323" t="s">
        <v>177</v>
      </c>
      <c r="J323" s="11">
        <v>1</v>
      </c>
      <c r="K323" s="12">
        <v>479.9</v>
      </c>
      <c r="L323" s="12">
        <v>21.6</v>
      </c>
      <c r="M323" s="13">
        <v>5</v>
      </c>
      <c r="N323" s="13">
        <f t="shared" si="40"/>
        <v>15.064444444440596</v>
      </c>
      <c r="O323" s="13">
        <f t="shared" si="41"/>
        <v>0</v>
      </c>
      <c r="P323" t="str">
        <f t="shared" si="42"/>
        <v>On Time</v>
      </c>
      <c r="Q323" s="13">
        <f t="shared" si="43"/>
        <v>12.794444444356486</v>
      </c>
      <c r="R323" s="13">
        <f t="shared" si="44"/>
        <v>0.62797453703387873</v>
      </c>
      <c r="S323" s="13">
        <f t="shared" si="45"/>
        <v>13.903368055558531</v>
      </c>
      <c r="T323" t="str">
        <f t="shared" si="46"/>
        <v>On Time/Early</v>
      </c>
      <c r="U323" t="str">
        <f t="shared" si="47"/>
        <v>Normal</v>
      </c>
      <c r="V323" t="s">
        <v>102</v>
      </c>
    </row>
    <row r="324" spans="1:22">
      <c r="A324" t="s">
        <v>651</v>
      </c>
      <c r="B324" s="10">
        <v>42926.753807870373</v>
      </c>
      <c r="C324" s="10">
        <v>42926.760659722226</v>
      </c>
      <c r="D324" s="10">
        <v>42927.82880787037</v>
      </c>
      <c r="E324" s="10">
        <v>42935.793530092589</v>
      </c>
      <c r="F324" s="10">
        <v>42948</v>
      </c>
      <c r="G324" t="s">
        <v>16</v>
      </c>
      <c r="H324" t="s">
        <v>652</v>
      </c>
      <c r="I324" t="s">
        <v>128</v>
      </c>
      <c r="J324" s="11">
        <v>1</v>
      </c>
      <c r="K324" s="12">
        <v>89</v>
      </c>
      <c r="L324" s="12">
        <v>41.01</v>
      </c>
      <c r="M324" s="13">
        <v>4</v>
      </c>
      <c r="N324" s="13">
        <f t="shared" si="40"/>
        <v>9.0397222222163691</v>
      </c>
      <c r="O324" s="13">
        <f t="shared" si="41"/>
        <v>0</v>
      </c>
      <c r="P324" t="str">
        <f t="shared" si="42"/>
        <v>On Time</v>
      </c>
      <c r="Q324" s="13">
        <f t="shared" si="43"/>
        <v>0.16444444446824491</v>
      </c>
      <c r="R324" s="13">
        <f t="shared" si="44"/>
        <v>1.0681481481442461</v>
      </c>
      <c r="S324" s="13">
        <f t="shared" si="45"/>
        <v>7.9647222222192795</v>
      </c>
      <c r="T324" t="str">
        <f t="shared" si="46"/>
        <v>On Time/Early</v>
      </c>
      <c r="U324" t="str">
        <f t="shared" si="47"/>
        <v>Normal</v>
      </c>
      <c r="V324" t="s">
        <v>102</v>
      </c>
    </row>
    <row r="325" spans="1:22">
      <c r="A325" t="s">
        <v>653</v>
      </c>
      <c r="B325" s="10">
        <v>42927.655486111114</v>
      </c>
      <c r="C325" s="10">
        <v>42927.670034722221</v>
      </c>
      <c r="D325" s="10">
        <v>42930.72347222222</v>
      </c>
      <c r="E325" s="10">
        <v>42947.6874537037</v>
      </c>
      <c r="F325" s="10">
        <v>42957</v>
      </c>
      <c r="G325" t="s">
        <v>43</v>
      </c>
      <c r="H325" t="s">
        <v>249</v>
      </c>
      <c r="I325" t="s">
        <v>136</v>
      </c>
      <c r="J325" s="11">
        <v>1</v>
      </c>
      <c r="K325" s="12">
        <v>89.9</v>
      </c>
      <c r="L325" s="12">
        <v>19.170000000000002</v>
      </c>
      <c r="M325" s="13">
        <v>5</v>
      </c>
      <c r="N325" s="13">
        <f t="shared" si="40"/>
        <v>20.031967592585715</v>
      </c>
      <c r="O325" s="13">
        <f t="shared" si="41"/>
        <v>0</v>
      </c>
      <c r="P325" t="str">
        <f t="shared" si="42"/>
        <v>On Time</v>
      </c>
      <c r="Q325" s="13">
        <f t="shared" si="43"/>
        <v>0.34916666656499729</v>
      </c>
      <c r="R325" s="13">
        <f t="shared" si="44"/>
        <v>3.0534374999988358</v>
      </c>
      <c r="S325" s="13">
        <f t="shared" si="45"/>
        <v>16.963981481480005</v>
      </c>
      <c r="T325" t="str">
        <f t="shared" si="46"/>
        <v>On Time/Early</v>
      </c>
      <c r="U325" t="str">
        <f t="shared" si="47"/>
        <v>Normal</v>
      </c>
      <c r="V325" t="s">
        <v>102</v>
      </c>
    </row>
    <row r="326" spans="1:22">
      <c r="A326" t="s">
        <v>654</v>
      </c>
      <c r="B326" s="10">
        <v>42927.95144675926</v>
      </c>
      <c r="C326" s="10">
        <v>42928.02449074074</v>
      </c>
      <c r="D326" s="10">
        <v>42928.731087962966</v>
      </c>
      <c r="E326" s="10">
        <v>42947.606712962966</v>
      </c>
      <c r="F326" s="10">
        <v>42940</v>
      </c>
      <c r="G326" t="s">
        <v>8</v>
      </c>
      <c r="H326" t="s">
        <v>182</v>
      </c>
      <c r="I326" t="s">
        <v>221</v>
      </c>
      <c r="J326" s="11">
        <v>1</v>
      </c>
      <c r="K326" s="12">
        <v>29</v>
      </c>
      <c r="L326" s="12">
        <v>7.78</v>
      </c>
      <c r="M326" s="13">
        <v>3</v>
      </c>
      <c r="N326" s="13">
        <f t="shared" si="40"/>
        <v>19.65526620370656</v>
      </c>
      <c r="O326" s="13">
        <f t="shared" si="41"/>
        <v>7.6067129629664123</v>
      </c>
      <c r="P326" t="str">
        <f t="shared" si="42"/>
        <v>Delayed</v>
      </c>
      <c r="Q326" s="13">
        <f t="shared" si="43"/>
        <v>1.7530555555131286</v>
      </c>
      <c r="R326" s="13">
        <f t="shared" si="44"/>
        <v>0.70659722222626442</v>
      </c>
      <c r="S326" s="13">
        <f t="shared" si="45"/>
        <v>18.875625000000582</v>
      </c>
      <c r="T326" t="str">
        <f t="shared" si="46"/>
        <v>8+ Days Late</v>
      </c>
      <c r="U326" t="str">
        <f t="shared" si="47"/>
        <v>Needs Review</v>
      </c>
      <c r="V326" t="s">
        <v>102</v>
      </c>
    </row>
    <row r="327" spans="1:22">
      <c r="A327" t="s">
        <v>655</v>
      </c>
      <c r="B327" s="10">
        <v>42927.98101851852</v>
      </c>
      <c r="C327" s="10">
        <v>42928.024467592593</v>
      </c>
      <c r="D327" s="10">
        <v>42929.600532407407</v>
      </c>
      <c r="E327" s="10">
        <v>42933.771840277775</v>
      </c>
      <c r="F327" s="10">
        <v>42949</v>
      </c>
      <c r="G327" t="s">
        <v>16</v>
      </c>
      <c r="H327" t="s">
        <v>656</v>
      </c>
      <c r="I327" t="s">
        <v>120</v>
      </c>
      <c r="J327" s="11">
        <v>1</v>
      </c>
      <c r="K327" s="12">
        <v>39.9</v>
      </c>
      <c r="L327" s="12">
        <v>15.1</v>
      </c>
      <c r="M327" s="13">
        <v>5</v>
      </c>
      <c r="N327" s="13">
        <f t="shared" si="40"/>
        <v>5.7908217592557776</v>
      </c>
      <c r="O327" s="13">
        <f t="shared" si="41"/>
        <v>0</v>
      </c>
      <c r="P327" t="str">
        <f t="shared" si="42"/>
        <v>On Time</v>
      </c>
      <c r="Q327" s="13">
        <f t="shared" si="43"/>
        <v>1.0427777777658775</v>
      </c>
      <c r="R327" s="13">
        <f t="shared" si="44"/>
        <v>1.5760648148134351</v>
      </c>
      <c r="S327" s="13">
        <f t="shared" si="45"/>
        <v>4.1713078703687643</v>
      </c>
      <c r="T327" t="str">
        <f t="shared" si="46"/>
        <v>On Time/Early</v>
      </c>
      <c r="U327" t="str">
        <f t="shared" si="47"/>
        <v>Normal</v>
      </c>
      <c r="V327" t="s">
        <v>102</v>
      </c>
    </row>
    <row r="328" spans="1:22">
      <c r="A328" t="s">
        <v>657</v>
      </c>
      <c r="B328" s="10">
        <v>42928.283460648148</v>
      </c>
      <c r="C328" s="10">
        <v>42928.294224537036</v>
      </c>
      <c r="D328" s="10">
        <v>42928.797442129631</v>
      </c>
      <c r="E328" s="10">
        <v>42933.837800925925</v>
      </c>
      <c r="F328" s="10">
        <v>42950</v>
      </c>
      <c r="G328" t="s">
        <v>20</v>
      </c>
      <c r="H328" t="s">
        <v>658</v>
      </c>
      <c r="I328" t="s">
        <v>659</v>
      </c>
      <c r="J328" s="11">
        <v>1</v>
      </c>
      <c r="K328" s="12">
        <v>129.9</v>
      </c>
      <c r="L328" s="12">
        <v>15.66</v>
      </c>
      <c r="M328" s="13">
        <v>5</v>
      </c>
      <c r="N328" s="13">
        <f t="shared" si="40"/>
        <v>5.554340277776646</v>
      </c>
      <c r="O328" s="13">
        <f t="shared" si="41"/>
        <v>0</v>
      </c>
      <c r="P328" t="str">
        <f t="shared" si="42"/>
        <v>On Time</v>
      </c>
      <c r="Q328" s="13">
        <f t="shared" si="43"/>
        <v>0.25833333330228925</v>
      </c>
      <c r="R328" s="13">
        <f t="shared" si="44"/>
        <v>0.50321759259531973</v>
      </c>
      <c r="S328" s="13">
        <f t="shared" si="45"/>
        <v>5.0403587962937308</v>
      </c>
      <c r="T328" t="str">
        <f t="shared" si="46"/>
        <v>On Time/Early</v>
      </c>
      <c r="U328" t="str">
        <f t="shared" si="47"/>
        <v>Normal</v>
      </c>
      <c r="V328" t="s">
        <v>102</v>
      </c>
    </row>
    <row r="329" spans="1:22">
      <c r="A329" t="s">
        <v>660</v>
      </c>
      <c r="B329" s="10">
        <v>42928.644745370373</v>
      </c>
      <c r="C329" s="10">
        <v>42928.655590277776</v>
      </c>
      <c r="D329" s="10">
        <v>42930.810312499998</v>
      </c>
      <c r="E329" s="10">
        <v>42933.91233796296</v>
      </c>
      <c r="F329" s="10">
        <v>42950</v>
      </c>
      <c r="G329" t="s">
        <v>8</v>
      </c>
      <c r="H329" t="s">
        <v>212</v>
      </c>
      <c r="I329" t="s">
        <v>37</v>
      </c>
      <c r="J329" s="11">
        <v>1</v>
      </c>
      <c r="K329" s="12">
        <v>179.98</v>
      </c>
      <c r="L329" s="12">
        <v>45.73</v>
      </c>
      <c r="M329" s="13">
        <v>4</v>
      </c>
      <c r="N329" s="13">
        <f t="shared" si="40"/>
        <v>5.2675925925868796</v>
      </c>
      <c r="O329" s="13">
        <f t="shared" si="41"/>
        <v>0</v>
      </c>
      <c r="P329" t="str">
        <f t="shared" si="42"/>
        <v>On Time</v>
      </c>
      <c r="Q329" s="13">
        <f t="shared" si="43"/>
        <v>0.2602777776774019</v>
      </c>
      <c r="R329" s="13">
        <f t="shared" si="44"/>
        <v>2.1547222222216078</v>
      </c>
      <c r="S329" s="13">
        <f t="shared" si="45"/>
        <v>3.1020254629620467</v>
      </c>
      <c r="T329" t="str">
        <f t="shared" si="46"/>
        <v>On Time/Early</v>
      </c>
      <c r="U329" t="str">
        <f t="shared" si="47"/>
        <v>Normal</v>
      </c>
      <c r="V329" t="s">
        <v>102</v>
      </c>
    </row>
    <row r="330" spans="1:22">
      <c r="A330" t="s">
        <v>661</v>
      </c>
      <c r="B330" s="10">
        <v>42928.894756944443</v>
      </c>
      <c r="C330" s="10">
        <v>42929.857789351852</v>
      </c>
      <c r="D330" s="10">
        <v>42935.769178240742</v>
      </c>
      <c r="E330" s="10">
        <v>42940.731585648151</v>
      </c>
      <c r="F330" s="10">
        <v>42968</v>
      </c>
      <c r="G330" t="s">
        <v>50</v>
      </c>
      <c r="H330" t="s">
        <v>662</v>
      </c>
      <c r="I330" t="s">
        <v>180</v>
      </c>
      <c r="J330" s="11">
        <v>3</v>
      </c>
      <c r="K330" s="12">
        <v>269.7</v>
      </c>
      <c r="L330" s="12">
        <v>83.9</v>
      </c>
      <c r="M330" s="13">
        <v>2</v>
      </c>
      <c r="N330" s="13">
        <f t="shared" si="40"/>
        <v>11.836828703708306</v>
      </c>
      <c r="O330" s="13">
        <f t="shared" si="41"/>
        <v>0</v>
      </c>
      <c r="P330" t="str">
        <f t="shared" si="42"/>
        <v>On Time</v>
      </c>
      <c r="Q330" s="13">
        <f t="shared" si="43"/>
        <v>23.11277777783107</v>
      </c>
      <c r="R330" s="13">
        <f t="shared" si="44"/>
        <v>5.9113888888896327</v>
      </c>
      <c r="S330" s="13">
        <f t="shared" si="45"/>
        <v>4.9624074074090458</v>
      </c>
      <c r="T330" t="str">
        <f t="shared" si="46"/>
        <v>On Time/Early</v>
      </c>
      <c r="U330" t="str">
        <f t="shared" si="47"/>
        <v>Normal</v>
      </c>
      <c r="V330" t="s">
        <v>102</v>
      </c>
    </row>
    <row r="331" spans="1:22">
      <c r="A331" t="s">
        <v>663</v>
      </c>
      <c r="B331" s="10">
        <v>42929.909444444442</v>
      </c>
      <c r="C331" s="10">
        <v>42931.149548611109</v>
      </c>
      <c r="D331" s="10">
        <v>42936.737638888888</v>
      </c>
      <c r="E331" s="10">
        <v>42945.63077546296</v>
      </c>
      <c r="F331" s="10">
        <v>42951</v>
      </c>
      <c r="G331" t="s">
        <v>20</v>
      </c>
      <c r="H331" t="s">
        <v>104</v>
      </c>
      <c r="I331" t="s">
        <v>180</v>
      </c>
      <c r="J331" s="11">
        <v>1</v>
      </c>
      <c r="K331" s="12">
        <v>89.9</v>
      </c>
      <c r="L331" s="12">
        <v>15.38</v>
      </c>
      <c r="M331" s="13">
        <v>1</v>
      </c>
      <c r="N331" s="13">
        <f t="shared" si="40"/>
        <v>15.721331018517958</v>
      </c>
      <c r="O331" s="13">
        <f t="shared" si="41"/>
        <v>0</v>
      </c>
      <c r="P331" t="str">
        <f t="shared" si="42"/>
        <v>On Time</v>
      </c>
      <c r="Q331" s="13">
        <f t="shared" si="43"/>
        <v>29.762500000011642</v>
      </c>
      <c r="R331" s="13">
        <f t="shared" si="44"/>
        <v>5.5880902777789743</v>
      </c>
      <c r="S331" s="13">
        <f t="shared" si="45"/>
        <v>8.893136574071832</v>
      </c>
      <c r="T331" t="str">
        <f t="shared" si="46"/>
        <v>On Time/Early</v>
      </c>
      <c r="U331" t="str">
        <f t="shared" si="47"/>
        <v>Normal</v>
      </c>
      <c r="V331" t="s">
        <v>102</v>
      </c>
    </row>
    <row r="332" spans="1:22">
      <c r="A332" t="s">
        <v>664</v>
      </c>
      <c r="B332" s="10">
        <v>42931.805405092593</v>
      </c>
      <c r="C332" s="10">
        <v>42932.281539351854</v>
      </c>
      <c r="D332" s="10">
        <v>42936.848495370374</v>
      </c>
      <c r="E332" s="10">
        <v>42947.841898148145</v>
      </c>
      <c r="F332" s="10">
        <v>42964</v>
      </c>
      <c r="G332" t="s">
        <v>8</v>
      </c>
      <c r="H332" t="s">
        <v>665</v>
      </c>
      <c r="I332" t="s">
        <v>123</v>
      </c>
      <c r="J332" s="11">
        <v>1</v>
      </c>
      <c r="K332" s="12">
        <v>199</v>
      </c>
      <c r="L332" s="12">
        <v>20.63</v>
      </c>
      <c r="M332" s="13">
        <v>4</v>
      </c>
      <c r="N332" s="13">
        <f t="shared" si="40"/>
        <v>16.036493055551546</v>
      </c>
      <c r="O332" s="13">
        <f t="shared" si="41"/>
        <v>0</v>
      </c>
      <c r="P332" t="str">
        <f t="shared" si="42"/>
        <v>On Time</v>
      </c>
      <c r="Q332" s="13">
        <f t="shared" si="43"/>
        <v>11.42722222226439</v>
      </c>
      <c r="R332" s="13">
        <f t="shared" si="44"/>
        <v>4.5669560185197042</v>
      </c>
      <c r="S332" s="13">
        <f t="shared" si="45"/>
        <v>10.993402777770825</v>
      </c>
      <c r="T332" t="str">
        <f t="shared" si="46"/>
        <v>On Time/Early</v>
      </c>
      <c r="U332" t="str">
        <f t="shared" si="47"/>
        <v>Normal</v>
      </c>
      <c r="V332" t="s">
        <v>102</v>
      </c>
    </row>
    <row r="333" spans="1:22">
      <c r="A333" t="s">
        <v>666</v>
      </c>
      <c r="B333" s="10">
        <v>42932.092083333337</v>
      </c>
      <c r="C333" s="10">
        <v>42932.100775462961</v>
      </c>
      <c r="D333" s="10">
        <v>42934.89435185185</v>
      </c>
      <c r="E333" s="10">
        <v>42947.999872685185</v>
      </c>
      <c r="F333" s="10">
        <v>42955</v>
      </c>
      <c r="G333" t="s">
        <v>8</v>
      </c>
      <c r="H333" t="s">
        <v>212</v>
      </c>
      <c r="I333" t="s">
        <v>58</v>
      </c>
      <c r="J333" s="11">
        <v>1</v>
      </c>
      <c r="K333" s="12">
        <v>118.9</v>
      </c>
      <c r="L333" s="12">
        <v>14.56</v>
      </c>
      <c r="M333" s="13">
        <v>5</v>
      </c>
      <c r="N333" s="13">
        <f t="shared" si="40"/>
        <v>15.907789351847896</v>
      </c>
      <c r="O333" s="13">
        <f t="shared" si="41"/>
        <v>0</v>
      </c>
      <c r="P333" t="str">
        <f t="shared" si="42"/>
        <v>On Time</v>
      </c>
      <c r="Q333" s="13">
        <f t="shared" si="43"/>
        <v>0.20861111098201945</v>
      </c>
      <c r="R333" s="13">
        <f t="shared" si="44"/>
        <v>2.7935763888890506</v>
      </c>
      <c r="S333" s="13">
        <f t="shared" si="45"/>
        <v>13.105520833334594</v>
      </c>
      <c r="T333" t="str">
        <f t="shared" si="46"/>
        <v>On Time/Early</v>
      </c>
      <c r="U333" t="str">
        <f t="shared" si="47"/>
        <v>Normal</v>
      </c>
      <c r="V333" t="s">
        <v>102</v>
      </c>
    </row>
    <row r="334" spans="1:22">
      <c r="A334" t="s">
        <v>667</v>
      </c>
      <c r="B334" s="10">
        <v>42932.390127314815</v>
      </c>
      <c r="C334" s="10">
        <v>42932.395960648151</v>
      </c>
      <c r="D334" s="10">
        <v>42933.907488425924</v>
      </c>
      <c r="E334" s="10">
        <v>42934.741296296299</v>
      </c>
      <c r="F334" s="10">
        <v>42944</v>
      </c>
      <c r="G334" t="s">
        <v>8</v>
      </c>
      <c r="H334" t="s">
        <v>140</v>
      </c>
      <c r="I334" t="s">
        <v>123</v>
      </c>
      <c r="J334" s="11">
        <v>1</v>
      </c>
      <c r="K334" s="12">
        <v>198.99</v>
      </c>
      <c r="L334" s="12">
        <v>10.210000000000001</v>
      </c>
      <c r="M334" s="13">
        <v>4</v>
      </c>
      <c r="N334" s="13">
        <f t="shared" si="40"/>
        <v>2.3511689814840793</v>
      </c>
      <c r="O334" s="13">
        <f t="shared" si="41"/>
        <v>0</v>
      </c>
      <c r="P334" t="str">
        <f t="shared" si="42"/>
        <v>On Time</v>
      </c>
      <c r="Q334" s="13">
        <f t="shared" si="43"/>
        <v>0.1400000000721775</v>
      </c>
      <c r="R334" s="13">
        <f t="shared" si="44"/>
        <v>1.5115277777731535</v>
      </c>
      <c r="S334" s="13">
        <f t="shared" si="45"/>
        <v>0.83380787037458504</v>
      </c>
      <c r="T334" t="str">
        <f t="shared" si="46"/>
        <v>On Time/Early</v>
      </c>
      <c r="U334" t="str">
        <f t="shared" si="47"/>
        <v>Normal</v>
      </c>
      <c r="V334" t="s">
        <v>102</v>
      </c>
    </row>
    <row r="335" spans="1:22">
      <c r="A335" t="s">
        <v>668</v>
      </c>
      <c r="B335" s="10">
        <v>42932.657812500001</v>
      </c>
      <c r="C335" s="10">
        <v>42932.669131944444</v>
      </c>
      <c r="D335" s="10">
        <v>42933.837245370371</v>
      </c>
      <c r="E335" s="10">
        <v>42943.697210648148</v>
      </c>
      <c r="F335" s="10">
        <v>42955</v>
      </c>
      <c r="G335" t="s">
        <v>16</v>
      </c>
      <c r="H335" t="s">
        <v>642</v>
      </c>
      <c r="I335" t="s">
        <v>123</v>
      </c>
      <c r="J335" s="11">
        <v>1</v>
      </c>
      <c r="K335" s="12">
        <v>69.989999999999995</v>
      </c>
      <c r="L335" s="12">
        <v>17.739999999999998</v>
      </c>
      <c r="M335" s="13">
        <v>3</v>
      </c>
      <c r="N335" s="13">
        <f t="shared" si="40"/>
        <v>11.039398148146574</v>
      </c>
      <c r="O335" s="13">
        <f t="shared" si="41"/>
        <v>0</v>
      </c>
      <c r="P335" t="str">
        <f t="shared" si="42"/>
        <v>On Time</v>
      </c>
      <c r="Q335" s="13">
        <f t="shared" si="43"/>
        <v>0.27166666660923511</v>
      </c>
      <c r="R335" s="13">
        <f t="shared" si="44"/>
        <v>1.1681134259270038</v>
      </c>
      <c r="S335" s="13">
        <f t="shared" si="45"/>
        <v>9.8599652777775191</v>
      </c>
      <c r="T335" t="str">
        <f t="shared" si="46"/>
        <v>On Time/Early</v>
      </c>
      <c r="U335" t="str">
        <f t="shared" si="47"/>
        <v>Normal</v>
      </c>
      <c r="V335" t="s">
        <v>102</v>
      </c>
    </row>
    <row r="336" spans="1:22">
      <c r="A336" t="s">
        <v>669</v>
      </c>
      <c r="B336" s="10">
        <v>42932.874374999999</v>
      </c>
      <c r="C336" s="10">
        <v>42934.253888888888</v>
      </c>
      <c r="D336" s="10">
        <v>42935.838865740741</v>
      </c>
      <c r="E336" s="10">
        <v>42957.744722222225</v>
      </c>
      <c r="F336" s="10">
        <v>42963</v>
      </c>
      <c r="G336" t="s">
        <v>30</v>
      </c>
      <c r="H336" t="s">
        <v>365</v>
      </c>
      <c r="I336" t="s">
        <v>44</v>
      </c>
      <c r="J336" s="11">
        <v>2</v>
      </c>
      <c r="K336" s="12">
        <v>199.98</v>
      </c>
      <c r="L336" s="12">
        <v>103.66</v>
      </c>
      <c r="M336" s="13">
        <v>5</v>
      </c>
      <c r="N336" s="13">
        <f t="shared" si="40"/>
        <v>24.870347222225973</v>
      </c>
      <c r="O336" s="13">
        <f t="shared" si="41"/>
        <v>0</v>
      </c>
      <c r="P336" t="str">
        <f t="shared" si="42"/>
        <v>On Time</v>
      </c>
      <c r="Q336" s="13">
        <f t="shared" si="43"/>
        <v>33.108333333337214</v>
      </c>
      <c r="R336" s="13">
        <f t="shared" si="44"/>
        <v>1.5849768518528435</v>
      </c>
      <c r="S336" s="13">
        <f t="shared" si="45"/>
        <v>21.905856481484079</v>
      </c>
      <c r="T336" t="str">
        <f t="shared" si="46"/>
        <v>On Time/Early</v>
      </c>
      <c r="U336" t="str">
        <f t="shared" si="47"/>
        <v>Normal</v>
      </c>
      <c r="V336" t="s">
        <v>102</v>
      </c>
    </row>
    <row r="337" spans="1:22">
      <c r="A337" t="s">
        <v>670</v>
      </c>
      <c r="B337" s="10">
        <v>42932.885092592594</v>
      </c>
      <c r="C337" s="10">
        <v>42932.892557870371</v>
      </c>
      <c r="D337" s="10">
        <v>42933.752696759257</v>
      </c>
      <c r="E337" s="10">
        <v>42938.578414351854</v>
      </c>
      <c r="F337" s="10">
        <v>42961</v>
      </c>
      <c r="G337" t="s">
        <v>33</v>
      </c>
      <c r="H337" t="s">
        <v>488</v>
      </c>
      <c r="I337" t="s">
        <v>136</v>
      </c>
      <c r="J337" s="11">
        <v>1</v>
      </c>
      <c r="K337" s="12">
        <v>128.69999999999999</v>
      </c>
      <c r="L337" s="12">
        <v>23.77</v>
      </c>
      <c r="M337" s="13">
        <v>5</v>
      </c>
      <c r="N337" s="13">
        <f t="shared" si="40"/>
        <v>5.6933217592595611</v>
      </c>
      <c r="O337" s="13">
        <f t="shared" si="41"/>
        <v>0</v>
      </c>
      <c r="P337" t="str">
        <f t="shared" si="42"/>
        <v>On Time</v>
      </c>
      <c r="Q337" s="13">
        <f t="shared" si="43"/>
        <v>0.17916666663950309</v>
      </c>
      <c r="R337" s="13">
        <f t="shared" si="44"/>
        <v>0.86013888888555812</v>
      </c>
      <c r="S337" s="13">
        <f t="shared" si="45"/>
        <v>4.825717592597357</v>
      </c>
      <c r="T337" t="str">
        <f t="shared" si="46"/>
        <v>On Time/Early</v>
      </c>
      <c r="U337" t="str">
        <f t="shared" si="47"/>
        <v>Normal</v>
      </c>
      <c r="V337" t="s">
        <v>102</v>
      </c>
    </row>
    <row r="338" spans="1:22">
      <c r="A338" t="s">
        <v>671</v>
      </c>
      <c r="B338" s="10">
        <v>42932.886550925927</v>
      </c>
      <c r="C338" s="10">
        <v>42932.895960648151</v>
      </c>
      <c r="D338" s="10">
        <v>42933.716979166667</v>
      </c>
      <c r="E338" s="10">
        <v>42948.669259259259</v>
      </c>
      <c r="F338" s="10">
        <v>42956</v>
      </c>
      <c r="G338" t="s">
        <v>16</v>
      </c>
      <c r="H338" t="s">
        <v>672</v>
      </c>
      <c r="I338" t="s">
        <v>136</v>
      </c>
      <c r="J338" s="11">
        <v>1</v>
      </c>
      <c r="K338" s="12">
        <v>128.56</v>
      </c>
      <c r="L338" s="12">
        <v>18.149999999999999</v>
      </c>
      <c r="M338" s="13">
        <v>5</v>
      </c>
      <c r="N338" s="13">
        <f t="shared" si="40"/>
        <v>15.782708333332266</v>
      </c>
      <c r="O338" s="13">
        <f t="shared" si="41"/>
        <v>0</v>
      </c>
      <c r="P338" t="str">
        <f t="shared" si="42"/>
        <v>On Time</v>
      </c>
      <c r="Q338" s="13">
        <f t="shared" si="43"/>
        <v>0.22583333338843659</v>
      </c>
      <c r="R338" s="13">
        <f t="shared" si="44"/>
        <v>0.82101851851621177</v>
      </c>
      <c r="S338" s="13">
        <f t="shared" si="45"/>
        <v>14.952280092591536</v>
      </c>
      <c r="T338" t="str">
        <f t="shared" si="46"/>
        <v>On Time/Early</v>
      </c>
      <c r="U338" t="str">
        <f t="shared" si="47"/>
        <v>Normal</v>
      </c>
      <c r="V338" t="s">
        <v>102</v>
      </c>
    </row>
    <row r="339" spans="1:22">
      <c r="A339" t="s">
        <v>673</v>
      </c>
      <c r="B339" s="10">
        <v>42933.501875000002</v>
      </c>
      <c r="C339" s="10">
        <v>42933.510601851849</v>
      </c>
      <c r="D339" s="10">
        <v>42934.544282407405</v>
      </c>
      <c r="E339" s="10">
        <v>42935.782893518517</v>
      </c>
      <c r="F339" s="10">
        <v>42944</v>
      </c>
      <c r="G339" t="s">
        <v>8</v>
      </c>
      <c r="H339" t="s">
        <v>182</v>
      </c>
      <c r="I339" t="s">
        <v>58</v>
      </c>
      <c r="J339" s="11">
        <v>1</v>
      </c>
      <c r="K339" s="12">
        <v>189.99</v>
      </c>
      <c r="L339" s="12">
        <v>9.52</v>
      </c>
      <c r="M339" s="13">
        <v>5</v>
      </c>
      <c r="N339" s="13">
        <f t="shared" si="40"/>
        <v>2.2810185185153387</v>
      </c>
      <c r="O339" s="13">
        <f t="shared" si="41"/>
        <v>0</v>
      </c>
      <c r="P339" t="str">
        <f t="shared" si="42"/>
        <v>On Time</v>
      </c>
      <c r="Q339" s="13">
        <f t="shared" si="43"/>
        <v>0.20944444433553144</v>
      </c>
      <c r="R339" s="13">
        <f t="shared" si="44"/>
        <v>1.0336805555562023</v>
      </c>
      <c r="S339" s="13">
        <f t="shared" si="45"/>
        <v>1.2386111111118225</v>
      </c>
      <c r="T339" t="str">
        <f t="shared" si="46"/>
        <v>On Time/Early</v>
      </c>
      <c r="U339" t="str">
        <f t="shared" si="47"/>
        <v>Normal</v>
      </c>
      <c r="V339" t="s">
        <v>102</v>
      </c>
    </row>
    <row r="340" spans="1:22">
      <c r="A340" t="s">
        <v>674</v>
      </c>
      <c r="B340" s="10">
        <v>42934.369930555556</v>
      </c>
      <c r="C340" s="10">
        <v>42935.298761574071</v>
      </c>
      <c r="D340" s="10">
        <v>42940.83185185185</v>
      </c>
      <c r="E340" s="10">
        <v>42943.669421296298</v>
      </c>
      <c r="F340" s="10">
        <v>42954</v>
      </c>
      <c r="G340" t="s">
        <v>8</v>
      </c>
      <c r="H340" t="s">
        <v>145</v>
      </c>
      <c r="I340" t="s">
        <v>180</v>
      </c>
      <c r="J340" s="11">
        <v>1</v>
      </c>
      <c r="K340" s="12">
        <v>21.9</v>
      </c>
      <c r="L340" s="12">
        <v>11.85</v>
      </c>
      <c r="M340" s="13">
        <v>3</v>
      </c>
      <c r="N340" s="13">
        <f t="shared" si="40"/>
        <v>9.299490740741021</v>
      </c>
      <c r="O340" s="13">
        <f t="shared" si="41"/>
        <v>0</v>
      </c>
      <c r="P340" t="str">
        <f t="shared" si="42"/>
        <v>On Time</v>
      </c>
      <c r="Q340" s="13">
        <f t="shared" si="43"/>
        <v>22.291944444354158</v>
      </c>
      <c r="R340" s="13">
        <f t="shared" si="44"/>
        <v>5.5330902777786832</v>
      </c>
      <c r="S340" s="13">
        <f t="shared" si="45"/>
        <v>2.8375694444475812</v>
      </c>
      <c r="T340" t="str">
        <f t="shared" si="46"/>
        <v>On Time/Early</v>
      </c>
      <c r="U340" t="str">
        <f t="shared" si="47"/>
        <v>Normal</v>
      </c>
      <c r="V340" t="s">
        <v>102</v>
      </c>
    </row>
    <row r="341" spans="1:22">
      <c r="A341" t="s">
        <v>675</v>
      </c>
      <c r="B341" s="10">
        <v>42935.582499999997</v>
      </c>
      <c r="C341" s="10">
        <v>42935.590520833335</v>
      </c>
      <c r="D341" s="10">
        <v>42937.512152777781</v>
      </c>
      <c r="E341" s="10">
        <v>42940.661493055559</v>
      </c>
      <c r="F341" s="10">
        <v>42951</v>
      </c>
      <c r="G341" t="s">
        <v>8</v>
      </c>
      <c r="H341" t="s">
        <v>605</v>
      </c>
      <c r="I341" t="s">
        <v>58</v>
      </c>
      <c r="J341" s="11">
        <v>1</v>
      </c>
      <c r="K341" s="12">
        <v>19.989999999999998</v>
      </c>
      <c r="L341" s="12">
        <v>7.78</v>
      </c>
      <c r="M341" s="13">
        <v>5</v>
      </c>
      <c r="N341" s="13">
        <f t="shared" si="40"/>
        <v>5.0789930555620231</v>
      </c>
      <c r="O341" s="13">
        <f t="shared" si="41"/>
        <v>0</v>
      </c>
      <c r="P341" t="str">
        <f t="shared" si="42"/>
        <v>On Time</v>
      </c>
      <c r="Q341" s="13">
        <f t="shared" si="43"/>
        <v>0.19250000012107193</v>
      </c>
      <c r="R341" s="13">
        <f t="shared" si="44"/>
        <v>1.921631944445835</v>
      </c>
      <c r="S341" s="13">
        <f t="shared" si="45"/>
        <v>3.1493402777778101</v>
      </c>
      <c r="T341" t="str">
        <f t="shared" si="46"/>
        <v>On Time/Early</v>
      </c>
      <c r="U341" t="str">
        <f t="shared" si="47"/>
        <v>Normal</v>
      </c>
      <c r="V341" t="s">
        <v>102</v>
      </c>
    </row>
    <row r="342" spans="1:22">
      <c r="A342" t="s">
        <v>676</v>
      </c>
      <c r="B342" s="10">
        <v>42935.741736111115</v>
      </c>
      <c r="C342" s="10">
        <v>42936.746701388889</v>
      </c>
      <c r="D342" s="10">
        <v>42937.756886574076</v>
      </c>
      <c r="E342" s="10">
        <v>42942.786851851852</v>
      </c>
      <c r="F342" s="10">
        <v>42957</v>
      </c>
      <c r="G342" t="s">
        <v>8</v>
      </c>
      <c r="H342" t="s">
        <v>677</v>
      </c>
      <c r="I342" t="s">
        <v>185</v>
      </c>
      <c r="J342" s="11">
        <v>1</v>
      </c>
      <c r="K342" s="12">
        <v>43.7</v>
      </c>
      <c r="L342" s="12">
        <v>11.85</v>
      </c>
      <c r="M342" s="13">
        <v>5</v>
      </c>
      <c r="N342" s="13">
        <f t="shared" si="40"/>
        <v>7.0451157407369465</v>
      </c>
      <c r="O342" s="13">
        <f t="shared" si="41"/>
        <v>0</v>
      </c>
      <c r="P342" t="str">
        <f t="shared" si="42"/>
        <v>On Time</v>
      </c>
      <c r="Q342" s="13">
        <f t="shared" si="43"/>
        <v>24.119166666583624</v>
      </c>
      <c r="R342" s="13">
        <f t="shared" si="44"/>
        <v>1.010185185186856</v>
      </c>
      <c r="S342" s="13">
        <f t="shared" si="45"/>
        <v>5.0299652777757728</v>
      </c>
      <c r="T342" t="str">
        <f t="shared" si="46"/>
        <v>On Time/Early</v>
      </c>
      <c r="U342" t="str">
        <f t="shared" si="47"/>
        <v>Normal</v>
      </c>
      <c r="V342" t="s">
        <v>102</v>
      </c>
    </row>
    <row r="343" spans="1:22">
      <c r="A343" t="s">
        <v>678</v>
      </c>
      <c r="B343" s="10">
        <v>42935.792037037034</v>
      </c>
      <c r="C343" s="10">
        <v>42935.798750000002</v>
      </c>
      <c r="D343" s="10">
        <v>42941.950254629628</v>
      </c>
      <c r="E343" s="10">
        <v>42947.727743055555</v>
      </c>
      <c r="F343" s="10">
        <v>42964</v>
      </c>
      <c r="G343" t="s">
        <v>36</v>
      </c>
      <c r="H343" t="s">
        <v>679</v>
      </c>
      <c r="I343" t="s">
        <v>128</v>
      </c>
      <c r="J343" s="11">
        <v>2</v>
      </c>
      <c r="K343" s="12">
        <v>119.8</v>
      </c>
      <c r="L343" s="12">
        <v>35.340000000000003</v>
      </c>
      <c r="M343" s="13">
        <v>5</v>
      </c>
      <c r="N343" s="13">
        <f t="shared" si="40"/>
        <v>11.935706018521159</v>
      </c>
      <c r="O343" s="13">
        <f t="shared" si="41"/>
        <v>0</v>
      </c>
      <c r="P343" t="str">
        <f t="shared" si="42"/>
        <v>On Time</v>
      </c>
      <c r="Q343" s="13">
        <f t="shared" si="43"/>
        <v>0.16111111122881994</v>
      </c>
      <c r="R343" s="13">
        <f t="shared" si="44"/>
        <v>6.1515046296262881</v>
      </c>
      <c r="S343" s="13">
        <f t="shared" si="45"/>
        <v>5.7774884259270038</v>
      </c>
      <c r="T343" t="str">
        <f t="shared" si="46"/>
        <v>On Time/Early</v>
      </c>
      <c r="U343" t="str">
        <f t="shared" si="47"/>
        <v>Normal</v>
      </c>
      <c r="V343" t="s">
        <v>102</v>
      </c>
    </row>
    <row r="344" spans="1:22">
      <c r="A344" t="s">
        <v>680</v>
      </c>
      <c r="B344" s="10">
        <v>42936.419409722221</v>
      </c>
      <c r="C344" s="10">
        <v>42936.465416666666</v>
      </c>
      <c r="D344" s="10">
        <v>42936.831597222219</v>
      </c>
      <c r="E344" s="10">
        <v>42943.656087962961</v>
      </c>
      <c r="F344" s="10">
        <v>42949</v>
      </c>
      <c r="G344" t="s">
        <v>8</v>
      </c>
      <c r="H344" t="s">
        <v>140</v>
      </c>
      <c r="I344" t="s">
        <v>123</v>
      </c>
      <c r="J344" s="11">
        <v>1</v>
      </c>
      <c r="K344" s="12">
        <v>199.99</v>
      </c>
      <c r="L344" s="12">
        <v>12.6</v>
      </c>
      <c r="M344" s="13">
        <v>5</v>
      </c>
      <c r="N344" s="13">
        <f t="shared" si="40"/>
        <v>7.23667824074073</v>
      </c>
      <c r="O344" s="13">
        <f t="shared" si="41"/>
        <v>0</v>
      </c>
      <c r="P344" t="str">
        <f t="shared" si="42"/>
        <v>On Time</v>
      </c>
      <c r="Q344" s="13">
        <f t="shared" si="43"/>
        <v>1.1041666666860692</v>
      </c>
      <c r="R344" s="13">
        <f t="shared" si="44"/>
        <v>0.36618055555300089</v>
      </c>
      <c r="S344" s="13">
        <f t="shared" si="45"/>
        <v>6.8244907407424762</v>
      </c>
      <c r="T344" t="str">
        <f t="shared" si="46"/>
        <v>On Time/Early</v>
      </c>
      <c r="U344" t="str">
        <f t="shared" si="47"/>
        <v>Normal</v>
      </c>
      <c r="V344" t="s">
        <v>102</v>
      </c>
    </row>
    <row r="345" spans="1:22">
      <c r="A345" t="s">
        <v>681</v>
      </c>
      <c r="B345" s="10">
        <v>42936.566307870373</v>
      </c>
      <c r="C345" s="10">
        <v>42936.576516203706</v>
      </c>
      <c r="D345" s="10">
        <v>42942.805775462963</v>
      </c>
      <c r="E345" s="10">
        <v>42965.782453703701</v>
      </c>
      <c r="F345" s="10">
        <v>42958</v>
      </c>
      <c r="G345" t="s">
        <v>16</v>
      </c>
      <c r="H345" t="s">
        <v>138</v>
      </c>
      <c r="I345" t="s">
        <v>120</v>
      </c>
      <c r="J345" s="11">
        <v>1</v>
      </c>
      <c r="K345" s="12">
        <v>31.9</v>
      </c>
      <c r="L345" s="12">
        <v>14.1</v>
      </c>
      <c r="M345" s="13">
        <v>2</v>
      </c>
      <c r="N345" s="13">
        <f t="shared" si="40"/>
        <v>29.216145833328483</v>
      </c>
      <c r="O345" s="13">
        <f t="shared" si="41"/>
        <v>7.7824537037013215</v>
      </c>
      <c r="P345" t="str">
        <f t="shared" si="42"/>
        <v>Delayed</v>
      </c>
      <c r="Q345" s="13">
        <f t="shared" si="43"/>
        <v>0.24499999999534339</v>
      </c>
      <c r="R345" s="13">
        <f t="shared" si="44"/>
        <v>6.2292592592566507</v>
      </c>
      <c r="S345" s="13">
        <f t="shared" si="45"/>
        <v>22.976678240738693</v>
      </c>
      <c r="T345" t="str">
        <f t="shared" si="46"/>
        <v>8+ Days Late</v>
      </c>
      <c r="U345" t="str">
        <f t="shared" si="47"/>
        <v>Needs Review</v>
      </c>
      <c r="V345" t="s">
        <v>102</v>
      </c>
    </row>
    <row r="346" spans="1:22">
      <c r="A346" t="s">
        <v>682</v>
      </c>
      <c r="B346" s="10">
        <v>42936.683587962965</v>
      </c>
      <c r="C346" s="10">
        <v>42936.691145833334</v>
      </c>
      <c r="D346" s="10">
        <v>42937.865694444445</v>
      </c>
      <c r="E346" s="10">
        <v>42942.070844907408</v>
      </c>
      <c r="F346" s="10">
        <v>42956</v>
      </c>
      <c r="G346" t="s">
        <v>8</v>
      </c>
      <c r="H346" t="s">
        <v>540</v>
      </c>
      <c r="I346" t="s">
        <v>112</v>
      </c>
      <c r="J346" s="11">
        <v>1</v>
      </c>
      <c r="K346" s="12">
        <v>44.9</v>
      </c>
      <c r="L346" s="12">
        <v>11.85</v>
      </c>
      <c r="M346" s="13">
        <v>2</v>
      </c>
      <c r="N346" s="13">
        <f t="shared" si="40"/>
        <v>5.3872569444429246</v>
      </c>
      <c r="O346" s="13">
        <f t="shared" si="41"/>
        <v>0</v>
      </c>
      <c r="P346" t="str">
        <f t="shared" si="42"/>
        <v>On Time</v>
      </c>
      <c r="Q346" s="13">
        <f t="shared" si="43"/>
        <v>0.1813888888573274</v>
      </c>
      <c r="R346" s="13">
        <f t="shared" si="44"/>
        <v>1.1745486111103673</v>
      </c>
      <c r="S346" s="13">
        <f t="shared" si="45"/>
        <v>4.2051504629635019</v>
      </c>
      <c r="T346" t="str">
        <f t="shared" si="46"/>
        <v>On Time/Early</v>
      </c>
      <c r="U346" t="str">
        <f t="shared" si="47"/>
        <v>Normal</v>
      </c>
      <c r="V346" t="s">
        <v>102</v>
      </c>
    </row>
    <row r="347" spans="1:22">
      <c r="A347" t="s">
        <v>683</v>
      </c>
      <c r="B347" s="10">
        <v>42936.684675925928</v>
      </c>
      <c r="C347" s="10">
        <v>42938.09988425926</v>
      </c>
      <c r="D347" s="10">
        <v>42942.03460648148</v>
      </c>
      <c r="E347" s="10">
        <v>42942.737673611111</v>
      </c>
      <c r="F347" s="10">
        <v>42954</v>
      </c>
      <c r="G347" t="s">
        <v>8</v>
      </c>
      <c r="H347" t="s">
        <v>161</v>
      </c>
      <c r="I347" t="s">
        <v>58</v>
      </c>
      <c r="J347" s="11">
        <v>1</v>
      </c>
      <c r="K347" s="12">
        <v>19.989999999999998</v>
      </c>
      <c r="L347" s="12">
        <v>7.78</v>
      </c>
      <c r="M347" s="13">
        <v>5</v>
      </c>
      <c r="N347" s="13">
        <f t="shared" si="40"/>
        <v>6.0529976851830725</v>
      </c>
      <c r="O347" s="13">
        <f t="shared" si="41"/>
        <v>0</v>
      </c>
      <c r="P347" t="str">
        <f t="shared" si="42"/>
        <v>On Time</v>
      </c>
      <c r="Q347" s="13">
        <f t="shared" si="43"/>
        <v>33.964999999967404</v>
      </c>
      <c r="R347" s="13">
        <f t="shared" si="44"/>
        <v>3.9347222222204437</v>
      </c>
      <c r="S347" s="13">
        <f t="shared" si="45"/>
        <v>0.70306712963065365</v>
      </c>
      <c r="T347" t="str">
        <f t="shared" si="46"/>
        <v>On Time/Early</v>
      </c>
      <c r="U347" t="str">
        <f t="shared" si="47"/>
        <v>Normal</v>
      </c>
      <c r="V347" t="s">
        <v>102</v>
      </c>
    </row>
    <row r="348" spans="1:22">
      <c r="A348" t="s">
        <v>684</v>
      </c>
      <c r="B348" s="10">
        <v>42937.204062500001</v>
      </c>
      <c r="C348" s="10">
        <v>42938.090497685182</v>
      </c>
      <c r="D348" s="10">
        <v>42942.640532407408</v>
      </c>
      <c r="E348" s="10">
        <v>42947.774791666663</v>
      </c>
      <c r="F348" s="10">
        <v>42957</v>
      </c>
      <c r="G348" t="s">
        <v>8</v>
      </c>
      <c r="H348" t="s">
        <v>108</v>
      </c>
      <c r="I348" t="s">
        <v>180</v>
      </c>
      <c r="J348" s="11">
        <v>1</v>
      </c>
      <c r="K348" s="12">
        <v>31.9</v>
      </c>
      <c r="L348" s="12">
        <v>12.69</v>
      </c>
      <c r="M348" s="13">
        <v>5</v>
      </c>
      <c r="N348" s="13">
        <f t="shared" si="40"/>
        <v>10.570729166662204</v>
      </c>
      <c r="O348" s="13">
        <f t="shared" si="41"/>
        <v>0</v>
      </c>
      <c r="P348" t="str">
        <f t="shared" si="42"/>
        <v>On Time</v>
      </c>
      <c r="Q348" s="13">
        <f t="shared" si="43"/>
        <v>21.27444444433786</v>
      </c>
      <c r="R348" s="13">
        <f t="shared" si="44"/>
        <v>4.5500347222259734</v>
      </c>
      <c r="S348" s="13">
        <f t="shared" si="45"/>
        <v>5.1342592592554865</v>
      </c>
      <c r="T348" t="str">
        <f t="shared" si="46"/>
        <v>On Time/Early</v>
      </c>
      <c r="U348" t="str">
        <f t="shared" si="47"/>
        <v>Normal</v>
      </c>
      <c r="V348" t="s">
        <v>102</v>
      </c>
    </row>
    <row r="349" spans="1:22">
      <c r="A349" t="s">
        <v>685</v>
      </c>
      <c r="B349" s="10">
        <v>42937.368090277778</v>
      </c>
      <c r="C349" s="10">
        <v>42937.377013888887</v>
      </c>
      <c r="D349" s="10">
        <v>42937.746990740743</v>
      </c>
      <c r="E349" s="10">
        <v>42947.818020833336</v>
      </c>
      <c r="F349" s="10">
        <v>42961</v>
      </c>
      <c r="G349" t="s">
        <v>16</v>
      </c>
      <c r="H349" t="s">
        <v>138</v>
      </c>
      <c r="I349" t="s">
        <v>123</v>
      </c>
      <c r="J349" s="11">
        <v>1</v>
      </c>
      <c r="K349" s="12">
        <v>69.989999999999995</v>
      </c>
      <c r="L349" s="12">
        <v>16.739999999999998</v>
      </c>
      <c r="M349" s="13">
        <v>5</v>
      </c>
      <c r="N349" s="13">
        <f t="shared" si="40"/>
        <v>10.44993055555824</v>
      </c>
      <c r="O349" s="13">
        <f t="shared" si="41"/>
        <v>0</v>
      </c>
      <c r="P349" t="str">
        <f t="shared" si="42"/>
        <v>On Time</v>
      </c>
      <c r="Q349" s="13">
        <f t="shared" si="43"/>
        <v>0.21416666661389172</v>
      </c>
      <c r="R349" s="13">
        <f t="shared" si="44"/>
        <v>0.369976851856336</v>
      </c>
      <c r="S349" s="13">
        <f t="shared" si="45"/>
        <v>10.071030092592991</v>
      </c>
      <c r="T349" t="str">
        <f t="shared" si="46"/>
        <v>On Time/Early</v>
      </c>
      <c r="U349" t="str">
        <f t="shared" si="47"/>
        <v>Normal</v>
      </c>
      <c r="V349" t="s">
        <v>102</v>
      </c>
    </row>
    <row r="350" spans="1:22">
      <c r="A350" t="s">
        <v>686</v>
      </c>
      <c r="B350" s="10">
        <v>42938.432754629626</v>
      </c>
      <c r="C350" s="10">
        <v>42938.441099537034</v>
      </c>
      <c r="D350" s="10">
        <v>42940.803969907407</v>
      </c>
      <c r="E350" s="10">
        <v>42942.742708333331</v>
      </c>
      <c r="F350" s="10">
        <v>42979</v>
      </c>
      <c r="G350" t="s">
        <v>8</v>
      </c>
      <c r="H350" t="s">
        <v>243</v>
      </c>
      <c r="I350" t="s">
        <v>143</v>
      </c>
      <c r="J350" s="11">
        <v>1</v>
      </c>
      <c r="K350" s="12">
        <v>130.19999999999999</v>
      </c>
      <c r="L350" s="12">
        <v>13.93</v>
      </c>
      <c r="M350" s="13">
        <v>5</v>
      </c>
      <c r="N350" s="13">
        <f t="shared" si="40"/>
        <v>4.309953703705105</v>
      </c>
      <c r="O350" s="13">
        <f t="shared" si="41"/>
        <v>0</v>
      </c>
      <c r="P350" t="str">
        <f t="shared" si="42"/>
        <v>On Time</v>
      </c>
      <c r="Q350" s="13">
        <f t="shared" si="43"/>
        <v>0.20027777779614553</v>
      </c>
      <c r="R350" s="13">
        <f t="shared" si="44"/>
        <v>2.3628703703725478</v>
      </c>
      <c r="S350" s="13">
        <f t="shared" si="45"/>
        <v>1.9387384259243845</v>
      </c>
      <c r="T350" t="str">
        <f t="shared" si="46"/>
        <v>On Time/Early</v>
      </c>
      <c r="U350" t="str">
        <f t="shared" si="47"/>
        <v>Normal</v>
      </c>
      <c r="V350" t="s">
        <v>102</v>
      </c>
    </row>
    <row r="351" spans="1:22">
      <c r="A351" t="s">
        <v>687</v>
      </c>
      <c r="B351" s="10">
        <v>42938.690532407411</v>
      </c>
      <c r="C351" s="10">
        <v>42938.698113425926</v>
      </c>
      <c r="D351" s="10">
        <v>42943.922291666669</v>
      </c>
      <c r="E351" s="10">
        <v>42950.740104166667</v>
      </c>
      <c r="F351" s="10">
        <v>42965</v>
      </c>
      <c r="G351" t="s">
        <v>8</v>
      </c>
      <c r="H351" t="s">
        <v>140</v>
      </c>
      <c r="I351" t="s">
        <v>128</v>
      </c>
      <c r="J351" s="11">
        <v>1</v>
      </c>
      <c r="K351" s="12">
        <v>59.9</v>
      </c>
      <c r="L351" s="12">
        <v>13.44</v>
      </c>
      <c r="M351" s="13">
        <v>5</v>
      </c>
      <c r="N351" s="13">
        <f t="shared" si="40"/>
        <v>12.049571759256651</v>
      </c>
      <c r="O351" s="13">
        <f t="shared" si="41"/>
        <v>0</v>
      </c>
      <c r="P351" t="str">
        <f t="shared" si="42"/>
        <v>On Time</v>
      </c>
      <c r="Q351" s="13">
        <f t="shared" si="43"/>
        <v>0.18194444436812773</v>
      </c>
      <c r="R351" s="13">
        <f t="shared" si="44"/>
        <v>5.2241782407436403</v>
      </c>
      <c r="S351" s="13">
        <f t="shared" si="45"/>
        <v>6.8178124999976717</v>
      </c>
      <c r="T351" t="str">
        <f t="shared" si="46"/>
        <v>On Time/Early</v>
      </c>
      <c r="U351" t="str">
        <f t="shared" si="47"/>
        <v>Normal</v>
      </c>
      <c r="V351" t="s">
        <v>102</v>
      </c>
    </row>
    <row r="352" spans="1:22">
      <c r="A352" t="s">
        <v>688</v>
      </c>
      <c r="B352" s="10">
        <v>42938.746678240743</v>
      </c>
      <c r="C352" s="10">
        <v>42938.757048611114</v>
      </c>
      <c r="D352" s="10">
        <v>42940.769456018519</v>
      </c>
      <c r="E352" s="10">
        <v>42943.794085648151</v>
      </c>
      <c r="F352" s="10">
        <v>42958</v>
      </c>
      <c r="G352" t="s">
        <v>33</v>
      </c>
      <c r="H352" t="s">
        <v>689</v>
      </c>
      <c r="I352" t="s">
        <v>690</v>
      </c>
      <c r="J352" s="11">
        <v>1</v>
      </c>
      <c r="K352" s="12">
        <v>105</v>
      </c>
      <c r="L352" s="12">
        <v>14.6</v>
      </c>
      <c r="M352" s="13">
        <v>5</v>
      </c>
      <c r="N352" s="13">
        <f t="shared" si="40"/>
        <v>5.0474074074081727</v>
      </c>
      <c r="O352" s="13">
        <f t="shared" si="41"/>
        <v>0</v>
      </c>
      <c r="P352" t="str">
        <f t="shared" si="42"/>
        <v>On Time</v>
      </c>
      <c r="Q352" s="13">
        <f t="shared" si="43"/>
        <v>0.24888888892019168</v>
      </c>
      <c r="R352" s="13">
        <f t="shared" si="44"/>
        <v>2.0124074074046803</v>
      </c>
      <c r="S352" s="13">
        <f t="shared" si="45"/>
        <v>3.0246296296318178</v>
      </c>
      <c r="T352" t="str">
        <f t="shared" si="46"/>
        <v>On Time/Early</v>
      </c>
      <c r="U352" t="str">
        <f t="shared" si="47"/>
        <v>Normal</v>
      </c>
      <c r="V352" t="s">
        <v>102</v>
      </c>
    </row>
    <row r="353" spans="1:22">
      <c r="A353" t="s">
        <v>691</v>
      </c>
      <c r="B353" s="10">
        <v>42938.867372685185</v>
      </c>
      <c r="C353" s="10">
        <v>42941.14267361111</v>
      </c>
      <c r="D353" s="10">
        <v>42942.445937500001</v>
      </c>
      <c r="E353" s="10">
        <v>42942.798333333332</v>
      </c>
      <c r="F353" s="10">
        <v>42951</v>
      </c>
      <c r="G353" t="s">
        <v>8</v>
      </c>
      <c r="H353" t="s">
        <v>309</v>
      </c>
      <c r="I353" t="s">
        <v>252</v>
      </c>
      <c r="J353" s="11">
        <v>1</v>
      </c>
      <c r="K353" s="12">
        <v>19.899999999999999</v>
      </c>
      <c r="L353" s="12">
        <v>8.27</v>
      </c>
      <c r="M353" s="13">
        <v>5</v>
      </c>
      <c r="N353" s="13">
        <f t="shared" si="40"/>
        <v>3.9309606481474475</v>
      </c>
      <c r="O353" s="13">
        <f t="shared" si="41"/>
        <v>0</v>
      </c>
      <c r="P353" t="str">
        <f t="shared" si="42"/>
        <v>On Time</v>
      </c>
      <c r="Q353" s="13">
        <f t="shared" si="43"/>
        <v>54.607222222199198</v>
      </c>
      <c r="R353" s="13">
        <f t="shared" si="44"/>
        <v>1.3032638888907968</v>
      </c>
      <c r="S353" s="13">
        <f t="shared" si="45"/>
        <v>0.35239583333168412</v>
      </c>
      <c r="T353" t="str">
        <f t="shared" si="46"/>
        <v>On Time/Early</v>
      </c>
      <c r="U353" t="str">
        <f t="shared" si="47"/>
        <v>Normal</v>
      </c>
      <c r="V353" t="s">
        <v>102</v>
      </c>
    </row>
    <row r="354" spans="1:22">
      <c r="A354" t="s">
        <v>692</v>
      </c>
      <c r="B354" s="10">
        <v>42939.745150462964</v>
      </c>
      <c r="C354" s="10">
        <v>42939.753738425927</v>
      </c>
      <c r="D354" s="10">
        <v>42941.933055555557</v>
      </c>
      <c r="E354" s="10">
        <v>42949.830451388887</v>
      </c>
      <c r="F354" s="10">
        <v>42968</v>
      </c>
      <c r="G354" t="s">
        <v>16</v>
      </c>
      <c r="H354" t="s">
        <v>138</v>
      </c>
      <c r="I354" t="s">
        <v>136</v>
      </c>
      <c r="J354" s="11">
        <v>1</v>
      </c>
      <c r="K354" s="12">
        <v>77.900000000000006</v>
      </c>
      <c r="L354" s="12">
        <v>18.79</v>
      </c>
      <c r="M354" s="13">
        <v>5</v>
      </c>
      <c r="N354" s="13">
        <f t="shared" si="40"/>
        <v>10.085300925922638</v>
      </c>
      <c r="O354" s="13">
        <f t="shared" si="41"/>
        <v>0</v>
      </c>
      <c r="P354" t="str">
        <f t="shared" si="42"/>
        <v>On Time</v>
      </c>
      <c r="Q354" s="13">
        <f t="shared" si="43"/>
        <v>0.20611111109610647</v>
      </c>
      <c r="R354" s="13">
        <f t="shared" si="44"/>
        <v>2.1793171296303626</v>
      </c>
      <c r="S354" s="13">
        <f t="shared" si="45"/>
        <v>7.8973958333299379</v>
      </c>
      <c r="T354" t="str">
        <f t="shared" si="46"/>
        <v>On Time/Early</v>
      </c>
      <c r="U354" t="str">
        <f t="shared" si="47"/>
        <v>Normal</v>
      </c>
      <c r="V354" t="s">
        <v>102</v>
      </c>
    </row>
    <row r="355" spans="1:22">
      <c r="A355" t="s">
        <v>693</v>
      </c>
      <c r="B355" s="10">
        <v>42939.816134259258</v>
      </c>
      <c r="C355" s="10">
        <v>42939.823020833333</v>
      </c>
      <c r="D355" s="10">
        <v>42942.696018518516</v>
      </c>
      <c r="E355" s="10">
        <v>42943.800636574073</v>
      </c>
      <c r="F355" s="10">
        <v>42951</v>
      </c>
      <c r="G355" t="s">
        <v>8</v>
      </c>
      <c r="H355" t="s">
        <v>605</v>
      </c>
      <c r="I355" t="s">
        <v>141</v>
      </c>
      <c r="J355" s="11">
        <v>1</v>
      </c>
      <c r="K355" s="12">
        <v>69.900000000000006</v>
      </c>
      <c r="L355" s="12">
        <v>9.34</v>
      </c>
      <c r="M355" s="13">
        <v>4</v>
      </c>
      <c r="N355" s="13">
        <f t="shared" si="40"/>
        <v>3.9845023148154723</v>
      </c>
      <c r="O355" s="13">
        <f t="shared" si="41"/>
        <v>0</v>
      </c>
      <c r="P355" t="str">
        <f t="shared" si="42"/>
        <v>On Time</v>
      </c>
      <c r="Q355" s="13">
        <f t="shared" si="43"/>
        <v>0.1652777778217569</v>
      </c>
      <c r="R355" s="13">
        <f t="shared" si="44"/>
        <v>2.8729976851827814</v>
      </c>
      <c r="S355" s="13">
        <f t="shared" si="45"/>
        <v>1.1046180555567844</v>
      </c>
      <c r="T355" t="str">
        <f t="shared" si="46"/>
        <v>On Time/Early</v>
      </c>
      <c r="U355" t="str">
        <f t="shared" si="47"/>
        <v>Normal</v>
      </c>
      <c r="V355" t="s">
        <v>102</v>
      </c>
    </row>
    <row r="356" spans="1:22">
      <c r="A356" t="s">
        <v>694</v>
      </c>
      <c r="B356" s="10">
        <v>42940.570092592592</v>
      </c>
      <c r="C356" s="10">
        <v>42941.279895833337</v>
      </c>
      <c r="D356" s="10">
        <v>42942.756782407407</v>
      </c>
      <c r="E356" s="10">
        <v>42957.619803240741</v>
      </c>
      <c r="F356" s="10">
        <v>42962</v>
      </c>
      <c r="G356" t="s">
        <v>16</v>
      </c>
      <c r="H356" t="s">
        <v>138</v>
      </c>
      <c r="I356" t="s">
        <v>136</v>
      </c>
      <c r="J356" s="11">
        <v>2</v>
      </c>
      <c r="K356" s="12">
        <v>71.98</v>
      </c>
      <c r="L356" s="12">
        <v>28.2</v>
      </c>
      <c r="M356" s="13">
        <v>1</v>
      </c>
      <c r="N356" s="13">
        <f t="shared" si="40"/>
        <v>17.049710648148903</v>
      </c>
      <c r="O356" s="13">
        <f t="shared" si="41"/>
        <v>0</v>
      </c>
      <c r="P356" t="str">
        <f t="shared" si="42"/>
        <v>On Time</v>
      </c>
      <c r="Q356" s="13">
        <f t="shared" si="43"/>
        <v>17.035277777875308</v>
      </c>
      <c r="R356" s="13">
        <f t="shared" si="44"/>
        <v>1.4768865740697947</v>
      </c>
      <c r="S356" s="13">
        <f t="shared" si="45"/>
        <v>14.863020833334303</v>
      </c>
      <c r="T356" t="str">
        <f t="shared" si="46"/>
        <v>On Time/Early</v>
      </c>
      <c r="U356" t="str">
        <f t="shared" si="47"/>
        <v>Normal</v>
      </c>
      <c r="V356" t="s">
        <v>102</v>
      </c>
    </row>
    <row r="357" spans="1:22">
      <c r="A357" t="s">
        <v>695</v>
      </c>
      <c r="B357" s="10">
        <v>42941.380046296297</v>
      </c>
      <c r="C357" s="10">
        <v>42941.391099537039</v>
      </c>
      <c r="D357" s="10">
        <v>42941.953460648147</v>
      </c>
      <c r="E357" s="10">
        <v>42942.745694444442</v>
      </c>
      <c r="F357" s="10">
        <v>42954</v>
      </c>
      <c r="G357" t="s">
        <v>8</v>
      </c>
      <c r="H357" t="s">
        <v>696</v>
      </c>
      <c r="I357" t="s">
        <v>58</v>
      </c>
      <c r="J357" s="11">
        <v>1</v>
      </c>
      <c r="K357" s="12">
        <v>49.89</v>
      </c>
      <c r="L357" s="12">
        <v>8.27</v>
      </c>
      <c r="M357" s="13">
        <v>5</v>
      </c>
      <c r="N357" s="13">
        <f t="shared" si="40"/>
        <v>1.3656481481448282</v>
      </c>
      <c r="O357" s="13">
        <f t="shared" si="41"/>
        <v>0</v>
      </c>
      <c r="P357" t="str">
        <f t="shared" si="42"/>
        <v>On Time</v>
      </c>
      <c r="Q357" s="13">
        <f t="shared" si="43"/>
        <v>0.26527777779847383</v>
      </c>
      <c r="R357" s="13">
        <f t="shared" si="44"/>
        <v>0.562361111107748</v>
      </c>
      <c r="S357" s="13">
        <f t="shared" si="45"/>
        <v>0.79223379629547708</v>
      </c>
      <c r="T357" t="str">
        <f t="shared" si="46"/>
        <v>On Time/Early</v>
      </c>
      <c r="U357" t="str">
        <f t="shared" si="47"/>
        <v>Normal</v>
      </c>
      <c r="V357" t="s">
        <v>102</v>
      </c>
    </row>
    <row r="358" spans="1:22">
      <c r="A358" t="s">
        <v>697</v>
      </c>
      <c r="B358" s="10">
        <v>42941.643055555556</v>
      </c>
      <c r="C358" s="10">
        <v>42941.668773148151</v>
      </c>
      <c r="D358" s="10">
        <v>42942.843263888892</v>
      </c>
      <c r="E358" s="10">
        <v>42949.832916666666</v>
      </c>
      <c r="F358" s="10">
        <v>42976</v>
      </c>
      <c r="G358" t="s">
        <v>36</v>
      </c>
      <c r="H358" t="s">
        <v>467</v>
      </c>
      <c r="I358" t="s">
        <v>136</v>
      </c>
      <c r="J358" s="11">
        <v>2</v>
      </c>
      <c r="K358" s="12">
        <v>145.80000000000001</v>
      </c>
      <c r="L358" s="12">
        <v>18</v>
      </c>
      <c r="M358" s="13">
        <v>4</v>
      </c>
      <c r="N358" s="13">
        <f t="shared" si="40"/>
        <v>8.1898611111100763</v>
      </c>
      <c r="O358" s="13">
        <f t="shared" si="41"/>
        <v>0</v>
      </c>
      <c r="P358" t="str">
        <f t="shared" si="42"/>
        <v>On Time</v>
      </c>
      <c r="Q358" s="13">
        <f t="shared" si="43"/>
        <v>0.61722222226671875</v>
      </c>
      <c r="R358" s="13">
        <f t="shared" si="44"/>
        <v>1.174490740741021</v>
      </c>
      <c r="S358" s="13">
        <f t="shared" si="45"/>
        <v>6.9896527777746087</v>
      </c>
      <c r="T358" t="str">
        <f t="shared" si="46"/>
        <v>On Time/Early</v>
      </c>
      <c r="U358" t="str">
        <f t="shared" si="47"/>
        <v>Normal</v>
      </c>
      <c r="V358" t="s">
        <v>102</v>
      </c>
    </row>
    <row r="359" spans="1:22">
      <c r="A359" t="s">
        <v>698</v>
      </c>
      <c r="B359" s="10">
        <v>42941.93074074074</v>
      </c>
      <c r="C359" s="10">
        <v>42941.941145833334</v>
      </c>
      <c r="D359" s="10">
        <v>42944.619571759256</v>
      </c>
      <c r="E359" s="10">
        <v>42954.863923611112</v>
      </c>
      <c r="F359" s="10">
        <v>42965</v>
      </c>
      <c r="G359" t="s">
        <v>16</v>
      </c>
      <c r="H359" t="s">
        <v>138</v>
      </c>
      <c r="I359" t="s">
        <v>221</v>
      </c>
      <c r="J359" s="11">
        <v>1</v>
      </c>
      <c r="K359" s="12">
        <v>157.99</v>
      </c>
      <c r="L359" s="12">
        <v>15.86</v>
      </c>
      <c r="M359" s="13">
        <v>5</v>
      </c>
      <c r="N359" s="13">
        <f t="shared" si="40"/>
        <v>12.933182870372548</v>
      </c>
      <c r="O359" s="13">
        <f t="shared" si="41"/>
        <v>0</v>
      </c>
      <c r="P359" t="str">
        <f t="shared" si="42"/>
        <v>On Time</v>
      </c>
      <c r="Q359" s="13">
        <f t="shared" si="43"/>
        <v>0.24972222227370366</v>
      </c>
      <c r="R359" s="13">
        <f t="shared" si="44"/>
        <v>2.6784259259220562</v>
      </c>
      <c r="S359" s="13">
        <f t="shared" si="45"/>
        <v>10.244351851855754</v>
      </c>
      <c r="T359" t="str">
        <f t="shared" si="46"/>
        <v>On Time/Early</v>
      </c>
      <c r="U359" t="str">
        <f t="shared" si="47"/>
        <v>Normal</v>
      </c>
      <c r="V359" t="s">
        <v>102</v>
      </c>
    </row>
    <row r="360" spans="1:22">
      <c r="A360" t="s">
        <v>699</v>
      </c>
      <c r="B360" s="10">
        <v>42942.765636574077</v>
      </c>
      <c r="C360" s="10">
        <v>42942.776979166665</v>
      </c>
      <c r="D360" s="10">
        <v>42944.733020833337</v>
      </c>
      <c r="E360" s="10">
        <v>42954.807222222225</v>
      </c>
      <c r="F360" s="10">
        <v>42965</v>
      </c>
      <c r="G360" t="s">
        <v>36</v>
      </c>
      <c r="H360" t="s">
        <v>700</v>
      </c>
      <c r="I360" t="s">
        <v>180</v>
      </c>
      <c r="J360" s="11">
        <v>1</v>
      </c>
      <c r="K360" s="12">
        <v>205</v>
      </c>
      <c r="L360" s="12">
        <v>26.27</v>
      </c>
      <c r="M360" s="13">
        <v>5</v>
      </c>
      <c r="N360" s="13">
        <f t="shared" si="40"/>
        <v>12.041585648148612</v>
      </c>
      <c r="O360" s="13">
        <f t="shared" si="41"/>
        <v>0</v>
      </c>
      <c r="P360" t="str">
        <f t="shared" si="42"/>
        <v>On Time</v>
      </c>
      <c r="Q360" s="13">
        <f t="shared" si="43"/>
        <v>0.27222222212003544</v>
      </c>
      <c r="R360" s="13">
        <f t="shared" si="44"/>
        <v>1.9560416666718083</v>
      </c>
      <c r="S360" s="13">
        <f t="shared" si="45"/>
        <v>10.074201388888469</v>
      </c>
      <c r="T360" t="str">
        <f t="shared" si="46"/>
        <v>On Time/Early</v>
      </c>
      <c r="U360" t="str">
        <f t="shared" si="47"/>
        <v>Normal</v>
      </c>
      <c r="V360" t="s">
        <v>102</v>
      </c>
    </row>
    <row r="361" spans="1:22">
      <c r="A361" t="s">
        <v>701</v>
      </c>
      <c r="B361" s="10">
        <v>42943.365671296298</v>
      </c>
      <c r="C361" s="10">
        <v>42944.364837962959</v>
      </c>
      <c r="D361" s="10">
        <v>42951.824618055558</v>
      </c>
      <c r="E361" s="10">
        <v>42955.79042824074</v>
      </c>
      <c r="F361" s="10">
        <v>42962</v>
      </c>
      <c r="G361" t="s">
        <v>8</v>
      </c>
      <c r="H361" t="s">
        <v>140</v>
      </c>
      <c r="I361" t="s">
        <v>37</v>
      </c>
      <c r="J361" s="11">
        <v>1</v>
      </c>
      <c r="K361" s="12">
        <v>116.6</v>
      </c>
      <c r="L361" s="12">
        <v>17.55</v>
      </c>
      <c r="M361" s="13">
        <v>5</v>
      </c>
      <c r="N361" s="13">
        <f t="shared" si="40"/>
        <v>12.424756944441469</v>
      </c>
      <c r="O361" s="13">
        <f t="shared" si="41"/>
        <v>0</v>
      </c>
      <c r="P361" t="str">
        <f t="shared" si="42"/>
        <v>On Time</v>
      </c>
      <c r="Q361" s="13">
        <f t="shared" si="43"/>
        <v>23.979999999864958</v>
      </c>
      <c r="R361" s="13">
        <f t="shared" si="44"/>
        <v>7.4597800925985212</v>
      </c>
      <c r="S361" s="13">
        <f t="shared" si="45"/>
        <v>3.9658101851819083</v>
      </c>
      <c r="T361" t="str">
        <f t="shared" si="46"/>
        <v>On Time/Early</v>
      </c>
      <c r="U361" t="str">
        <f t="shared" si="47"/>
        <v>Normal</v>
      </c>
      <c r="V361" t="s">
        <v>102</v>
      </c>
    </row>
    <row r="362" spans="1:22">
      <c r="A362" t="s">
        <v>702</v>
      </c>
      <c r="B362" s="10">
        <v>42943.367928240739</v>
      </c>
      <c r="C362" s="10">
        <v>42943.441111111111</v>
      </c>
      <c r="D362" s="10">
        <v>42944.712407407409</v>
      </c>
      <c r="E362" s="10">
        <v>42955.821226851855</v>
      </c>
      <c r="F362" s="10">
        <v>42971</v>
      </c>
      <c r="G362" t="s">
        <v>20</v>
      </c>
      <c r="H362" t="s">
        <v>703</v>
      </c>
      <c r="I362" t="s">
        <v>221</v>
      </c>
      <c r="J362" s="11">
        <v>1</v>
      </c>
      <c r="K362" s="12">
        <v>26.69</v>
      </c>
      <c r="L362" s="12">
        <v>26.89</v>
      </c>
      <c r="M362" s="13">
        <v>4</v>
      </c>
      <c r="N362" s="13">
        <f t="shared" si="40"/>
        <v>12.453298611115315</v>
      </c>
      <c r="O362" s="13">
        <f t="shared" si="41"/>
        <v>0</v>
      </c>
      <c r="P362" t="str">
        <f t="shared" si="42"/>
        <v>On Time</v>
      </c>
      <c r="Q362" s="13">
        <f t="shared" si="43"/>
        <v>1.7563888889271766</v>
      </c>
      <c r="R362" s="13">
        <f t="shared" si="44"/>
        <v>1.2712962962978054</v>
      </c>
      <c r="S362" s="13">
        <f t="shared" si="45"/>
        <v>11.108819444445544</v>
      </c>
      <c r="T362" t="str">
        <f t="shared" si="46"/>
        <v>On Time/Early</v>
      </c>
      <c r="U362" t="str">
        <f t="shared" si="47"/>
        <v>Normal</v>
      </c>
      <c r="V362" t="s">
        <v>102</v>
      </c>
    </row>
    <row r="363" spans="1:22">
      <c r="A363" t="s">
        <v>704</v>
      </c>
      <c r="B363" s="10">
        <v>42943.721076388887</v>
      </c>
      <c r="C363" s="10">
        <v>42943.729270833333</v>
      </c>
      <c r="D363" s="10">
        <v>42944.648587962962</v>
      </c>
      <c r="E363" s="10">
        <v>42949.752592592595</v>
      </c>
      <c r="F363" s="10">
        <v>42965</v>
      </c>
      <c r="G363" t="s">
        <v>8</v>
      </c>
      <c r="H363" t="s">
        <v>204</v>
      </c>
      <c r="I363" t="s">
        <v>101</v>
      </c>
      <c r="J363" s="11">
        <v>1</v>
      </c>
      <c r="K363" s="12">
        <v>29.9</v>
      </c>
      <c r="L363" s="12">
        <v>11.85</v>
      </c>
      <c r="M363" s="13">
        <v>5</v>
      </c>
      <c r="N363" s="13">
        <f t="shared" si="40"/>
        <v>6.0315162037077243</v>
      </c>
      <c r="O363" s="13">
        <f t="shared" si="41"/>
        <v>0</v>
      </c>
      <c r="P363" t="str">
        <f t="shared" si="42"/>
        <v>On Time</v>
      </c>
      <c r="Q363" s="13">
        <f t="shared" si="43"/>
        <v>0.1966666667140089</v>
      </c>
      <c r="R363" s="13">
        <f t="shared" si="44"/>
        <v>0.91931712962832535</v>
      </c>
      <c r="S363" s="13">
        <f t="shared" si="45"/>
        <v>5.104004629632982</v>
      </c>
      <c r="T363" t="str">
        <f t="shared" si="46"/>
        <v>On Time/Early</v>
      </c>
      <c r="U363" t="str">
        <f t="shared" si="47"/>
        <v>Normal</v>
      </c>
      <c r="V363" t="s">
        <v>102</v>
      </c>
    </row>
    <row r="364" spans="1:22">
      <c r="A364" t="s">
        <v>705</v>
      </c>
      <c r="B364" s="10">
        <v>42944.918425925927</v>
      </c>
      <c r="C364" s="10">
        <v>42944.927210648151</v>
      </c>
      <c r="D364" s="10">
        <v>42948.692662037036</v>
      </c>
      <c r="E364" s="10">
        <v>42956.882210648146</v>
      </c>
      <c r="F364" s="10">
        <v>42970</v>
      </c>
      <c r="G364" t="s">
        <v>36</v>
      </c>
      <c r="H364" t="s">
        <v>706</v>
      </c>
      <c r="I364" t="s">
        <v>180</v>
      </c>
      <c r="J364" s="11">
        <v>1</v>
      </c>
      <c r="K364" s="12">
        <v>134.9</v>
      </c>
      <c r="L364" s="12">
        <v>21.43</v>
      </c>
      <c r="M364" s="13">
        <v>5</v>
      </c>
      <c r="N364" s="13">
        <f t="shared" si="40"/>
        <v>11.963784722218406</v>
      </c>
      <c r="O364" s="13">
        <f t="shared" si="41"/>
        <v>0</v>
      </c>
      <c r="P364" t="str">
        <f t="shared" si="42"/>
        <v>On Time</v>
      </c>
      <c r="Q364" s="13">
        <f t="shared" si="43"/>
        <v>0.21083333337446675</v>
      </c>
      <c r="R364" s="13">
        <f t="shared" si="44"/>
        <v>3.765451388884685</v>
      </c>
      <c r="S364" s="13">
        <f t="shared" si="45"/>
        <v>8.1895486111097853</v>
      </c>
      <c r="T364" t="str">
        <f t="shared" si="46"/>
        <v>On Time/Early</v>
      </c>
      <c r="U364" t="str">
        <f t="shared" si="47"/>
        <v>Normal</v>
      </c>
      <c r="V364" t="s">
        <v>102</v>
      </c>
    </row>
    <row r="365" spans="1:22">
      <c r="A365" t="s">
        <v>707</v>
      </c>
      <c r="B365" s="10">
        <v>42945.06150462963</v>
      </c>
      <c r="C365" s="10">
        <v>42945.066180555557</v>
      </c>
      <c r="D365" s="10">
        <v>42947.695821759262</v>
      </c>
      <c r="E365" s="10">
        <v>42955.919212962966</v>
      </c>
      <c r="F365" s="10">
        <v>42970</v>
      </c>
      <c r="G365" t="s">
        <v>16</v>
      </c>
      <c r="H365" t="s">
        <v>138</v>
      </c>
      <c r="I365" t="s">
        <v>143</v>
      </c>
      <c r="J365" s="11">
        <v>1</v>
      </c>
      <c r="K365" s="12">
        <v>56.99</v>
      </c>
      <c r="L365" s="12">
        <v>14.15</v>
      </c>
      <c r="M365" s="13">
        <v>1</v>
      </c>
      <c r="N365" s="13">
        <f t="shared" si="40"/>
        <v>10.857708333336632</v>
      </c>
      <c r="O365" s="13">
        <f t="shared" si="41"/>
        <v>0</v>
      </c>
      <c r="P365" t="str">
        <f t="shared" si="42"/>
        <v>On Time</v>
      </c>
      <c r="Q365" s="13">
        <f t="shared" si="43"/>
        <v>0.11222222226206213</v>
      </c>
      <c r="R365" s="13">
        <f t="shared" si="44"/>
        <v>2.6296412037045229</v>
      </c>
      <c r="S365" s="13">
        <f t="shared" si="45"/>
        <v>8.2233912037045229</v>
      </c>
      <c r="T365" t="str">
        <f t="shared" si="46"/>
        <v>On Time/Early</v>
      </c>
      <c r="U365" t="str">
        <f t="shared" si="47"/>
        <v>Normal</v>
      </c>
      <c r="V365" t="s">
        <v>102</v>
      </c>
    </row>
    <row r="366" spans="1:22">
      <c r="A366" t="s">
        <v>708</v>
      </c>
      <c r="B366" s="10">
        <v>42945.651956018519</v>
      </c>
      <c r="C366" s="10">
        <v>42945.659942129627</v>
      </c>
      <c r="D366" s="10">
        <v>42948.685300925928</v>
      </c>
      <c r="E366" s="10">
        <v>42956.885578703703</v>
      </c>
      <c r="F366" s="10">
        <v>42968</v>
      </c>
      <c r="G366" t="s">
        <v>8</v>
      </c>
      <c r="H366" t="s">
        <v>709</v>
      </c>
      <c r="I366" t="s">
        <v>101</v>
      </c>
      <c r="J366" s="11">
        <v>1</v>
      </c>
      <c r="K366" s="12">
        <v>52.99</v>
      </c>
      <c r="L366" s="12">
        <v>12.71</v>
      </c>
      <c r="M366" s="13">
        <v>4</v>
      </c>
      <c r="N366" s="13">
        <f t="shared" si="40"/>
        <v>11.233622685183946</v>
      </c>
      <c r="O366" s="13">
        <f t="shared" si="41"/>
        <v>0</v>
      </c>
      <c r="P366" t="str">
        <f t="shared" si="42"/>
        <v>On Time</v>
      </c>
      <c r="Q366" s="13">
        <f t="shared" si="43"/>
        <v>0.19166666659293696</v>
      </c>
      <c r="R366" s="13">
        <f t="shared" si="44"/>
        <v>3.0253587963015889</v>
      </c>
      <c r="S366" s="13">
        <f t="shared" si="45"/>
        <v>8.2002777777743177</v>
      </c>
      <c r="T366" t="str">
        <f t="shared" si="46"/>
        <v>On Time/Early</v>
      </c>
      <c r="U366" t="str">
        <f t="shared" si="47"/>
        <v>Normal</v>
      </c>
      <c r="V366" t="s">
        <v>102</v>
      </c>
    </row>
    <row r="367" spans="1:22">
      <c r="A367" t="s">
        <v>710</v>
      </c>
      <c r="B367" s="10">
        <v>42945.770104166666</v>
      </c>
      <c r="C367" s="10">
        <v>42945.780092592591</v>
      </c>
      <c r="D367" s="10">
        <v>42949.776180555556</v>
      </c>
      <c r="E367" s="10">
        <v>42950.68309027778</v>
      </c>
      <c r="F367" s="10">
        <v>42958</v>
      </c>
      <c r="G367" t="s">
        <v>8</v>
      </c>
      <c r="H367" t="s">
        <v>140</v>
      </c>
      <c r="I367" t="s">
        <v>252</v>
      </c>
      <c r="J367" s="11">
        <v>1</v>
      </c>
      <c r="K367" s="12">
        <v>36.75</v>
      </c>
      <c r="L367" s="12">
        <v>9.27</v>
      </c>
      <c r="M367" s="13">
        <v>5</v>
      </c>
      <c r="N367" s="13">
        <f t="shared" si="40"/>
        <v>4.9129861111141508</v>
      </c>
      <c r="O367" s="13">
        <f t="shared" si="41"/>
        <v>0</v>
      </c>
      <c r="P367" t="str">
        <f t="shared" si="42"/>
        <v>On Time</v>
      </c>
      <c r="Q367" s="13">
        <f t="shared" si="43"/>
        <v>0.23972222220618278</v>
      </c>
      <c r="R367" s="13">
        <f t="shared" si="44"/>
        <v>3.9960879629652482</v>
      </c>
      <c r="S367" s="13">
        <f t="shared" si="45"/>
        <v>0.90690972222364508</v>
      </c>
      <c r="T367" t="str">
        <f t="shared" si="46"/>
        <v>On Time/Early</v>
      </c>
      <c r="U367" t="str">
        <f t="shared" si="47"/>
        <v>Normal</v>
      </c>
      <c r="V367" t="s">
        <v>102</v>
      </c>
    </row>
    <row r="368" spans="1:22">
      <c r="A368" t="s">
        <v>711</v>
      </c>
      <c r="B368" s="10">
        <v>42945.866203703707</v>
      </c>
      <c r="C368" s="10">
        <v>42945.877395833333</v>
      </c>
      <c r="D368" s="10">
        <v>42948.976701388892</v>
      </c>
      <c r="E368" s="10">
        <v>42957.772696759261</v>
      </c>
      <c r="F368" s="10">
        <v>42983</v>
      </c>
      <c r="G368" t="s">
        <v>8</v>
      </c>
      <c r="H368" t="s">
        <v>712</v>
      </c>
      <c r="I368" t="s">
        <v>185</v>
      </c>
      <c r="J368" s="11">
        <v>1</v>
      </c>
      <c r="K368" s="12">
        <v>49.9</v>
      </c>
      <c r="L368" s="12">
        <v>16.11</v>
      </c>
      <c r="M368" s="13">
        <v>5</v>
      </c>
      <c r="N368" s="13">
        <f t="shared" si="40"/>
        <v>11.906493055554165</v>
      </c>
      <c r="O368" s="13">
        <f t="shared" si="41"/>
        <v>0</v>
      </c>
      <c r="P368" t="str">
        <f t="shared" si="42"/>
        <v>On Time</v>
      </c>
      <c r="Q368" s="13">
        <f t="shared" si="43"/>
        <v>0.26861111103789881</v>
      </c>
      <c r="R368" s="13">
        <f t="shared" si="44"/>
        <v>3.0993055555591127</v>
      </c>
      <c r="S368" s="13">
        <f t="shared" si="45"/>
        <v>8.7959953703684732</v>
      </c>
      <c r="T368" t="str">
        <f t="shared" si="46"/>
        <v>On Time/Early</v>
      </c>
      <c r="U368" t="str">
        <f t="shared" si="47"/>
        <v>Normal</v>
      </c>
      <c r="V368" t="s">
        <v>102</v>
      </c>
    </row>
    <row r="369" spans="1:22">
      <c r="A369" t="s">
        <v>713</v>
      </c>
      <c r="B369" s="10">
        <v>42946.077800925923</v>
      </c>
      <c r="C369" s="10">
        <v>42947.281354166669</v>
      </c>
      <c r="D369" s="10">
        <v>42947.768692129626</v>
      </c>
      <c r="E369" s="10">
        <v>42957.829710648148</v>
      </c>
      <c r="F369" s="10">
        <v>42969</v>
      </c>
      <c r="G369" t="s">
        <v>16</v>
      </c>
      <c r="H369" t="s">
        <v>714</v>
      </c>
      <c r="I369" t="s">
        <v>123</v>
      </c>
      <c r="J369" s="11">
        <v>1</v>
      </c>
      <c r="K369" s="12">
        <v>169.9</v>
      </c>
      <c r="L369" s="12">
        <v>21.68</v>
      </c>
      <c r="M369" s="13">
        <v>4</v>
      </c>
      <c r="N369" s="13">
        <f t="shared" si="40"/>
        <v>11.751909722224809</v>
      </c>
      <c r="O369" s="13">
        <f t="shared" si="41"/>
        <v>0</v>
      </c>
      <c r="P369" t="str">
        <f t="shared" si="42"/>
        <v>On Time</v>
      </c>
      <c r="Q369" s="13">
        <f t="shared" si="43"/>
        <v>28.885277777910233</v>
      </c>
      <c r="R369" s="13">
        <f t="shared" si="44"/>
        <v>0.48733796295709908</v>
      </c>
      <c r="S369" s="13">
        <f t="shared" si="45"/>
        <v>10.06101851852145</v>
      </c>
      <c r="T369" t="str">
        <f t="shared" si="46"/>
        <v>On Time/Early</v>
      </c>
      <c r="U369" t="str">
        <f t="shared" si="47"/>
        <v>Normal</v>
      </c>
      <c r="V369" t="s">
        <v>102</v>
      </c>
    </row>
    <row r="370" spans="1:22">
      <c r="A370" t="s">
        <v>715</v>
      </c>
      <c r="B370" s="10">
        <v>42946.488634259258</v>
      </c>
      <c r="C370" s="10">
        <v>42946.496736111112</v>
      </c>
      <c r="D370" s="10">
        <v>42947.834282407406</v>
      </c>
      <c r="E370" s="10">
        <v>42950.716435185182</v>
      </c>
      <c r="F370" s="10">
        <v>42968</v>
      </c>
      <c r="G370" t="s">
        <v>8</v>
      </c>
      <c r="H370" t="s">
        <v>716</v>
      </c>
      <c r="I370" t="s">
        <v>136</v>
      </c>
      <c r="J370" s="11">
        <v>1</v>
      </c>
      <c r="K370" s="12">
        <v>44.9</v>
      </c>
      <c r="L370" s="12">
        <v>15.98</v>
      </c>
      <c r="M370" s="13">
        <v>3</v>
      </c>
      <c r="N370" s="13">
        <f t="shared" si="40"/>
        <v>4.2278009259243845</v>
      </c>
      <c r="O370" s="13">
        <f t="shared" si="41"/>
        <v>0</v>
      </c>
      <c r="P370" t="str">
        <f t="shared" si="42"/>
        <v>On Time</v>
      </c>
      <c r="Q370" s="13">
        <f t="shared" si="43"/>
        <v>0.19444444449618459</v>
      </c>
      <c r="R370" s="13">
        <f t="shared" si="44"/>
        <v>1.3375462962940219</v>
      </c>
      <c r="S370" s="13">
        <f t="shared" si="45"/>
        <v>2.8821527777763549</v>
      </c>
      <c r="T370" t="str">
        <f t="shared" si="46"/>
        <v>On Time/Early</v>
      </c>
      <c r="U370" t="str">
        <f t="shared" si="47"/>
        <v>Normal</v>
      </c>
      <c r="V370" t="s">
        <v>102</v>
      </c>
    </row>
    <row r="371" spans="1:22">
      <c r="A371" t="s">
        <v>717</v>
      </c>
      <c r="B371" s="10">
        <v>42947.63003472222</v>
      </c>
      <c r="C371" s="10">
        <v>42949.127638888887</v>
      </c>
      <c r="D371" s="10">
        <v>42950.812152777777</v>
      </c>
      <c r="E371" s="10">
        <v>42957.009710648148</v>
      </c>
      <c r="F371" s="10">
        <v>42975</v>
      </c>
      <c r="G371" t="s">
        <v>16</v>
      </c>
      <c r="H371" t="s">
        <v>138</v>
      </c>
      <c r="I371" t="s">
        <v>120</v>
      </c>
      <c r="J371" s="11">
        <v>1</v>
      </c>
      <c r="K371" s="12">
        <v>19.899999999999999</v>
      </c>
      <c r="L371" s="12">
        <v>17.63</v>
      </c>
      <c r="M371" s="13">
        <v>5</v>
      </c>
      <c r="N371" s="13">
        <f t="shared" si="40"/>
        <v>9.3796759259275859</v>
      </c>
      <c r="O371" s="13">
        <f t="shared" si="41"/>
        <v>0</v>
      </c>
      <c r="P371" t="str">
        <f t="shared" si="42"/>
        <v>On Time</v>
      </c>
      <c r="Q371" s="13">
        <f t="shared" si="43"/>
        <v>35.942500000004657</v>
      </c>
      <c r="R371" s="13">
        <f t="shared" si="44"/>
        <v>1.6845138888893416</v>
      </c>
      <c r="S371" s="13">
        <f t="shared" si="45"/>
        <v>6.1975578703713836</v>
      </c>
      <c r="T371" t="str">
        <f t="shared" si="46"/>
        <v>On Time/Early</v>
      </c>
      <c r="U371" t="str">
        <f t="shared" si="47"/>
        <v>Normal</v>
      </c>
      <c r="V371" t="s">
        <v>102</v>
      </c>
    </row>
    <row r="372" spans="1:22">
      <c r="A372" t="s">
        <v>718</v>
      </c>
      <c r="B372" s="10">
        <v>42947.918206018519</v>
      </c>
      <c r="C372" s="10">
        <v>42947.989768518521</v>
      </c>
      <c r="D372" s="10">
        <v>42948.745347222219</v>
      </c>
      <c r="E372" s="10">
        <v>42951.467499999999</v>
      </c>
      <c r="F372" s="10">
        <v>42971</v>
      </c>
      <c r="G372" t="s">
        <v>8</v>
      </c>
      <c r="H372" t="s">
        <v>140</v>
      </c>
      <c r="I372" t="s">
        <v>141</v>
      </c>
      <c r="J372" s="11">
        <v>2</v>
      </c>
      <c r="K372" s="12">
        <v>119.98</v>
      </c>
      <c r="L372" s="12">
        <v>31.72</v>
      </c>
      <c r="M372" s="13">
        <v>5</v>
      </c>
      <c r="N372" s="13">
        <f t="shared" si="40"/>
        <v>3.5492939814794227</v>
      </c>
      <c r="O372" s="13">
        <f t="shared" si="41"/>
        <v>0</v>
      </c>
      <c r="P372" t="str">
        <f t="shared" si="42"/>
        <v>On Time</v>
      </c>
      <c r="Q372" s="13">
        <f t="shared" si="43"/>
        <v>1.7175000000279397</v>
      </c>
      <c r="R372" s="13">
        <f t="shared" si="44"/>
        <v>0.75557870369812008</v>
      </c>
      <c r="S372" s="13">
        <f t="shared" si="45"/>
        <v>2.7221527777801384</v>
      </c>
      <c r="T372" t="str">
        <f t="shared" si="46"/>
        <v>On Time/Early</v>
      </c>
      <c r="U372" t="str">
        <f t="shared" si="47"/>
        <v>Normal</v>
      </c>
      <c r="V372" t="s">
        <v>102</v>
      </c>
    </row>
    <row r="373" spans="1:22">
      <c r="A373" t="s">
        <v>719</v>
      </c>
      <c r="B373" s="10">
        <v>42948.412083333336</v>
      </c>
      <c r="C373" s="10">
        <v>42948.423784722225</v>
      </c>
      <c r="D373" s="10">
        <v>42949.508819444447</v>
      </c>
      <c r="E373" s="10">
        <v>42956.781400462962</v>
      </c>
      <c r="F373" s="10">
        <v>42972</v>
      </c>
      <c r="G373" t="s">
        <v>43</v>
      </c>
      <c r="H373" t="s">
        <v>720</v>
      </c>
      <c r="I373" t="s">
        <v>112</v>
      </c>
      <c r="J373" s="11">
        <v>1</v>
      </c>
      <c r="K373" s="12">
        <v>54.43</v>
      </c>
      <c r="L373" s="12">
        <v>15.13</v>
      </c>
      <c r="M373" s="13">
        <v>5</v>
      </c>
      <c r="N373" s="13">
        <f t="shared" si="40"/>
        <v>8.369317129625415</v>
      </c>
      <c r="O373" s="13">
        <f t="shared" si="41"/>
        <v>0</v>
      </c>
      <c r="P373" t="str">
        <f t="shared" si="42"/>
        <v>On Time</v>
      </c>
      <c r="Q373" s="13">
        <f t="shared" si="43"/>
        <v>0.28083333332324401</v>
      </c>
      <c r="R373" s="13">
        <f t="shared" si="44"/>
        <v>1.0850347222221899</v>
      </c>
      <c r="S373" s="13">
        <f t="shared" si="45"/>
        <v>7.2725810185147566</v>
      </c>
      <c r="T373" t="str">
        <f t="shared" si="46"/>
        <v>On Time/Early</v>
      </c>
      <c r="U373" t="str">
        <f t="shared" si="47"/>
        <v>Normal</v>
      </c>
      <c r="V373" t="s">
        <v>102</v>
      </c>
    </row>
    <row r="374" spans="1:22">
      <c r="A374" t="s">
        <v>721</v>
      </c>
      <c r="B374" s="10">
        <v>42948.539606481485</v>
      </c>
      <c r="C374" s="10">
        <v>42949.12771990741</v>
      </c>
      <c r="D374" s="10">
        <v>42949.74119212963</v>
      </c>
      <c r="E374" s="10">
        <v>42962.579548611109</v>
      </c>
      <c r="F374" s="10">
        <v>42970</v>
      </c>
      <c r="G374" t="s">
        <v>36</v>
      </c>
      <c r="H374" t="s">
        <v>722</v>
      </c>
      <c r="I374" t="s">
        <v>185</v>
      </c>
      <c r="J374" s="11">
        <v>1</v>
      </c>
      <c r="K374" s="12">
        <v>59.9</v>
      </c>
      <c r="L374" s="12">
        <v>17.670000000000002</v>
      </c>
      <c r="M374" s="13">
        <v>5</v>
      </c>
      <c r="N374" s="13">
        <f t="shared" si="40"/>
        <v>14.039942129624251</v>
      </c>
      <c r="O374" s="13">
        <f t="shared" si="41"/>
        <v>0</v>
      </c>
      <c r="P374" t="str">
        <f t="shared" si="42"/>
        <v>On Time</v>
      </c>
      <c r="Q374" s="13">
        <f t="shared" si="43"/>
        <v>14.114722222206183</v>
      </c>
      <c r="R374" s="13">
        <f t="shared" si="44"/>
        <v>0.61347222221957054</v>
      </c>
      <c r="S374" s="13">
        <f t="shared" si="45"/>
        <v>12.838356481479423</v>
      </c>
      <c r="T374" t="str">
        <f t="shared" si="46"/>
        <v>On Time/Early</v>
      </c>
      <c r="U374" t="str">
        <f t="shared" si="47"/>
        <v>Normal</v>
      </c>
      <c r="V374" t="s">
        <v>102</v>
      </c>
    </row>
    <row r="375" spans="1:22">
      <c r="A375" t="s">
        <v>723</v>
      </c>
      <c r="B375" s="10">
        <v>42949.441782407404</v>
      </c>
      <c r="C375" s="10">
        <v>42949.451724537037</v>
      </c>
      <c r="D375" s="10">
        <v>42950.756886574076</v>
      </c>
      <c r="E375" s="10">
        <v>42951.841643518521</v>
      </c>
      <c r="F375" s="10">
        <v>42969</v>
      </c>
      <c r="G375" t="s">
        <v>8</v>
      </c>
      <c r="H375" t="s">
        <v>724</v>
      </c>
      <c r="I375" t="s">
        <v>112</v>
      </c>
      <c r="J375" s="11">
        <v>1</v>
      </c>
      <c r="K375" s="12">
        <v>86.99</v>
      </c>
      <c r="L375" s="12">
        <v>13.63</v>
      </c>
      <c r="M375" s="13">
        <v>4</v>
      </c>
      <c r="N375" s="13">
        <f t="shared" si="40"/>
        <v>2.3998611111164792</v>
      </c>
      <c r="O375" s="13">
        <f t="shared" si="41"/>
        <v>0</v>
      </c>
      <c r="P375" t="str">
        <f t="shared" si="42"/>
        <v>On Time</v>
      </c>
      <c r="Q375" s="13">
        <f t="shared" si="43"/>
        <v>0.23861111118458211</v>
      </c>
      <c r="R375" s="13">
        <f t="shared" si="44"/>
        <v>1.3051620370388264</v>
      </c>
      <c r="S375" s="13">
        <f t="shared" si="45"/>
        <v>1.0847569444449618</v>
      </c>
      <c r="T375" t="str">
        <f t="shared" si="46"/>
        <v>On Time/Early</v>
      </c>
      <c r="U375" t="str">
        <f t="shared" si="47"/>
        <v>Normal</v>
      </c>
      <c r="V375" t="s">
        <v>102</v>
      </c>
    </row>
    <row r="376" spans="1:22">
      <c r="A376" t="s">
        <v>725</v>
      </c>
      <c r="B376" s="10">
        <v>42949.472129629627</v>
      </c>
      <c r="C376" s="10">
        <v>42949.479409722226</v>
      </c>
      <c r="D376" s="10">
        <v>42950.756886574076</v>
      </c>
      <c r="E376" s="10">
        <v>42955.456701388888</v>
      </c>
      <c r="F376" s="10">
        <v>42969</v>
      </c>
      <c r="G376" t="s">
        <v>8</v>
      </c>
      <c r="H376" t="s">
        <v>726</v>
      </c>
      <c r="I376" t="s">
        <v>112</v>
      </c>
      <c r="J376" s="11">
        <v>1</v>
      </c>
      <c r="K376" s="12">
        <v>86.99</v>
      </c>
      <c r="L376" s="12">
        <v>13.63</v>
      </c>
      <c r="M376" s="13">
        <v>5</v>
      </c>
      <c r="N376" s="13">
        <f t="shared" si="40"/>
        <v>5.9845717592615983</v>
      </c>
      <c r="O376" s="13">
        <f t="shared" si="41"/>
        <v>0</v>
      </c>
      <c r="P376" t="str">
        <f t="shared" si="42"/>
        <v>On Time</v>
      </c>
      <c r="Q376" s="13">
        <f t="shared" si="43"/>
        <v>0.17472222237847745</v>
      </c>
      <c r="R376" s="13">
        <f t="shared" si="44"/>
        <v>1.2774768518502242</v>
      </c>
      <c r="S376" s="13">
        <f t="shared" si="45"/>
        <v>4.6998148148122709</v>
      </c>
      <c r="T376" t="str">
        <f t="shared" si="46"/>
        <v>On Time/Early</v>
      </c>
      <c r="U376" t="str">
        <f t="shared" si="47"/>
        <v>Normal</v>
      </c>
      <c r="V376" t="s">
        <v>102</v>
      </c>
    </row>
    <row r="377" spans="1:22">
      <c r="A377" t="s">
        <v>727</v>
      </c>
      <c r="B377" s="10">
        <v>42950.702303240738</v>
      </c>
      <c r="C377" s="10">
        <v>42950.724803240744</v>
      </c>
      <c r="D377" s="10">
        <v>42951.786203703705</v>
      </c>
      <c r="E377" s="10">
        <v>42961.837430555555</v>
      </c>
      <c r="F377" s="10">
        <v>42970</v>
      </c>
      <c r="G377" t="s">
        <v>8</v>
      </c>
      <c r="H377" t="s">
        <v>140</v>
      </c>
      <c r="I377" t="s">
        <v>368</v>
      </c>
      <c r="J377" s="11">
        <v>1</v>
      </c>
      <c r="K377" s="12">
        <v>79</v>
      </c>
      <c r="L377" s="12">
        <v>13.57</v>
      </c>
      <c r="M377" s="13">
        <v>5</v>
      </c>
      <c r="N377" s="13">
        <f t="shared" si="40"/>
        <v>11.13512731481751</v>
      </c>
      <c r="O377" s="13">
        <f t="shared" si="41"/>
        <v>0</v>
      </c>
      <c r="P377" t="str">
        <f t="shared" si="42"/>
        <v>On Time</v>
      </c>
      <c r="Q377" s="13">
        <f t="shared" si="43"/>
        <v>0.54000000015366822</v>
      </c>
      <c r="R377" s="13">
        <f t="shared" si="44"/>
        <v>1.0614004629605915</v>
      </c>
      <c r="S377" s="13">
        <f t="shared" si="45"/>
        <v>10.051226851850515</v>
      </c>
      <c r="T377" t="str">
        <f t="shared" si="46"/>
        <v>On Time/Early</v>
      </c>
      <c r="U377" t="str">
        <f t="shared" si="47"/>
        <v>Normal</v>
      </c>
      <c r="V377" t="s">
        <v>102</v>
      </c>
    </row>
    <row r="378" spans="1:22">
      <c r="A378" t="s">
        <v>728</v>
      </c>
      <c r="B378" s="10">
        <v>42951.516342592593</v>
      </c>
      <c r="C378" s="10">
        <v>42951.530081018522</v>
      </c>
      <c r="D378" s="10">
        <v>42955.842847222222</v>
      </c>
      <c r="E378" s="10">
        <v>42962.841932870368</v>
      </c>
      <c r="F378" s="10">
        <v>42977</v>
      </c>
      <c r="G378" t="s">
        <v>30</v>
      </c>
      <c r="H378" t="s">
        <v>729</v>
      </c>
      <c r="I378" t="s">
        <v>136</v>
      </c>
      <c r="J378" s="11">
        <v>1</v>
      </c>
      <c r="K378" s="12">
        <v>59.9</v>
      </c>
      <c r="L378" s="12">
        <v>15.17</v>
      </c>
      <c r="M378" s="13">
        <v>4</v>
      </c>
      <c r="N378" s="13">
        <f t="shared" si="40"/>
        <v>11.325590277774609</v>
      </c>
      <c r="O378" s="13">
        <f t="shared" si="41"/>
        <v>0</v>
      </c>
      <c r="P378" t="str">
        <f t="shared" si="42"/>
        <v>On Time</v>
      </c>
      <c r="Q378" s="13">
        <f t="shared" si="43"/>
        <v>0.32972222229000181</v>
      </c>
      <c r="R378" s="13">
        <f t="shared" si="44"/>
        <v>4.3127662037004484</v>
      </c>
      <c r="S378" s="13">
        <f t="shared" si="45"/>
        <v>6.9990856481454102</v>
      </c>
      <c r="T378" t="str">
        <f t="shared" si="46"/>
        <v>On Time/Early</v>
      </c>
      <c r="U378" t="str">
        <f t="shared" si="47"/>
        <v>Normal</v>
      </c>
      <c r="V378" t="s">
        <v>102</v>
      </c>
    </row>
    <row r="379" spans="1:22">
      <c r="A379" t="s">
        <v>730</v>
      </c>
      <c r="B379" s="10">
        <v>42952.413240740738</v>
      </c>
      <c r="C379" s="10">
        <v>42952.420439814814</v>
      </c>
      <c r="D379" s="10">
        <v>42957.817245370374</v>
      </c>
      <c r="E379" s="10">
        <v>42965.803287037037</v>
      </c>
      <c r="F379" s="10">
        <v>42983</v>
      </c>
      <c r="G379" t="s">
        <v>20</v>
      </c>
      <c r="H379" t="s">
        <v>640</v>
      </c>
      <c r="I379" t="s">
        <v>141</v>
      </c>
      <c r="J379" s="11">
        <v>1</v>
      </c>
      <c r="K379" s="12">
        <v>16.8</v>
      </c>
      <c r="L379" s="12">
        <v>16.11</v>
      </c>
      <c r="M379" s="13">
        <v>4</v>
      </c>
      <c r="N379" s="13">
        <f t="shared" si="40"/>
        <v>13.390046296299261</v>
      </c>
      <c r="O379" s="13">
        <f t="shared" si="41"/>
        <v>0</v>
      </c>
      <c r="P379" t="str">
        <f t="shared" si="42"/>
        <v>On Time</v>
      </c>
      <c r="Q379" s="13">
        <f t="shared" si="43"/>
        <v>0.17277777782874182</v>
      </c>
      <c r="R379" s="13">
        <f t="shared" si="44"/>
        <v>5.3968055555596948</v>
      </c>
      <c r="S379" s="13">
        <f t="shared" si="45"/>
        <v>7.9860416666633682</v>
      </c>
      <c r="T379" t="str">
        <f t="shared" si="46"/>
        <v>On Time/Early</v>
      </c>
      <c r="U379" t="str">
        <f t="shared" si="47"/>
        <v>Normal</v>
      </c>
      <c r="V379" t="s">
        <v>102</v>
      </c>
    </row>
    <row r="380" spans="1:22">
      <c r="A380" t="s">
        <v>731</v>
      </c>
      <c r="B380" s="10">
        <v>42952.59238425926</v>
      </c>
      <c r="C380" s="10">
        <v>42952.60434027778</v>
      </c>
      <c r="D380" s="10">
        <v>42954.857557870368</v>
      </c>
      <c r="E380" s="10">
        <v>42957.862523148149</v>
      </c>
      <c r="F380" s="10">
        <v>42975</v>
      </c>
      <c r="G380" t="s">
        <v>8</v>
      </c>
      <c r="H380" t="s">
        <v>212</v>
      </c>
      <c r="I380" t="s">
        <v>136</v>
      </c>
      <c r="J380" s="11">
        <v>1</v>
      </c>
      <c r="K380" s="12">
        <v>39.99</v>
      </c>
      <c r="L380" s="12">
        <v>12.69</v>
      </c>
      <c r="M380" s="13">
        <v>5</v>
      </c>
      <c r="N380" s="13">
        <f t="shared" si="40"/>
        <v>5.2701388888890506</v>
      </c>
      <c r="O380" s="13">
        <f t="shared" si="41"/>
        <v>0</v>
      </c>
      <c r="P380" t="str">
        <f t="shared" si="42"/>
        <v>On Time</v>
      </c>
      <c r="Q380" s="13">
        <f t="shared" si="43"/>
        <v>0.2869444444659166</v>
      </c>
      <c r="R380" s="13">
        <f t="shared" si="44"/>
        <v>2.2532175925880438</v>
      </c>
      <c r="S380" s="13">
        <f t="shared" si="45"/>
        <v>3.0049652777815936</v>
      </c>
      <c r="T380" t="str">
        <f t="shared" si="46"/>
        <v>On Time/Early</v>
      </c>
      <c r="U380" t="str">
        <f t="shared" si="47"/>
        <v>Normal</v>
      </c>
      <c r="V380" t="s">
        <v>102</v>
      </c>
    </row>
    <row r="381" spans="1:22">
      <c r="A381" t="s">
        <v>732</v>
      </c>
      <c r="B381" s="10">
        <v>42952.730729166666</v>
      </c>
      <c r="C381" s="10">
        <v>42952.739687499998</v>
      </c>
      <c r="D381" s="10">
        <v>42972.55228009259</v>
      </c>
      <c r="E381" s="10">
        <v>42979.745636574073</v>
      </c>
      <c r="F381" s="10">
        <v>42984</v>
      </c>
      <c r="G381" t="s">
        <v>8</v>
      </c>
      <c r="H381" t="s">
        <v>140</v>
      </c>
      <c r="I381" t="s">
        <v>162</v>
      </c>
      <c r="J381" s="11">
        <v>1</v>
      </c>
      <c r="K381" s="12">
        <v>424</v>
      </c>
      <c r="L381" s="12">
        <v>104.41</v>
      </c>
      <c r="M381" s="13">
        <v>1</v>
      </c>
      <c r="N381" s="13">
        <f t="shared" si="40"/>
        <v>27.014907407407009</v>
      </c>
      <c r="O381" s="13">
        <f t="shared" si="41"/>
        <v>0</v>
      </c>
      <c r="P381" t="str">
        <f t="shared" si="42"/>
        <v>On Time</v>
      </c>
      <c r="Q381" s="13">
        <f t="shared" si="43"/>
        <v>0.21499999996740371</v>
      </c>
      <c r="R381" s="13">
        <f t="shared" si="44"/>
        <v>19.812592592592409</v>
      </c>
      <c r="S381" s="13">
        <f t="shared" si="45"/>
        <v>7.1933564814826241</v>
      </c>
      <c r="T381" t="str">
        <f t="shared" si="46"/>
        <v>On Time/Early</v>
      </c>
      <c r="U381" t="str">
        <f t="shared" si="47"/>
        <v>Normal</v>
      </c>
      <c r="V381" t="s">
        <v>102</v>
      </c>
    </row>
    <row r="382" spans="1:22">
      <c r="A382" t="s">
        <v>733</v>
      </c>
      <c r="B382" s="10">
        <v>42952.841377314813</v>
      </c>
      <c r="C382" s="10">
        <v>42952.850868055553</v>
      </c>
      <c r="D382" s="10">
        <v>42955.56659722222</v>
      </c>
      <c r="E382" s="10">
        <v>42956.862800925926</v>
      </c>
      <c r="F382" s="10">
        <v>42970</v>
      </c>
      <c r="G382" t="s">
        <v>8</v>
      </c>
      <c r="H382" t="s">
        <v>140</v>
      </c>
      <c r="I382" t="s">
        <v>143</v>
      </c>
      <c r="J382" s="11">
        <v>1</v>
      </c>
      <c r="K382" s="12">
        <v>56.99</v>
      </c>
      <c r="L382" s="12">
        <v>8.7200000000000006</v>
      </c>
      <c r="M382" s="13">
        <v>5</v>
      </c>
      <c r="N382" s="13">
        <f t="shared" si="40"/>
        <v>4.0214236111132777</v>
      </c>
      <c r="O382" s="13">
        <f t="shared" si="41"/>
        <v>0</v>
      </c>
      <c r="P382" t="str">
        <f t="shared" si="42"/>
        <v>On Time</v>
      </c>
      <c r="Q382" s="13">
        <f t="shared" si="43"/>
        <v>0.22777777776354924</v>
      </c>
      <c r="R382" s="13">
        <f t="shared" si="44"/>
        <v>2.7157291666662786</v>
      </c>
      <c r="S382" s="13">
        <f t="shared" si="45"/>
        <v>1.2962037037068512</v>
      </c>
      <c r="T382" t="str">
        <f t="shared" si="46"/>
        <v>On Time/Early</v>
      </c>
      <c r="U382" t="str">
        <f t="shared" si="47"/>
        <v>Normal</v>
      </c>
      <c r="V382" t="s">
        <v>102</v>
      </c>
    </row>
    <row r="383" spans="1:22">
      <c r="A383" t="s">
        <v>734</v>
      </c>
      <c r="B383" s="10">
        <v>42953.491979166669</v>
      </c>
      <c r="C383" s="10">
        <v>42953.502199074072</v>
      </c>
      <c r="D383" s="10">
        <v>42955.878958333335</v>
      </c>
      <c r="E383" s="10">
        <v>42974.675405092596</v>
      </c>
      <c r="F383" s="10">
        <v>42989</v>
      </c>
      <c r="G383" t="s">
        <v>474</v>
      </c>
      <c r="H383" t="s">
        <v>475</v>
      </c>
      <c r="I383" t="s">
        <v>101</v>
      </c>
      <c r="J383" s="11">
        <v>1</v>
      </c>
      <c r="K383" s="12">
        <v>24.9</v>
      </c>
      <c r="L383" s="12">
        <v>35.67</v>
      </c>
      <c r="M383" s="13">
        <v>4</v>
      </c>
      <c r="N383" s="13">
        <f t="shared" si="40"/>
        <v>21.183425925926713</v>
      </c>
      <c r="O383" s="13">
        <f t="shared" si="41"/>
        <v>0</v>
      </c>
      <c r="P383" t="str">
        <f t="shared" si="42"/>
        <v>On Time</v>
      </c>
      <c r="Q383" s="13">
        <f t="shared" si="43"/>
        <v>0.24527777766343206</v>
      </c>
      <c r="R383" s="13">
        <f t="shared" si="44"/>
        <v>2.3767592592630535</v>
      </c>
      <c r="S383" s="13">
        <f t="shared" si="45"/>
        <v>18.796446759261016</v>
      </c>
      <c r="T383" t="str">
        <f t="shared" si="46"/>
        <v>On Time/Early</v>
      </c>
      <c r="U383" t="str">
        <f t="shared" si="47"/>
        <v>Normal</v>
      </c>
      <c r="V383" t="s">
        <v>102</v>
      </c>
    </row>
    <row r="384" spans="1:22">
      <c r="A384" t="s">
        <v>735</v>
      </c>
      <c r="B384" s="10">
        <v>42953.705706018518</v>
      </c>
      <c r="C384" s="10">
        <v>42955.194768518515</v>
      </c>
      <c r="D384" s="10">
        <v>42958.940937500003</v>
      </c>
      <c r="E384" s="10">
        <v>42963.753495370373</v>
      </c>
      <c r="F384" s="10">
        <v>42965</v>
      </c>
      <c r="G384" t="s">
        <v>8</v>
      </c>
      <c r="H384" t="s">
        <v>140</v>
      </c>
      <c r="I384" t="s">
        <v>141</v>
      </c>
      <c r="J384" s="11">
        <v>1</v>
      </c>
      <c r="K384" s="12">
        <v>46.9</v>
      </c>
      <c r="L384" s="12">
        <v>13.08</v>
      </c>
      <c r="M384" s="13">
        <v>1</v>
      </c>
      <c r="N384" s="13">
        <f t="shared" si="40"/>
        <v>10.04778935185459</v>
      </c>
      <c r="O384" s="13">
        <f t="shared" si="41"/>
        <v>0</v>
      </c>
      <c r="P384" t="str">
        <f t="shared" si="42"/>
        <v>On Time</v>
      </c>
      <c r="Q384" s="13">
        <f t="shared" si="43"/>
        <v>35.737499999930151</v>
      </c>
      <c r="R384" s="13">
        <f t="shared" si="44"/>
        <v>3.7461689814881538</v>
      </c>
      <c r="S384" s="13">
        <f t="shared" si="45"/>
        <v>4.8125578703693463</v>
      </c>
      <c r="T384" t="str">
        <f t="shared" si="46"/>
        <v>On Time/Early</v>
      </c>
      <c r="U384" t="str">
        <f t="shared" si="47"/>
        <v>Normal</v>
      </c>
      <c r="V384" t="s">
        <v>102</v>
      </c>
    </row>
    <row r="385" spans="1:22">
      <c r="A385" t="s">
        <v>736</v>
      </c>
      <c r="B385" s="10">
        <v>42953.896504629629</v>
      </c>
      <c r="C385" s="10">
        <v>42953.906446759262</v>
      </c>
      <c r="D385" s="10">
        <v>42954.773553240739</v>
      </c>
      <c r="E385" s="10">
        <v>42970.859317129631</v>
      </c>
      <c r="F385" s="10">
        <v>42989</v>
      </c>
      <c r="G385" t="s">
        <v>50</v>
      </c>
      <c r="H385" t="s">
        <v>737</v>
      </c>
      <c r="I385" t="s">
        <v>221</v>
      </c>
      <c r="J385" s="11">
        <v>1</v>
      </c>
      <c r="K385" s="12">
        <v>299.89999999999998</v>
      </c>
      <c r="L385" s="12">
        <v>27.38</v>
      </c>
      <c r="M385" s="13">
        <v>5</v>
      </c>
      <c r="N385" s="13">
        <f t="shared" si="40"/>
        <v>16.962812500001746</v>
      </c>
      <c r="O385" s="13">
        <f t="shared" si="41"/>
        <v>0</v>
      </c>
      <c r="P385" t="str">
        <f t="shared" si="42"/>
        <v>On Time</v>
      </c>
      <c r="Q385" s="13">
        <f t="shared" si="43"/>
        <v>0.23861111118458211</v>
      </c>
      <c r="R385" s="13">
        <f t="shared" si="44"/>
        <v>0.86710648147709435</v>
      </c>
      <c r="S385" s="13">
        <f t="shared" si="45"/>
        <v>16.085763888891961</v>
      </c>
      <c r="T385" t="str">
        <f t="shared" si="46"/>
        <v>On Time/Early</v>
      </c>
      <c r="U385" t="str">
        <f t="shared" si="47"/>
        <v>Normal</v>
      </c>
      <c r="V385" t="s">
        <v>102</v>
      </c>
    </row>
    <row r="386" spans="1:22">
      <c r="A386" t="s">
        <v>738</v>
      </c>
      <c r="B386" s="10">
        <v>42953.901423611111</v>
      </c>
      <c r="C386" s="10">
        <v>42953.909907407404</v>
      </c>
      <c r="D386" s="10">
        <v>42954.720486111109</v>
      </c>
      <c r="E386" s="10">
        <v>42963.820706018516</v>
      </c>
      <c r="F386" s="10">
        <v>42976</v>
      </c>
      <c r="G386" t="s">
        <v>33</v>
      </c>
      <c r="H386" t="s">
        <v>739</v>
      </c>
      <c r="I386" t="s">
        <v>149</v>
      </c>
      <c r="J386" s="11">
        <v>1</v>
      </c>
      <c r="K386" s="12">
        <v>93.49</v>
      </c>
      <c r="L386" s="12">
        <v>15.4</v>
      </c>
      <c r="M386" s="13">
        <v>5</v>
      </c>
      <c r="N386" s="13">
        <f t="shared" ref="N386:N449" si="48">IFERROR(E386-B386,"")</f>
        <v>9.9192824074052623</v>
      </c>
      <c r="O386" s="13">
        <f t="shared" ref="O386:O449" si="49">IFERROR(MAX(0,E386-F386),"")</f>
        <v>0</v>
      </c>
      <c r="P386" t="str">
        <f t="shared" ref="P386:P449" si="50">IF(O386&gt;0,"Delayed","On Time")</f>
        <v>On Time</v>
      </c>
      <c r="Q386" s="13">
        <f t="shared" ref="Q386:Q449" si="51">IFERROR((C386-B386)*24,"")</f>
        <v>0.2036111110355705</v>
      </c>
      <c r="R386" s="13">
        <f t="shared" ref="R386:R449" si="52">IFERROR(D386-C386,"")</f>
        <v>0.81057870370568708</v>
      </c>
      <c r="S386" s="13">
        <f t="shared" ref="S386:S449" si="53">IFERROR(E386-D386,"")</f>
        <v>9.1002199074064265</v>
      </c>
      <c r="T386" t="str">
        <f t="shared" ref="T386:T449" si="54">IF(O386=0,"On Time/Early",IF(O386&lt;=3,"1-3 Days Late",IF(O386&lt;=7,"4-7 Days Late","8+ Days Late")))</f>
        <v>On Time/Early</v>
      </c>
      <c r="U386" t="str">
        <f t="shared" ref="U386:U449" si="55">IF(P386="Delayed","Needs Review","Normal")</f>
        <v>Normal</v>
      </c>
      <c r="V386" t="s">
        <v>102</v>
      </c>
    </row>
    <row r="387" spans="1:22">
      <c r="A387" t="s">
        <v>740</v>
      </c>
      <c r="B387" s="10">
        <v>42954.441423611112</v>
      </c>
      <c r="C387" s="10">
        <v>42954.451481481483</v>
      </c>
      <c r="D387" s="10">
        <v>42954.856412037036</v>
      </c>
      <c r="E387" s="10">
        <v>42955.779803240737</v>
      </c>
      <c r="F387" s="10">
        <v>42965</v>
      </c>
      <c r="G387" t="s">
        <v>8</v>
      </c>
      <c r="H387" t="s">
        <v>140</v>
      </c>
      <c r="I387" t="s">
        <v>141</v>
      </c>
      <c r="J387" s="11">
        <v>1</v>
      </c>
      <c r="K387" s="12">
        <v>59.9</v>
      </c>
      <c r="L387" s="12">
        <v>11.73</v>
      </c>
      <c r="M387" s="13">
        <v>5</v>
      </c>
      <c r="N387" s="13">
        <f t="shared" si="48"/>
        <v>1.338379629625706</v>
      </c>
      <c r="O387" s="13">
        <f t="shared" si="49"/>
        <v>0</v>
      </c>
      <c r="P387" t="str">
        <f t="shared" si="50"/>
        <v>On Time</v>
      </c>
      <c r="Q387" s="13">
        <f t="shared" si="51"/>
        <v>0.24138888891320676</v>
      </c>
      <c r="R387" s="13">
        <f t="shared" si="52"/>
        <v>0.40493055555270985</v>
      </c>
      <c r="S387" s="13">
        <f t="shared" si="53"/>
        <v>0.92339120370161254</v>
      </c>
      <c r="T387" t="str">
        <f t="shared" si="54"/>
        <v>On Time/Early</v>
      </c>
      <c r="U387" t="str">
        <f t="shared" si="55"/>
        <v>Normal</v>
      </c>
      <c r="V387" t="s">
        <v>102</v>
      </c>
    </row>
    <row r="388" spans="1:22">
      <c r="A388" t="s">
        <v>741</v>
      </c>
      <c r="B388" s="10">
        <v>42954.599120370367</v>
      </c>
      <c r="C388" s="10">
        <v>42955.222395833334</v>
      </c>
      <c r="D388" s="10">
        <v>42956.60900462963</v>
      </c>
      <c r="E388" s="10">
        <v>42962.87972222222</v>
      </c>
      <c r="F388" s="10">
        <v>42976</v>
      </c>
      <c r="G388" t="s">
        <v>16</v>
      </c>
      <c r="H388" t="s">
        <v>559</v>
      </c>
      <c r="I388" t="s">
        <v>252</v>
      </c>
      <c r="J388" s="11">
        <v>1</v>
      </c>
      <c r="K388" s="12">
        <v>26.1</v>
      </c>
      <c r="L388" s="12">
        <v>15.1</v>
      </c>
      <c r="M388" s="13">
        <v>4</v>
      </c>
      <c r="N388" s="13">
        <f t="shared" si="48"/>
        <v>8.2806018518531346</v>
      </c>
      <c r="O388" s="13">
        <f t="shared" si="49"/>
        <v>0</v>
      </c>
      <c r="P388" t="str">
        <f t="shared" si="50"/>
        <v>On Time</v>
      </c>
      <c r="Q388" s="13">
        <f t="shared" si="51"/>
        <v>14.95861111121485</v>
      </c>
      <c r="R388" s="13">
        <f t="shared" si="52"/>
        <v>1.3866087962960592</v>
      </c>
      <c r="S388" s="13">
        <f t="shared" si="53"/>
        <v>6.27071759258979</v>
      </c>
      <c r="T388" t="str">
        <f t="shared" si="54"/>
        <v>On Time/Early</v>
      </c>
      <c r="U388" t="str">
        <f t="shared" si="55"/>
        <v>Normal</v>
      </c>
      <c r="V388" t="s">
        <v>102</v>
      </c>
    </row>
    <row r="389" spans="1:22">
      <c r="A389" t="s">
        <v>742</v>
      </c>
      <c r="B389" s="10">
        <v>42954.692256944443</v>
      </c>
      <c r="C389" s="10">
        <v>42954.722291666665</v>
      </c>
      <c r="D389" s="10">
        <v>42959.002488425926</v>
      </c>
      <c r="E389" s="10">
        <v>42957.890636574077</v>
      </c>
      <c r="F389" s="10">
        <v>42983</v>
      </c>
      <c r="G389" t="s">
        <v>33</v>
      </c>
      <c r="H389" t="s">
        <v>743</v>
      </c>
      <c r="I389" t="s">
        <v>21</v>
      </c>
      <c r="J389" s="11">
        <v>2</v>
      </c>
      <c r="K389" s="12">
        <v>343.9</v>
      </c>
      <c r="L389" s="12">
        <v>43.03</v>
      </c>
      <c r="M389" s="13">
        <v>1</v>
      </c>
      <c r="N389" s="13">
        <f t="shared" si="48"/>
        <v>3.198379629633564</v>
      </c>
      <c r="O389" s="13">
        <f t="shared" si="49"/>
        <v>0</v>
      </c>
      <c r="P389" t="str">
        <f t="shared" si="50"/>
        <v>On Time</v>
      </c>
      <c r="Q389" s="13">
        <f t="shared" si="51"/>
        <v>0.72083333332557231</v>
      </c>
      <c r="R389" s="13">
        <f t="shared" si="52"/>
        <v>4.2801967592604342</v>
      </c>
      <c r="S389" s="13">
        <f t="shared" si="53"/>
        <v>-1.111851851848769</v>
      </c>
      <c r="T389" t="str">
        <f t="shared" si="54"/>
        <v>On Time/Early</v>
      </c>
      <c r="U389" t="str">
        <f t="shared" si="55"/>
        <v>Normal</v>
      </c>
      <c r="V389" t="s">
        <v>102</v>
      </c>
    </row>
    <row r="390" spans="1:22">
      <c r="A390" t="s">
        <v>744</v>
      </c>
      <c r="B390" s="10">
        <v>42954.725486111114</v>
      </c>
      <c r="C390" s="10">
        <v>42954.732928240737</v>
      </c>
      <c r="D390" s="10">
        <v>42956.632152777776</v>
      </c>
      <c r="E390" s="10">
        <v>42968.731712962966</v>
      </c>
      <c r="F390" s="10">
        <v>42976</v>
      </c>
      <c r="G390" t="s">
        <v>16</v>
      </c>
      <c r="H390" t="s">
        <v>559</v>
      </c>
      <c r="I390" t="s">
        <v>101</v>
      </c>
      <c r="J390" s="11">
        <v>1</v>
      </c>
      <c r="K390" s="12">
        <v>51.92</v>
      </c>
      <c r="L390" s="12">
        <v>16.12</v>
      </c>
      <c r="M390" s="13">
        <v>5</v>
      </c>
      <c r="N390" s="13">
        <f t="shared" si="48"/>
        <v>14.006226851852261</v>
      </c>
      <c r="O390" s="13">
        <f t="shared" si="49"/>
        <v>0</v>
      </c>
      <c r="P390" t="str">
        <f t="shared" si="50"/>
        <v>On Time</v>
      </c>
      <c r="Q390" s="13">
        <f t="shared" si="51"/>
        <v>0.17861111095407978</v>
      </c>
      <c r="R390" s="13">
        <f t="shared" si="52"/>
        <v>1.8992245370391174</v>
      </c>
      <c r="S390" s="13">
        <f t="shared" si="53"/>
        <v>12.099560185190057</v>
      </c>
      <c r="T390" t="str">
        <f t="shared" si="54"/>
        <v>On Time/Early</v>
      </c>
      <c r="U390" t="str">
        <f t="shared" si="55"/>
        <v>Normal</v>
      </c>
      <c r="V390" t="s">
        <v>102</v>
      </c>
    </row>
    <row r="391" spans="1:22">
      <c r="A391" t="s">
        <v>745</v>
      </c>
      <c r="B391" s="10">
        <v>42954.732569444444</v>
      </c>
      <c r="C391" s="10">
        <v>42955.739791666667</v>
      </c>
      <c r="D391" s="10">
        <v>42956.866388888891</v>
      </c>
      <c r="E391" s="10">
        <v>42968.755428240744</v>
      </c>
      <c r="F391" s="10">
        <v>42984</v>
      </c>
      <c r="G391" t="s">
        <v>23</v>
      </c>
      <c r="H391" t="s">
        <v>637</v>
      </c>
      <c r="I391" t="s">
        <v>120</v>
      </c>
      <c r="J391" s="11">
        <v>1</v>
      </c>
      <c r="K391" s="12">
        <v>120</v>
      </c>
      <c r="L391" s="12">
        <v>18.41</v>
      </c>
      <c r="M391" s="13">
        <v>4</v>
      </c>
      <c r="N391" s="13">
        <f t="shared" si="48"/>
        <v>14.022858796299261</v>
      </c>
      <c r="O391" s="13">
        <f t="shared" si="49"/>
        <v>0</v>
      </c>
      <c r="P391" t="str">
        <f t="shared" si="50"/>
        <v>On Time</v>
      </c>
      <c r="Q391" s="13">
        <f t="shared" si="51"/>
        <v>24.173333333339542</v>
      </c>
      <c r="R391" s="13">
        <f t="shared" si="52"/>
        <v>1.1265972222245182</v>
      </c>
      <c r="S391" s="13">
        <f t="shared" si="53"/>
        <v>11.889039351852261</v>
      </c>
      <c r="T391" t="str">
        <f t="shared" si="54"/>
        <v>On Time/Early</v>
      </c>
      <c r="U391" t="str">
        <f t="shared" si="55"/>
        <v>Normal</v>
      </c>
      <c r="V391" t="s">
        <v>102</v>
      </c>
    </row>
    <row r="392" spans="1:22">
      <c r="A392" t="s">
        <v>746</v>
      </c>
      <c r="B392" s="10">
        <v>42955.556238425925</v>
      </c>
      <c r="C392" s="10">
        <v>42956.121724537035</v>
      </c>
      <c r="D392" s="10">
        <v>42958.719548611109</v>
      </c>
      <c r="E392" s="10">
        <v>42968.780914351853</v>
      </c>
      <c r="F392" s="10">
        <v>42983</v>
      </c>
      <c r="G392" t="s">
        <v>747</v>
      </c>
      <c r="H392" t="s">
        <v>748</v>
      </c>
      <c r="I392" t="s">
        <v>368</v>
      </c>
      <c r="J392" s="11">
        <v>1</v>
      </c>
      <c r="K392" s="12">
        <v>97.9</v>
      </c>
      <c r="L392" s="12">
        <v>25.24</v>
      </c>
      <c r="M392" s="13">
        <v>5</v>
      </c>
      <c r="N392" s="13">
        <f t="shared" si="48"/>
        <v>13.22467592592875</v>
      </c>
      <c r="O392" s="13">
        <f t="shared" si="49"/>
        <v>0</v>
      </c>
      <c r="P392" t="str">
        <f t="shared" si="50"/>
        <v>On Time</v>
      </c>
      <c r="Q392" s="13">
        <f t="shared" si="51"/>
        <v>13.571666666655801</v>
      </c>
      <c r="R392" s="13">
        <f t="shared" si="52"/>
        <v>2.5978240740732872</v>
      </c>
      <c r="S392" s="13">
        <f t="shared" si="53"/>
        <v>10.061365740744804</v>
      </c>
      <c r="T392" t="str">
        <f t="shared" si="54"/>
        <v>On Time/Early</v>
      </c>
      <c r="U392" t="str">
        <f t="shared" si="55"/>
        <v>Normal</v>
      </c>
      <c r="V392" t="s">
        <v>102</v>
      </c>
    </row>
    <row r="393" spans="1:22">
      <c r="A393" t="s">
        <v>749</v>
      </c>
      <c r="B393" s="10">
        <v>42955.784583333334</v>
      </c>
      <c r="C393" s="10">
        <v>42955.795613425929</v>
      </c>
      <c r="D393" s="10">
        <v>42956.633888888886</v>
      </c>
      <c r="E393" s="10">
        <v>42969.508449074077</v>
      </c>
      <c r="F393" s="10">
        <v>42982</v>
      </c>
      <c r="G393" t="s">
        <v>20</v>
      </c>
      <c r="H393" t="s">
        <v>750</v>
      </c>
      <c r="I393" t="s">
        <v>180</v>
      </c>
      <c r="J393" s="11">
        <v>1</v>
      </c>
      <c r="K393" s="12">
        <v>34.9</v>
      </c>
      <c r="L393" s="12">
        <v>15.1</v>
      </c>
      <c r="M393" s="13">
        <v>4</v>
      </c>
      <c r="N393" s="13">
        <f t="shared" si="48"/>
        <v>13.723865740743349</v>
      </c>
      <c r="O393" s="13">
        <f t="shared" si="49"/>
        <v>0</v>
      </c>
      <c r="P393" t="str">
        <f t="shared" si="50"/>
        <v>On Time</v>
      </c>
      <c r="Q393" s="13">
        <f t="shared" si="51"/>
        <v>0.2647222222876735</v>
      </c>
      <c r="R393" s="13">
        <f t="shared" si="52"/>
        <v>0.838275462956517</v>
      </c>
      <c r="S393" s="13">
        <f t="shared" si="53"/>
        <v>12.874560185191513</v>
      </c>
      <c r="T393" t="str">
        <f t="shared" si="54"/>
        <v>On Time/Early</v>
      </c>
      <c r="U393" t="str">
        <f t="shared" si="55"/>
        <v>Normal</v>
      </c>
      <c r="V393" t="s">
        <v>102</v>
      </c>
    </row>
    <row r="394" spans="1:22">
      <c r="A394" t="s">
        <v>751</v>
      </c>
      <c r="B394" s="10">
        <v>42955.902685185189</v>
      </c>
      <c r="C394" s="10">
        <v>42955.91333333333</v>
      </c>
      <c r="D394" s="10">
        <v>42957.836435185185</v>
      </c>
      <c r="E394" s="10">
        <v>42964.87263888889</v>
      </c>
      <c r="F394" s="10">
        <v>42979</v>
      </c>
      <c r="G394" t="s">
        <v>20</v>
      </c>
      <c r="H394" t="s">
        <v>752</v>
      </c>
      <c r="I394" t="s">
        <v>753</v>
      </c>
      <c r="J394" s="11">
        <v>1</v>
      </c>
      <c r="K394" s="12">
        <v>125.9</v>
      </c>
      <c r="L394" s="12">
        <v>20.12</v>
      </c>
      <c r="M394" s="13">
        <v>5</v>
      </c>
      <c r="N394" s="13">
        <f t="shared" si="48"/>
        <v>8.9699537037013215</v>
      </c>
      <c r="O394" s="13">
        <f t="shared" si="49"/>
        <v>0</v>
      </c>
      <c r="P394" t="str">
        <f t="shared" si="50"/>
        <v>On Time</v>
      </c>
      <c r="Q394" s="13">
        <f t="shared" si="51"/>
        <v>0.25555555539904162</v>
      </c>
      <c r="R394" s="13">
        <f t="shared" si="52"/>
        <v>1.9231018518548808</v>
      </c>
      <c r="S394" s="13">
        <f t="shared" si="53"/>
        <v>7.036203703704814</v>
      </c>
      <c r="T394" t="str">
        <f t="shared" si="54"/>
        <v>On Time/Early</v>
      </c>
      <c r="U394" t="str">
        <f t="shared" si="55"/>
        <v>Normal</v>
      </c>
      <c r="V394" t="s">
        <v>102</v>
      </c>
    </row>
    <row r="395" spans="1:22">
      <c r="A395" t="s">
        <v>754</v>
      </c>
      <c r="B395" s="10">
        <v>42956.623368055552</v>
      </c>
      <c r="C395" s="10">
        <v>42956.632094907407</v>
      </c>
      <c r="D395" s="10">
        <v>42956.840173611112</v>
      </c>
      <c r="E395" s="10">
        <v>42961.627997685187</v>
      </c>
      <c r="F395" s="10">
        <v>42984</v>
      </c>
      <c r="G395" t="s">
        <v>8</v>
      </c>
      <c r="H395" t="s">
        <v>140</v>
      </c>
      <c r="I395" t="s">
        <v>136</v>
      </c>
      <c r="J395" s="11">
        <v>1</v>
      </c>
      <c r="K395" s="12">
        <v>98.99</v>
      </c>
      <c r="L395" s="12">
        <v>17.97</v>
      </c>
      <c r="M395" s="13">
        <v>5</v>
      </c>
      <c r="N395" s="13">
        <f t="shared" si="48"/>
        <v>5.0046296296350192</v>
      </c>
      <c r="O395" s="13">
        <f t="shared" si="49"/>
        <v>0</v>
      </c>
      <c r="P395" t="str">
        <f t="shared" si="50"/>
        <v>On Time</v>
      </c>
      <c r="Q395" s="13">
        <f t="shared" si="51"/>
        <v>0.20944444451015443</v>
      </c>
      <c r="R395" s="13">
        <f t="shared" si="52"/>
        <v>0.20807870370481396</v>
      </c>
      <c r="S395" s="13">
        <f t="shared" si="53"/>
        <v>4.7878240740756155</v>
      </c>
      <c r="T395" t="str">
        <f t="shared" si="54"/>
        <v>On Time/Early</v>
      </c>
      <c r="U395" t="str">
        <f t="shared" si="55"/>
        <v>Normal</v>
      </c>
      <c r="V395" t="s">
        <v>102</v>
      </c>
    </row>
    <row r="396" spans="1:22">
      <c r="A396" t="s">
        <v>755</v>
      </c>
      <c r="B396" s="10">
        <v>42957.469837962963</v>
      </c>
      <c r="C396" s="10">
        <v>42957.479328703703</v>
      </c>
      <c r="D396" s="10">
        <v>42958.862280092595</v>
      </c>
      <c r="E396" s="10">
        <v>42970.737638888888</v>
      </c>
      <c r="F396" s="10">
        <v>42992</v>
      </c>
      <c r="G396" t="s">
        <v>50</v>
      </c>
      <c r="H396" t="s">
        <v>414</v>
      </c>
      <c r="I396" t="s">
        <v>128</v>
      </c>
      <c r="J396" s="11">
        <v>1</v>
      </c>
      <c r="K396" s="12">
        <v>41.31</v>
      </c>
      <c r="L396" s="12">
        <v>17.63</v>
      </c>
      <c r="M396" s="13">
        <v>5</v>
      </c>
      <c r="N396" s="13">
        <f t="shared" si="48"/>
        <v>13.267800925925258</v>
      </c>
      <c r="O396" s="13">
        <f t="shared" si="49"/>
        <v>0</v>
      </c>
      <c r="P396" t="str">
        <f t="shared" si="50"/>
        <v>On Time</v>
      </c>
      <c r="Q396" s="13">
        <f t="shared" si="51"/>
        <v>0.22777777776354924</v>
      </c>
      <c r="R396" s="13">
        <f t="shared" si="52"/>
        <v>1.382951388892252</v>
      </c>
      <c r="S396" s="13">
        <f t="shared" si="53"/>
        <v>11.875358796292858</v>
      </c>
      <c r="T396" t="str">
        <f t="shared" si="54"/>
        <v>On Time/Early</v>
      </c>
      <c r="U396" t="str">
        <f t="shared" si="55"/>
        <v>Normal</v>
      </c>
      <c r="V396" t="s">
        <v>102</v>
      </c>
    </row>
    <row r="397" spans="1:22">
      <c r="A397" t="s">
        <v>756</v>
      </c>
      <c r="B397" s="10">
        <v>42957.6327662037</v>
      </c>
      <c r="C397" s="10">
        <v>42958.635625000003</v>
      </c>
      <c r="D397" s="10">
        <v>42962.661516203705</v>
      </c>
      <c r="E397" s="10">
        <v>42963.579618055555</v>
      </c>
      <c r="F397" s="10">
        <v>42975</v>
      </c>
      <c r="G397" t="s">
        <v>8</v>
      </c>
      <c r="H397" t="s">
        <v>140</v>
      </c>
      <c r="I397" t="s">
        <v>58</v>
      </c>
      <c r="J397" s="11">
        <v>1</v>
      </c>
      <c r="K397" s="12">
        <v>23.99</v>
      </c>
      <c r="L397" s="12">
        <v>7.78</v>
      </c>
      <c r="M397" s="13">
        <v>3</v>
      </c>
      <c r="N397" s="13">
        <f t="shared" si="48"/>
        <v>5.9468518518551718</v>
      </c>
      <c r="O397" s="13">
        <f t="shared" si="49"/>
        <v>0</v>
      </c>
      <c r="P397" t="str">
        <f t="shared" si="50"/>
        <v>On Time</v>
      </c>
      <c r="Q397" s="13">
        <f t="shared" si="51"/>
        <v>24.068611111259088</v>
      </c>
      <c r="R397" s="13">
        <f t="shared" si="52"/>
        <v>4.0258912037024857</v>
      </c>
      <c r="S397" s="13">
        <f t="shared" si="53"/>
        <v>0.91810185185022419</v>
      </c>
      <c r="T397" t="str">
        <f t="shared" si="54"/>
        <v>On Time/Early</v>
      </c>
      <c r="U397" t="str">
        <f t="shared" si="55"/>
        <v>Normal</v>
      </c>
      <c r="V397" t="s">
        <v>102</v>
      </c>
    </row>
    <row r="398" spans="1:22">
      <c r="A398" t="s">
        <v>757</v>
      </c>
      <c r="B398" s="10">
        <v>42957.646412037036</v>
      </c>
      <c r="C398" s="10">
        <v>42958.184027777781</v>
      </c>
      <c r="D398" s="10">
        <v>42958.608900462961</v>
      </c>
      <c r="E398" s="10">
        <v>42978.961087962962</v>
      </c>
      <c r="F398" s="10">
        <v>42983</v>
      </c>
      <c r="G398" t="s">
        <v>30</v>
      </c>
      <c r="H398" t="s">
        <v>365</v>
      </c>
      <c r="I398" t="s">
        <v>58</v>
      </c>
      <c r="J398" s="11">
        <v>1</v>
      </c>
      <c r="K398" s="12">
        <v>79.900000000000006</v>
      </c>
      <c r="L398" s="12">
        <v>14.31</v>
      </c>
      <c r="M398" s="13">
        <v>4</v>
      </c>
      <c r="N398" s="13">
        <f t="shared" si="48"/>
        <v>21.314675925925258</v>
      </c>
      <c r="O398" s="13">
        <f t="shared" si="49"/>
        <v>0</v>
      </c>
      <c r="P398" t="str">
        <f t="shared" si="50"/>
        <v>On Time</v>
      </c>
      <c r="Q398" s="13">
        <f t="shared" si="51"/>
        <v>12.902777777868323</v>
      </c>
      <c r="R398" s="13">
        <f t="shared" si="52"/>
        <v>0.42487268518016208</v>
      </c>
      <c r="S398" s="13">
        <f t="shared" si="53"/>
        <v>20.352187500000582</v>
      </c>
      <c r="T398" t="str">
        <f t="shared" si="54"/>
        <v>On Time/Early</v>
      </c>
      <c r="U398" t="str">
        <f t="shared" si="55"/>
        <v>Normal</v>
      </c>
      <c r="V398" t="s">
        <v>102</v>
      </c>
    </row>
    <row r="399" spans="1:22">
      <c r="A399" t="s">
        <v>758</v>
      </c>
      <c r="B399" s="10">
        <v>42957.762546296297</v>
      </c>
      <c r="C399" s="10">
        <v>42959.118726851855</v>
      </c>
      <c r="D399" s="10">
        <v>42961.867881944447</v>
      </c>
      <c r="E399" s="10">
        <v>42965.838009259256</v>
      </c>
      <c r="F399" s="10">
        <v>42977</v>
      </c>
      <c r="G399" t="s">
        <v>8</v>
      </c>
      <c r="H399" t="s">
        <v>472</v>
      </c>
      <c r="I399" t="s">
        <v>123</v>
      </c>
      <c r="J399" s="11">
        <v>1</v>
      </c>
      <c r="K399" s="12">
        <v>495</v>
      </c>
      <c r="L399" s="12">
        <v>14.61</v>
      </c>
      <c r="M399" s="13">
        <v>5</v>
      </c>
      <c r="N399" s="13">
        <f t="shared" si="48"/>
        <v>8.0754629629591363</v>
      </c>
      <c r="O399" s="13">
        <f t="shared" si="49"/>
        <v>0</v>
      </c>
      <c r="P399" t="str">
        <f t="shared" si="50"/>
        <v>On Time</v>
      </c>
      <c r="Q399" s="13">
        <f t="shared" si="51"/>
        <v>32.54833333339775</v>
      </c>
      <c r="R399" s="13">
        <f t="shared" si="52"/>
        <v>2.7491550925915362</v>
      </c>
      <c r="S399" s="13">
        <f t="shared" si="53"/>
        <v>3.9701273148093605</v>
      </c>
      <c r="T399" t="str">
        <f t="shared" si="54"/>
        <v>On Time/Early</v>
      </c>
      <c r="U399" t="str">
        <f t="shared" si="55"/>
        <v>Normal</v>
      </c>
      <c r="V399" t="s">
        <v>102</v>
      </c>
    </row>
    <row r="400" spans="1:22">
      <c r="A400" t="s">
        <v>759</v>
      </c>
      <c r="B400" s="10">
        <v>42957.781701388885</v>
      </c>
      <c r="C400" s="10">
        <v>42957.794386574074</v>
      </c>
      <c r="D400" s="10">
        <v>42961.822905092595</v>
      </c>
      <c r="E400" s="10">
        <v>42970.398611111108</v>
      </c>
      <c r="F400" s="10">
        <v>42983</v>
      </c>
      <c r="G400" t="s">
        <v>16</v>
      </c>
      <c r="H400" t="s">
        <v>138</v>
      </c>
      <c r="I400" t="s">
        <v>120</v>
      </c>
      <c r="J400" s="11">
        <v>1</v>
      </c>
      <c r="K400" s="12">
        <v>44.9</v>
      </c>
      <c r="L400" s="12">
        <v>16.79</v>
      </c>
      <c r="M400" s="13">
        <v>5</v>
      </c>
      <c r="N400" s="13">
        <f t="shared" si="48"/>
        <v>12.616909722222772</v>
      </c>
      <c r="O400" s="13">
        <f t="shared" si="49"/>
        <v>0</v>
      </c>
      <c r="P400" t="str">
        <f t="shared" si="50"/>
        <v>On Time</v>
      </c>
      <c r="Q400" s="13">
        <f t="shared" si="51"/>
        <v>0.30444444454042241</v>
      </c>
      <c r="R400" s="13">
        <f t="shared" si="52"/>
        <v>4.0285185185202863</v>
      </c>
      <c r="S400" s="13">
        <f t="shared" si="53"/>
        <v>8.5757060185133014</v>
      </c>
      <c r="T400" t="str">
        <f t="shared" si="54"/>
        <v>On Time/Early</v>
      </c>
      <c r="U400" t="str">
        <f t="shared" si="55"/>
        <v>Normal</v>
      </c>
      <c r="V400" t="s">
        <v>102</v>
      </c>
    </row>
    <row r="401" spans="1:22">
      <c r="A401" t="s">
        <v>760</v>
      </c>
      <c r="B401" s="10">
        <v>42957.922233796293</v>
      </c>
      <c r="C401" s="10">
        <v>42957.934270833335</v>
      </c>
      <c r="D401" s="10">
        <v>42958.801516203705</v>
      </c>
      <c r="E401" s="10">
        <v>42968.652916666666</v>
      </c>
      <c r="F401" s="10">
        <v>42983</v>
      </c>
      <c r="G401" t="s">
        <v>8</v>
      </c>
      <c r="H401" t="s">
        <v>761</v>
      </c>
      <c r="I401" t="s">
        <v>120</v>
      </c>
      <c r="J401" s="11">
        <v>1</v>
      </c>
      <c r="K401" s="12">
        <v>39.9</v>
      </c>
      <c r="L401" s="12">
        <v>17.920000000000002</v>
      </c>
      <c r="M401" s="13">
        <v>5</v>
      </c>
      <c r="N401" s="13">
        <f t="shared" si="48"/>
        <v>10.73068287037313</v>
      </c>
      <c r="O401" s="13">
        <f t="shared" si="49"/>
        <v>0</v>
      </c>
      <c r="P401" t="str">
        <f t="shared" si="50"/>
        <v>On Time</v>
      </c>
      <c r="Q401" s="13">
        <f t="shared" si="51"/>
        <v>0.28888888901565224</v>
      </c>
      <c r="R401" s="13">
        <f t="shared" si="52"/>
        <v>0.86724537036934635</v>
      </c>
      <c r="S401" s="13">
        <f t="shared" si="53"/>
        <v>9.8514004629614647</v>
      </c>
      <c r="T401" t="str">
        <f t="shared" si="54"/>
        <v>On Time/Early</v>
      </c>
      <c r="U401" t="str">
        <f t="shared" si="55"/>
        <v>Normal</v>
      </c>
      <c r="V401" t="s">
        <v>102</v>
      </c>
    </row>
    <row r="402" spans="1:22">
      <c r="A402" t="s">
        <v>762</v>
      </c>
      <c r="B402" s="10">
        <v>42958.459467592591</v>
      </c>
      <c r="C402" s="10">
        <v>42958.468946759262</v>
      </c>
      <c r="D402" s="10">
        <v>42961.726134259261</v>
      </c>
      <c r="E402" s="10">
        <v>42962.676469907405</v>
      </c>
      <c r="F402" s="10">
        <v>42978</v>
      </c>
      <c r="G402" t="s">
        <v>8</v>
      </c>
      <c r="H402" t="s">
        <v>763</v>
      </c>
      <c r="I402" t="s">
        <v>118</v>
      </c>
      <c r="J402" s="11">
        <v>1</v>
      </c>
      <c r="K402" s="12">
        <v>21.99</v>
      </c>
      <c r="L402" s="12">
        <v>7.78</v>
      </c>
      <c r="M402" s="13">
        <v>4</v>
      </c>
      <c r="N402" s="13">
        <f t="shared" si="48"/>
        <v>4.2170023148137261</v>
      </c>
      <c r="O402" s="13">
        <f t="shared" si="49"/>
        <v>0</v>
      </c>
      <c r="P402" t="str">
        <f t="shared" si="50"/>
        <v>On Time</v>
      </c>
      <c r="Q402" s="13">
        <f t="shared" si="51"/>
        <v>0.22750000009546056</v>
      </c>
      <c r="R402" s="13">
        <f t="shared" si="52"/>
        <v>3.2571874999994179</v>
      </c>
      <c r="S402" s="13">
        <f t="shared" si="53"/>
        <v>0.950335648143664</v>
      </c>
      <c r="T402" t="str">
        <f t="shared" si="54"/>
        <v>On Time/Early</v>
      </c>
      <c r="U402" t="str">
        <f t="shared" si="55"/>
        <v>Normal</v>
      </c>
      <c r="V402" t="s">
        <v>102</v>
      </c>
    </row>
    <row r="403" spans="1:22">
      <c r="A403" t="s">
        <v>764</v>
      </c>
      <c r="B403" s="10">
        <v>42958.686261574076</v>
      </c>
      <c r="C403" s="10">
        <v>42958.697187500002</v>
      </c>
      <c r="D403" s="10">
        <v>42961.831828703704</v>
      </c>
      <c r="E403" s="10">
        <v>42962.755393518521</v>
      </c>
      <c r="F403" s="10">
        <v>42971</v>
      </c>
      <c r="G403" t="s">
        <v>8</v>
      </c>
      <c r="H403" t="s">
        <v>225</v>
      </c>
      <c r="I403" t="s">
        <v>58</v>
      </c>
      <c r="J403" s="11">
        <v>1</v>
      </c>
      <c r="K403" s="12">
        <v>38.9</v>
      </c>
      <c r="L403" s="12">
        <v>9.34</v>
      </c>
      <c r="M403" s="13">
        <v>5</v>
      </c>
      <c r="N403" s="13">
        <f t="shared" si="48"/>
        <v>4.0691319444449618</v>
      </c>
      <c r="O403" s="13">
        <f t="shared" si="49"/>
        <v>0</v>
      </c>
      <c r="P403" t="str">
        <f t="shared" si="50"/>
        <v>On Time</v>
      </c>
      <c r="Q403" s="13">
        <f t="shared" si="51"/>
        <v>0.26222222222713754</v>
      </c>
      <c r="R403" s="13">
        <f t="shared" si="52"/>
        <v>3.1346412037019036</v>
      </c>
      <c r="S403" s="13">
        <f t="shared" si="53"/>
        <v>0.92356481481692754</v>
      </c>
      <c r="T403" t="str">
        <f t="shared" si="54"/>
        <v>On Time/Early</v>
      </c>
      <c r="U403" t="str">
        <f t="shared" si="55"/>
        <v>Normal</v>
      </c>
      <c r="V403" t="s">
        <v>102</v>
      </c>
    </row>
    <row r="404" spans="1:22">
      <c r="A404" t="s">
        <v>765</v>
      </c>
      <c r="B404" s="10">
        <v>42958.753101851849</v>
      </c>
      <c r="C404" s="10">
        <v>42958.766423611109</v>
      </c>
      <c r="D404" s="10">
        <v>42961.623611111114</v>
      </c>
      <c r="E404" s="10">
        <v>42972.904398148145</v>
      </c>
      <c r="F404" s="10">
        <v>42982</v>
      </c>
      <c r="G404" t="s">
        <v>16</v>
      </c>
      <c r="H404" t="s">
        <v>138</v>
      </c>
      <c r="I404" t="s">
        <v>180</v>
      </c>
      <c r="J404" s="11">
        <v>1</v>
      </c>
      <c r="K404" s="12">
        <v>89.9</v>
      </c>
      <c r="L404" s="12">
        <v>17.88</v>
      </c>
      <c r="M404" s="13">
        <v>5</v>
      </c>
      <c r="N404" s="13">
        <f t="shared" si="48"/>
        <v>14.151296296295186</v>
      </c>
      <c r="O404" s="13">
        <f t="shared" si="49"/>
        <v>0</v>
      </c>
      <c r="P404" t="str">
        <f t="shared" si="50"/>
        <v>On Time</v>
      </c>
      <c r="Q404" s="13">
        <f t="shared" si="51"/>
        <v>0.31972222222248092</v>
      </c>
      <c r="R404" s="13">
        <f t="shared" si="52"/>
        <v>2.8571875000052387</v>
      </c>
      <c r="S404" s="13">
        <f t="shared" si="53"/>
        <v>11.280787037030677</v>
      </c>
      <c r="T404" t="str">
        <f t="shared" si="54"/>
        <v>On Time/Early</v>
      </c>
      <c r="U404" t="str">
        <f t="shared" si="55"/>
        <v>Normal</v>
      </c>
      <c r="V404" t="s">
        <v>102</v>
      </c>
    </row>
    <row r="405" spans="1:22">
      <c r="A405" t="s">
        <v>766</v>
      </c>
      <c r="B405" s="10">
        <v>42959.397453703707</v>
      </c>
      <c r="C405" s="10">
        <v>42959.405381944445</v>
      </c>
      <c r="D405" s="10">
        <v>42962.488819444443</v>
      </c>
      <c r="E405" s="10">
        <v>42965.710763888892</v>
      </c>
      <c r="F405" s="10">
        <v>42982</v>
      </c>
      <c r="G405" t="s">
        <v>8</v>
      </c>
      <c r="H405" t="s">
        <v>767</v>
      </c>
      <c r="I405" t="s">
        <v>143</v>
      </c>
      <c r="J405" s="11">
        <v>1</v>
      </c>
      <c r="K405" s="12">
        <v>56.99</v>
      </c>
      <c r="L405" s="12">
        <v>11.9</v>
      </c>
      <c r="M405" s="13">
        <v>5</v>
      </c>
      <c r="N405" s="13">
        <f t="shared" si="48"/>
        <v>6.3133101851854008</v>
      </c>
      <c r="O405" s="13">
        <f t="shared" si="49"/>
        <v>0</v>
      </c>
      <c r="P405" t="str">
        <f t="shared" si="50"/>
        <v>On Time</v>
      </c>
      <c r="Q405" s="13">
        <f t="shared" si="51"/>
        <v>0.19027777772862464</v>
      </c>
      <c r="R405" s="13">
        <f t="shared" si="52"/>
        <v>3.0834374999976717</v>
      </c>
      <c r="S405" s="13">
        <f t="shared" si="53"/>
        <v>3.2219444444490364</v>
      </c>
      <c r="T405" t="str">
        <f t="shared" si="54"/>
        <v>On Time/Early</v>
      </c>
      <c r="U405" t="str">
        <f t="shared" si="55"/>
        <v>Normal</v>
      </c>
      <c r="V405" t="s">
        <v>102</v>
      </c>
    </row>
    <row r="406" spans="1:22">
      <c r="A406" t="s">
        <v>768</v>
      </c>
      <c r="B406" s="10">
        <v>42960.532430555555</v>
      </c>
      <c r="C406" s="10">
        <v>42960.54959490741</v>
      </c>
      <c r="D406" s="10">
        <v>42962.883761574078</v>
      </c>
      <c r="E406" s="10">
        <v>42965.747685185182</v>
      </c>
      <c r="F406" s="10">
        <v>42983</v>
      </c>
      <c r="G406" t="s">
        <v>16</v>
      </c>
      <c r="H406" t="s">
        <v>769</v>
      </c>
      <c r="I406" t="s">
        <v>31</v>
      </c>
      <c r="J406" s="11">
        <v>3</v>
      </c>
      <c r="K406" s="12">
        <v>464.97</v>
      </c>
      <c r="L406" s="12">
        <v>47.49</v>
      </c>
      <c r="M406" s="13">
        <v>1</v>
      </c>
      <c r="N406" s="13">
        <f t="shared" si="48"/>
        <v>5.2152546296274522</v>
      </c>
      <c r="O406" s="13">
        <f t="shared" si="49"/>
        <v>0</v>
      </c>
      <c r="P406" t="str">
        <f t="shared" si="50"/>
        <v>On Time</v>
      </c>
      <c r="Q406" s="13">
        <f t="shared" si="51"/>
        <v>0.41194444452412426</v>
      </c>
      <c r="R406" s="13">
        <f t="shared" si="52"/>
        <v>2.3341666666674428</v>
      </c>
      <c r="S406" s="13">
        <f t="shared" si="53"/>
        <v>2.8639236111048376</v>
      </c>
      <c r="T406" t="str">
        <f t="shared" si="54"/>
        <v>On Time/Early</v>
      </c>
      <c r="U406" t="str">
        <f t="shared" si="55"/>
        <v>Normal</v>
      </c>
      <c r="V406" t="s">
        <v>102</v>
      </c>
    </row>
    <row r="407" spans="1:22">
      <c r="A407" t="s">
        <v>770</v>
      </c>
      <c r="B407" s="10">
        <v>42961.361643518518</v>
      </c>
      <c r="C407" s="10">
        <v>42961.371724537035</v>
      </c>
      <c r="D407" s="10">
        <v>42961.813402777778</v>
      </c>
      <c r="E407" s="10">
        <v>42964.828159722223</v>
      </c>
      <c r="F407" s="10">
        <v>42979</v>
      </c>
      <c r="G407" t="s">
        <v>8</v>
      </c>
      <c r="H407" t="s">
        <v>771</v>
      </c>
      <c r="I407" t="s">
        <v>154</v>
      </c>
      <c r="J407" s="11">
        <v>1</v>
      </c>
      <c r="K407" s="12">
        <v>35.9</v>
      </c>
      <c r="L407" s="12">
        <v>11.85</v>
      </c>
      <c r="M407" s="13">
        <v>3</v>
      </c>
      <c r="N407" s="13">
        <f t="shared" si="48"/>
        <v>3.466516203705396</v>
      </c>
      <c r="O407" s="13">
        <f t="shared" si="49"/>
        <v>0</v>
      </c>
      <c r="P407" t="str">
        <f t="shared" si="50"/>
        <v>On Time</v>
      </c>
      <c r="Q407" s="13">
        <f t="shared" si="51"/>
        <v>0.24194444442400709</v>
      </c>
      <c r="R407" s="13">
        <f t="shared" si="52"/>
        <v>0.44167824074247619</v>
      </c>
      <c r="S407" s="13">
        <f t="shared" si="53"/>
        <v>3.0147569444452529</v>
      </c>
      <c r="T407" t="str">
        <f t="shared" si="54"/>
        <v>On Time/Early</v>
      </c>
      <c r="U407" t="str">
        <f t="shared" si="55"/>
        <v>Normal</v>
      </c>
      <c r="V407" t="s">
        <v>102</v>
      </c>
    </row>
    <row r="408" spans="1:22">
      <c r="A408" t="s">
        <v>772</v>
      </c>
      <c r="B408" s="10">
        <v>42961.546701388892</v>
      </c>
      <c r="C408" s="10">
        <v>42961.558391203704</v>
      </c>
      <c r="D408" s="10">
        <v>42965.827581018515</v>
      </c>
      <c r="E408" s="10">
        <v>42971.656469907408</v>
      </c>
      <c r="F408" s="10">
        <v>42979</v>
      </c>
      <c r="G408" t="s">
        <v>8</v>
      </c>
      <c r="H408" t="s">
        <v>140</v>
      </c>
      <c r="I408" t="s">
        <v>101</v>
      </c>
      <c r="J408" s="11">
        <v>1</v>
      </c>
      <c r="K408" s="12">
        <v>46.99</v>
      </c>
      <c r="L408" s="12">
        <v>12.69</v>
      </c>
      <c r="M408" s="13">
        <v>4</v>
      </c>
      <c r="N408" s="13">
        <f t="shared" si="48"/>
        <v>10.109768518515921</v>
      </c>
      <c r="O408" s="13">
        <f t="shared" si="49"/>
        <v>0</v>
      </c>
      <c r="P408" t="str">
        <f t="shared" si="50"/>
        <v>On Time</v>
      </c>
      <c r="Q408" s="13">
        <f t="shared" si="51"/>
        <v>0.28055555548053235</v>
      </c>
      <c r="R408" s="13">
        <f t="shared" si="52"/>
        <v>4.2691898148113978</v>
      </c>
      <c r="S408" s="13">
        <f t="shared" si="53"/>
        <v>5.8288888888928341</v>
      </c>
      <c r="T408" t="str">
        <f t="shared" si="54"/>
        <v>On Time/Early</v>
      </c>
      <c r="U408" t="str">
        <f t="shared" si="55"/>
        <v>Normal</v>
      </c>
      <c r="V408" t="s">
        <v>102</v>
      </c>
    </row>
    <row r="409" spans="1:22">
      <c r="A409" t="s">
        <v>773</v>
      </c>
      <c r="B409" s="10">
        <v>42961.550312500003</v>
      </c>
      <c r="C409" s="10">
        <v>42961.573020833333</v>
      </c>
      <c r="D409" s="10">
        <v>42962.847210648149</v>
      </c>
      <c r="E409" s="10">
        <v>42982.488356481481</v>
      </c>
      <c r="F409" s="10">
        <v>42986</v>
      </c>
      <c r="G409" t="s">
        <v>30</v>
      </c>
      <c r="H409" t="s">
        <v>365</v>
      </c>
      <c r="I409" t="s">
        <v>120</v>
      </c>
      <c r="J409" s="11">
        <v>1</v>
      </c>
      <c r="K409" s="12">
        <v>39.950000000000003</v>
      </c>
      <c r="L409" s="12">
        <v>15.1</v>
      </c>
      <c r="M409" s="13">
        <v>4</v>
      </c>
      <c r="N409" s="13">
        <f t="shared" si="48"/>
        <v>20.938043981477676</v>
      </c>
      <c r="O409" s="13">
        <f t="shared" si="49"/>
        <v>0</v>
      </c>
      <c r="P409" t="str">
        <f t="shared" si="50"/>
        <v>On Time</v>
      </c>
      <c r="Q409" s="13">
        <f t="shared" si="51"/>
        <v>0.54499999992549419</v>
      </c>
      <c r="R409" s="13">
        <f t="shared" si="52"/>
        <v>1.2741898148160544</v>
      </c>
      <c r="S409" s="13">
        <f t="shared" si="53"/>
        <v>19.641145833331393</v>
      </c>
      <c r="T409" t="str">
        <f t="shared" si="54"/>
        <v>On Time/Early</v>
      </c>
      <c r="U409" t="str">
        <f t="shared" si="55"/>
        <v>Normal</v>
      </c>
      <c r="V409" t="s">
        <v>102</v>
      </c>
    </row>
    <row r="410" spans="1:22">
      <c r="A410" t="s">
        <v>774</v>
      </c>
      <c r="B410" s="10">
        <v>42961.586805555555</v>
      </c>
      <c r="C410" s="10">
        <v>42961.604351851849</v>
      </c>
      <c r="D410" s="10">
        <v>42962.573958333334</v>
      </c>
      <c r="E410" s="10">
        <v>42979.647673611114</v>
      </c>
      <c r="F410" s="10">
        <v>42986</v>
      </c>
      <c r="G410" t="s">
        <v>30</v>
      </c>
      <c r="H410" t="s">
        <v>585</v>
      </c>
      <c r="I410" t="s">
        <v>141</v>
      </c>
      <c r="J410" s="11">
        <v>1</v>
      </c>
      <c r="K410" s="12">
        <v>209.9</v>
      </c>
      <c r="L410" s="12">
        <v>26.31</v>
      </c>
      <c r="M410" s="13">
        <v>3</v>
      </c>
      <c r="N410" s="13">
        <f t="shared" si="48"/>
        <v>18.060868055559695</v>
      </c>
      <c r="O410" s="13">
        <f t="shared" si="49"/>
        <v>0</v>
      </c>
      <c r="P410" t="str">
        <f t="shared" si="50"/>
        <v>On Time</v>
      </c>
      <c r="Q410" s="13">
        <f t="shared" si="51"/>
        <v>0.42111111106351018</v>
      </c>
      <c r="R410" s="13">
        <f t="shared" si="52"/>
        <v>0.96960648148524342</v>
      </c>
      <c r="S410" s="13">
        <f t="shared" si="53"/>
        <v>17.073715277780138</v>
      </c>
      <c r="T410" t="str">
        <f t="shared" si="54"/>
        <v>On Time/Early</v>
      </c>
      <c r="U410" t="str">
        <f t="shared" si="55"/>
        <v>Normal</v>
      </c>
      <c r="V410" t="s">
        <v>102</v>
      </c>
    </row>
    <row r="411" spans="1:22">
      <c r="A411" t="s">
        <v>775</v>
      </c>
      <c r="B411" s="10">
        <v>42961.81763888889</v>
      </c>
      <c r="C411" s="10">
        <v>42961.840405092589</v>
      </c>
      <c r="D411" s="10">
        <v>42963.958333333336</v>
      </c>
      <c r="E411" s="10">
        <v>42971.649444444447</v>
      </c>
      <c r="F411" s="10">
        <v>42979</v>
      </c>
      <c r="G411" t="s">
        <v>20</v>
      </c>
      <c r="H411" t="s">
        <v>776</v>
      </c>
      <c r="I411" t="s">
        <v>368</v>
      </c>
      <c r="J411" s="11">
        <v>1</v>
      </c>
      <c r="K411" s="12">
        <v>97.9</v>
      </c>
      <c r="L411" s="12">
        <v>14.42</v>
      </c>
      <c r="M411" s="13">
        <v>5</v>
      </c>
      <c r="N411" s="13">
        <f t="shared" si="48"/>
        <v>9.8318055555573665</v>
      </c>
      <c r="O411" s="13">
        <f t="shared" si="49"/>
        <v>0</v>
      </c>
      <c r="P411" t="str">
        <f t="shared" si="50"/>
        <v>On Time</v>
      </c>
      <c r="Q411" s="13">
        <f t="shared" si="51"/>
        <v>0.54638888878980651</v>
      </c>
      <c r="R411" s="13">
        <f t="shared" si="52"/>
        <v>2.1179282407465507</v>
      </c>
      <c r="S411" s="13">
        <f t="shared" si="53"/>
        <v>7.6911111111112405</v>
      </c>
      <c r="T411" t="str">
        <f t="shared" si="54"/>
        <v>On Time/Early</v>
      </c>
      <c r="U411" t="str">
        <f t="shared" si="55"/>
        <v>Normal</v>
      </c>
      <c r="V411" t="s">
        <v>102</v>
      </c>
    </row>
    <row r="412" spans="1:22">
      <c r="A412" t="s">
        <v>777</v>
      </c>
      <c r="B412" s="10">
        <v>42962.027592592596</v>
      </c>
      <c r="C412" s="10">
        <v>42962.038344907407</v>
      </c>
      <c r="D412" s="10">
        <v>42962.694699074076</v>
      </c>
      <c r="E412" s="10">
        <v>42975.710740740738</v>
      </c>
      <c r="F412" s="10">
        <v>42984</v>
      </c>
      <c r="G412" t="s">
        <v>16</v>
      </c>
      <c r="H412" t="s">
        <v>389</v>
      </c>
      <c r="I412" t="s">
        <v>101</v>
      </c>
      <c r="J412" s="11">
        <v>1</v>
      </c>
      <c r="K412" s="12">
        <v>39.99</v>
      </c>
      <c r="L412" s="12">
        <v>14.1</v>
      </c>
      <c r="M412" s="13">
        <v>5</v>
      </c>
      <c r="N412" s="13">
        <f t="shared" si="48"/>
        <v>13.683148148142209</v>
      </c>
      <c r="O412" s="13">
        <f t="shared" si="49"/>
        <v>0</v>
      </c>
      <c r="P412" t="str">
        <f t="shared" si="50"/>
        <v>On Time</v>
      </c>
      <c r="Q412" s="13">
        <f t="shared" si="51"/>
        <v>0.25805555545957759</v>
      </c>
      <c r="R412" s="13">
        <f t="shared" si="52"/>
        <v>0.656354166669189</v>
      </c>
      <c r="S412" s="13">
        <f t="shared" si="53"/>
        <v>13.016041666662204</v>
      </c>
      <c r="T412" t="str">
        <f t="shared" si="54"/>
        <v>On Time/Early</v>
      </c>
      <c r="U412" t="str">
        <f t="shared" si="55"/>
        <v>Normal</v>
      </c>
      <c r="V412" t="s">
        <v>102</v>
      </c>
    </row>
    <row r="413" spans="1:22">
      <c r="A413" t="s">
        <v>778</v>
      </c>
      <c r="B413" s="10">
        <v>42962.639282407406</v>
      </c>
      <c r="C413" s="10">
        <v>42963.145937499998</v>
      </c>
      <c r="D413" s="10">
        <v>42963.80027777778</v>
      </c>
      <c r="E413" s="10">
        <v>42971.869791666664</v>
      </c>
      <c r="F413" s="10">
        <v>42991</v>
      </c>
      <c r="G413" t="s">
        <v>164</v>
      </c>
      <c r="H413" t="s">
        <v>779</v>
      </c>
      <c r="I413" t="s">
        <v>120</v>
      </c>
      <c r="J413" s="11">
        <v>1</v>
      </c>
      <c r="K413" s="12">
        <v>119.9</v>
      </c>
      <c r="L413" s="12">
        <v>27.38</v>
      </c>
      <c r="M413" s="13">
        <v>5</v>
      </c>
      <c r="N413" s="13">
        <f t="shared" si="48"/>
        <v>9.2305092592578148</v>
      </c>
      <c r="O413" s="13">
        <f t="shared" si="49"/>
        <v>0</v>
      </c>
      <c r="P413" t="str">
        <f t="shared" si="50"/>
        <v>On Time</v>
      </c>
      <c r="Q413" s="13">
        <f t="shared" si="51"/>
        <v>12.159722222189885</v>
      </c>
      <c r="R413" s="13">
        <f t="shared" si="52"/>
        <v>0.65434027778246673</v>
      </c>
      <c r="S413" s="13">
        <f t="shared" si="53"/>
        <v>8.0695138888841029</v>
      </c>
      <c r="T413" t="str">
        <f t="shared" si="54"/>
        <v>On Time/Early</v>
      </c>
      <c r="U413" t="str">
        <f t="shared" si="55"/>
        <v>Normal</v>
      </c>
      <c r="V413" t="s">
        <v>102</v>
      </c>
    </row>
    <row r="414" spans="1:22">
      <c r="A414" t="s">
        <v>780</v>
      </c>
      <c r="B414" s="10">
        <v>42962.853263888886</v>
      </c>
      <c r="C414" s="10">
        <v>42963.002997685187</v>
      </c>
      <c r="D414" s="10">
        <v>42963.713425925926</v>
      </c>
      <c r="E414" s="10">
        <v>42970.555659722224</v>
      </c>
      <c r="F414" s="10">
        <v>42984</v>
      </c>
      <c r="G414" t="s">
        <v>110</v>
      </c>
      <c r="H414" t="s">
        <v>781</v>
      </c>
      <c r="I414" t="s">
        <v>58</v>
      </c>
      <c r="J414" s="11">
        <v>1</v>
      </c>
      <c r="K414" s="12">
        <v>79</v>
      </c>
      <c r="L414" s="12">
        <v>17.8</v>
      </c>
      <c r="M414" s="13">
        <v>5</v>
      </c>
      <c r="N414" s="13">
        <f t="shared" si="48"/>
        <v>7.7023958333375049</v>
      </c>
      <c r="O414" s="13">
        <f t="shared" si="49"/>
        <v>0</v>
      </c>
      <c r="P414" t="str">
        <f t="shared" si="50"/>
        <v>On Time</v>
      </c>
      <c r="Q414" s="13">
        <f t="shared" si="51"/>
        <v>3.5936111112241633</v>
      </c>
      <c r="R414" s="13">
        <f t="shared" si="52"/>
        <v>0.71042824073811062</v>
      </c>
      <c r="S414" s="13">
        <f t="shared" si="53"/>
        <v>6.8422337962983875</v>
      </c>
      <c r="T414" t="str">
        <f t="shared" si="54"/>
        <v>On Time/Early</v>
      </c>
      <c r="U414" t="str">
        <f t="shared" si="55"/>
        <v>Normal</v>
      </c>
      <c r="V414" t="s">
        <v>102</v>
      </c>
    </row>
    <row r="415" spans="1:22">
      <c r="A415" t="s">
        <v>782</v>
      </c>
      <c r="B415" s="10">
        <v>42962.916875000003</v>
      </c>
      <c r="C415" s="10">
        <v>42962.996759259258</v>
      </c>
      <c r="D415" s="10">
        <v>42963.923715277779</v>
      </c>
      <c r="E415" s="10">
        <v>42997.612696759257</v>
      </c>
      <c r="F415" s="10">
        <v>42984</v>
      </c>
      <c r="G415" t="s">
        <v>8</v>
      </c>
      <c r="H415" t="s">
        <v>783</v>
      </c>
      <c r="I415" t="s">
        <v>141</v>
      </c>
      <c r="J415" s="11">
        <v>1</v>
      </c>
      <c r="K415" s="12">
        <v>99.99</v>
      </c>
      <c r="L415" s="12">
        <v>89.93</v>
      </c>
      <c r="M415" s="13">
        <v>4</v>
      </c>
      <c r="N415" s="13">
        <f t="shared" si="48"/>
        <v>34.695821759254613</v>
      </c>
      <c r="O415" s="13">
        <f t="shared" si="49"/>
        <v>13.612696759257233</v>
      </c>
      <c r="P415" t="str">
        <f t="shared" si="50"/>
        <v>Delayed</v>
      </c>
      <c r="Q415" s="13">
        <f t="shared" si="51"/>
        <v>1.9172222221386619</v>
      </c>
      <c r="R415" s="13">
        <f t="shared" si="52"/>
        <v>0.92695601852028631</v>
      </c>
      <c r="S415" s="13">
        <f t="shared" si="53"/>
        <v>33.68898148147855</v>
      </c>
      <c r="T415" t="str">
        <f t="shared" si="54"/>
        <v>8+ Days Late</v>
      </c>
      <c r="U415" t="str">
        <f t="shared" si="55"/>
        <v>Needs Review</v>
      </c>
      <c r="V415" t="s">
        <v>102</v>
      </c>
    </row>
    <row r="416" spans="1:22">
      <c r="A416" t="s">
        <v>784</v>
      </c>
      <c r="B416" s="10">
        <v>42963.92396990741</v>
      </c>
      <c r="C416" s="10">
        <v>42964.010648148149</v>
      </c>
      <c r="D416" s="10">
        <v>42969.861134259256</v>
      </c>
      <c r="E416" s="10">
        <v>42982.908275462964</v>
      </c>
      <c r="F416" s="10">
        <v>42997</v>
      </c>
      <c r="G416" t="s">
        <v>30</v>
      </c>
      <c r="H416" t="s">
        <v>785</v>
      </c>
      <c r="I416" t="s">
        <v>128</v>
      </c>
      <c r="J416" s="11">
        <v>1</v>
      </c>
      <c r="K416" s="12">
        <v>59.9</v>
      </c>
      <c r="L416" s="12">
        <v>17.670000000000002</v>
      </c>
      <c r="M416" s="13">
        <v>1</v>
      </c>
      <c r="N416" s="13">
        <f t="shared" si="48"/>
        <v>18.984305555553874</v>
      </c>
      <c r="O416" s="13">
        <f t="shared" si="49"/>
        <v>0</v>
      </c>
      <c r="P416" t="str">
        <f t="shared" si="50"/>
        <v>On Time</v>
      </c>
      <c r="Q416" s="13">
        <f t="shared" si="51"/>
        <v>2.0802777777425945</v>
      </c>
      <c r="R416" s="13">
        <f t="shared" si="52"/>
        <v>5.8504861111068749</v>
      </c>
      <c r="S416" s="13">
        <f t="shared" si="53"/>
        <v>13.047141203707724</v>
      </c>
      <c r="T416" t="str">
        <f t="shared" si="54"/>
        <v>On Time/Early</v>
      </c>
      <c r="U416" t="str">
        <f t="shared" si="55"/>
        <v>Normal</v>
      </c>
      <c r="V416" t="s">
        <v>102</v>
      </c>
    </row>
    <row r="417" spans="1:22">
      <c r="A417" t="s">
        <v>786</v>
      </c>
      <c r="B417" s="10">
        <v>42964.039861111109</v>
      </c>
      <c r="C417" s="10">
        <v>42964.059467592589</v>
      </c>
      <c r="D417" s="10">
        <v>42965.713900462964</v>
      </c>
      <c r="E417" s="10">
        <v>42971.852627314816</v>
      </c>
      <c r="F417" s="10">
        <v>42989</v>
      </c>
      <c r="G417" t="s">
        <v>8</v>
      </c>
      <c r="H417" t="s">
        <v>140</v>
      </c>
      <c r="I417" t="s">
        <v>180</v>
      </c>
      <c r="J417" s="11">
        <v>1</v>
      </c>
      <c r="K417" s="12">
        <v>77.989999999999995</v>
      </c>
      <c r="L417" s="12">
        <v>12.89</v>
      </c>
      <c r="M417" s="13">
        <v>5</v>
      </c>
      <c r="N417" s="13">
        <f t="shared" si="48"/>
        <v>7.8127662037077243</v>
      </c>
      <c r="O417" s="13">
        <f t="shared" si="49"/>
        <v>0</v>
      </c>
      <c r="P417" t="str">
        <f t="shared" si="50"/>
        <v>On Time</v>
      </c>
      <c r="Q417" s="13">
        <f t="shared" si="51"/>
        <v>0.47055555554106832</v>
      </c>
      <c r="R417" s="13">
        <f t="shared" si="52"/>
        <v>1.6544328703748761</v>
      </c>
      <c r="S417" s="13">
        <f t="shared" si="53"/>
        <v>6.1387268518519704</v>
      </c>
      <c r="T417" t="str">
        <f t="shared" si="54"/>
        <v>On Time/Early</v>
      </c>
      <c r="U417" t="str">
        <f t="shared" si="55"/>
        <v>Normal</v>
      </c>
      <c r="V417" t="s">
        <v>102</v>
      </c>
    </row>
    <row r="418" spans="1:22">
      <c r="A418" t="s">
        <v>787</v>
      </c>
      <c r="B418" s="10">
        <v>42964.417939814812</v>
      </c>
      <c r="C418" s="10">
        <v>42965.100393518522</v>
      </c>
      <c r="D418" s="10">
        <v>42965.885891203703</v>
      </c>
      <c r="E418" s="10">
        <v>42975.482002314813</v>
      </c>
      <c r="F418" s="10">
        <v>42986</v>
      </c>
      <c r="G418" t="s">
        <v>8</v>
      </c>
      <c r="H418" t="s">
        <v>540</v>
      </c>
      <c r="I418" t="s">
        <v>101</v>
      </c>
      <c r="J418" s="11">
        <v>1</v>
      </c>
      <c r="K418" s="12">
        <v>66</v>
      </c>
      <c r="L418" s="12">
        <v>11.96</v>
      </c>
      <c r="M418" s="13">
        <v>5</v>
      </c>
      <c r="N418" s="13">
        <f t="shared" si="48"/>
        <v>11.064062500001455</v>
      </c>
      <c r="O418" s="13">
        <f t="shared" si="49"/>
        <v>0</v>
      </c>
      <c r="P418" t="str">
        <f t="shared" si="50"/>
        <v>On Time</v>
      </c>
      <c r="Q418" s="13">
        <f t="shared" si="51"/>
        <v>16.378888889041264</v>
      </c>
      <c r="R418" s="13">
        <f t="shared" si="52"/>
        <v>0.78549768518132623</v>
      </c>
      <c r="S418" s="13">
        <f t="shared" si="53"/>
        <v>9.5961111111100763</v>
      </c>
      <c r="T418" t="str">
        <f t="shared" si="54"/>
        <v>On Time/Early</v>
      </c>
      <c r="U418" t="str">
        <f t="shared" si="55"/>
        <v>Normal</v>
      </c>
      <c r="V418" t="s">
        <v>102</v>
      </c>
    </row>
    <row r="419" spans="1:22">
      <c r="A419" t="s">
        <v>788</v>
      </c>
      <c r="B419" s="10">
        <v>42964.595613425925</v>
      </c>
      <c r="C419" s="10">
        <v>42965.600856481484</v>
      </c>
      <c r="D419" s="10">
        <v>42969.773958333331</v>
      </c>
      <c r="E419" s="10">
        <v>42977.918935185182</v>
      </c>
      <c r="F419" s="10">
        <v>42993</v>
      </c>
      <c r="G419" t="s">
        <v>23</v>
      </c>
      <c r="H419" t="s">
        <v>789</v>
      </c>
      <c r="I419" t="s">
        <v>149</v>
      </c>
      <c r="J419" s="11">
        <v>2</v>
      </c>
      <c r="K419" s="12">
        <v>99.6</v>
      </c>
      <c r="L419" s="12">
        <v>33.58</v>
      </c>
      <c r="M419" s="13">
        <v>5</v>
      </c>
      <c r="N419" s="13">
        <f t="shared" si="48"/>
        <v>13.323321759256942</v>
      </c>
      <c r="O419" s="13">
        <f t="shared" si="49"/>
        <v>0</v>
      </c>
      <c r="P419" t="str">
        <f t="shared" si="50"/>
        <v>On Time</v>
      </c>
      <c r="Q419" s="13">
        <f t="shared" si="51"/>
        <v>24.12583333341172</v>
      </c>
      <c r="R419" s="13">
        <f t="shared" si="52"/>
        <v>4.1731018518476048</v>
      </c>
      <c r="S419" s="13">
        <f t="shared" si="53"/>
        <v>8.1449768518505152</v>
      </c>
      <c r="T419" t="str">
        <f t="shared" si="54"/>
        <v>On Time/Early</v>
      </c>
      <c r="U419" t="str">
        <f t="shared" si="55"/>
        <v>Normal</v>
      </c>
      <c r="V419" t="s">
        <v>102</v>
      </c>
    </row>
    <row r="420" spans="1:22">
      <c r="A420" t="s">
        <v>790</v>
      </c>
      <c r="B420" s="10">
        <v>42964.656006944446</v>
      </c>
      <c r="C420" s="10">
        <v>42972.396053240744</v>
      </c>
      <c r="D420" s="10">
        <v>42976.799189814818</v>
      </c>
      <c r="E420" s="10">
        <v>42978.858368055553</v>
      </c>
      <c r="F420" s="10">
        <v>42977</v>
      </c>
      <c r="G420" t="s">
        <v>8</v>
      </c>
      <c r="H420" t="s">
        <v>182</v>
      </c>
      <c r="I420" t="s">
        <v>120</v>
      </c>
      <c r="J420" s="11">
        <v>2</v>
      </c>
      <c r="K420" s="12">
        <v>351.81</v>
      </c>
      <c r="L420" s="12">
        <v>21.3</v>
      </c>
      <c r="M420" s="13">
        <v>1</v>
      </c>
      <c r="N420" s="13">
        <f t="shared" si="48"/>
        <v>14.202361111107166</v>
      </c>
      <c r="O420" s="13">
        <f t="shared" si="49"/>
        <v>1.8583680555530009</v>
      </c>
      <c r="P420" t="str">
        <f t="shared" si="50"/>
        <v>Delayed</v>
      </c>
      <c r="Q420" s="13">
        <f t="shared" si="51"/>
        <v>185.76111111114733</v>
      </c>
      <c r="R420" s="13">
        <f t="shared" si="52"/>
        <v>4.4031365740738693</v>
      </c>
      <c r="S420" s="13">
        <f t="shared" si="53"/>
        <v>2.0591782407354913</v>
      </c>
      <c r="T420" t="str">
        <f t="shared" si="54"/>
        <v>1-3 Days Late</v>
      </c>
      <c r="U420" t="str">
        <f t="shared" si="55"/>
        <v>Needs Review</v>
      </c>
      <c r="V420" t="s">
        <v>102</v>
      </c>
    </row>
    <row r="421" spans="1:22">
      <c r="A421" t="s">
        <v>791</v>
      </c>
      <c r="B421" s="10">
        <v>42964.948217592595</v>
      </c>
      <c r="C421" s="10">
        <v>42965.030821759261</v>
      </c>
      <c r="D421" s="10">
        <v>42965.758356481485</v>
      </c>
      <c r="E421" s="10">
        <v>42975.71266203704</v>
      </c>
      <c r="F421" s="10">
        <v>43004</v>
      </c>
      <c r="G421" t="s">
        <v>57</v>
      </c>
      <c r="H421" t="s">
        <v>792</v>
      </c>
      <c r="I421" t="s">
        <v>185</v>
      </c>
      <c r="J421" s="11">
        <v>1</v>
      </c>
      <c r="K421" s="12">
        <v>110</v>
      </c>
      <c r="L421" s="12">
        <v>26.05</v>
      </c>
      <c r="M421" s="13">
        <v>5</v>
      </c>
      <c r="N421" s="13">
        <f t="shared" si="48"/>
        <v>10.764444444444962</v>
      </c>
      <c r="O421" s="13">
        <f t="shared" si="49"/>
        <v>0</v>
      </c>
      <c r="P421" t="str">
        <f t="shared" si="50"/>
        <v>On Time</v>
      </c>
      <c r="Q421" s="13">
        <f t="shared" si="51"/>
        <v>1.9824999999837019</v>
      </c>
      <c r="R421" s="13">
        <f t="shared" si="52"/>
        <v>0.72753472222393611</v>
      </c>
      <c r="S421" s="13">
        <f t="shared" si="53"/>
        <v>9.9543055555550382</v>
      </c>
      <c r="T421" t="str">
        <f t="shared" si="54"/>
        <v>On Time/Early</v>
      </c>
      <c r="U421" t="str">
        <f t="shared" si="55"/>
        <v>Normal</v>
      </c>
      <c r="V421" t="s">
        <v>102</v>
      </c>
    </row>
    <row r="422" spans="1:22">
      <c r="A422" t="s">
        <v>793</v>
      </c>
      <c r="B422" s="10">
        <v>42964.98709490741</v>
      </c>
      <c r="C422" s="10">
        <v>42965.017488425925</v>
      </c>
      <c r="D422" s="10">
        <v>42965.755277777775</v>
      </c>
      <c r="E422" s="10">
        <v>42976.901099537034</v>
      </c>
      <c r="F422" s="10">
        <v>42992</v>
      </c>
      <c r="G422" t="s">
        <v>16</v>
      </c>
      <c r="H422" t="s">
        <v>563</v>
      </c>
      <c r="I422" t="s">
        <v>136</v>
      </c>
      <c r="J422" s="11">
        <v>1</v>
      </c>
      <c r="K422" s="12">
        <v>65</v>
      </c>
      <c r="L422" s="12">
        <v>16.89</v>
      </c>
      <c r="M422" s="13">
        <v>5</v>
      </c>
      <c r="N422" s="13">
        <f t="shared" si="48"/>
        <v>11.914004629623378</v>
      </c>
      <c r="O422" s="13">
        <f t="shared" si="49"/>
        <v>0</v>
      </c>
      <c r="P422" t="str">
        <f t="shared" si="50"/>
        <v>On Time</v>
      </c>
      <c r="Q422" s="13">
        <f t="shared" si="51"/>
        <v>0.72944444435415789</v>
      </c>
      <c r="R422" s="13">
        <f t="shared" si="52"/>
        <v>0.73778935184964212</v>
      </c>
      <c r="S422" s="13">
        <f t="shared" si="53"/>
        <v>11.145821759258979</v>
      </c>
      <c r="T422" t="str">
        <f t="shared" si="54"/>
        <v>On Time/Early</v>
      </c>
      <c r="U422" t="str">
        <f t="shared" si="55"/>
        <v>Normal</v>
      </c>
      <c r="V422" t="s">
        <v>102</v>
      </c>
    </row>
    <row r="423" spans="1:22">
      <c r="A423" t="s">
        <v>794</v>
      </c>
      <c r="B423" s="10">
        <v>42965.714328703703</v>
      </c>
      <c r="C423" s="10">
        <v>42965.739675925928</v>
      </c>
      <c r="D423" s="10">
        <v>42969.710972222223</v>
      </c>
      <c r="E423" s="10">
        <v>42975.71702546296</v>
      </c>
      <c r="F423" s="10">
        <v>42997</v>
      </c>
      <c r="G423" t="s">
        <v>20</v>
      </c>
      <c r="H423" t="s">
        <v>190</v>
      </c>
      <c r="I423" t="s">
        <v>136</v>
      </c>
      <c r="J423" s="11">
        <v>1</v>
      </c>
      <c r="K423" s="12">
        <v>65.900000000000006</v>
      </c>
      <c r="L423" s="12">
        <v>18.03</v>
      </c>
      <c r="M423" s="13">
        <v>5</v>
      </c>
      <c r="N423" s="13">
        <f t="shared" si="48"/>
        <v>10.002696759256651</v>
      </c>
      <c r="O423" s="13">
        <f t="shared" si="49"/>
        <v>0</v>
      </c>
      <c r="P423" t="str">
        <f t="shared" si="50"/>
        <v>On Time</v>
      </c>
      <c r="Q423" s="13">
        <f t="shared" si="51"/>
        <v>0.6083333333954215</v>
      </c>
      <c r="R423" s="13">
        <f t="shared" si="52"/>
        <v>3.971296296294895</v>
      </c>
      <c r="S423" s="13">
        <f t="shared" si="53"/>
        <v>6.0060532407369465</v>
      </c>
      <c r="T423" t="str">
        <f t="shared" si="54"/>
        <v>On Time/Early</v>
      </c>
      <c r="U423" t="str">
        <f t="shared" si="55"/>
        <v>Normal</v>
      </c>
      <c r="V423" t="s">
        <v>102</v>
      </c>
    </row>
    <row r="424" spans="1:22">
      <c r="A424" t="s">
        <v>795</v>
      </c>
      <c r="B424" s="10">
        <v>42966.010891203703</v>
      </c>
      <c r="C424" s="10">
        <v>42967.018020833333</v>
      </c>
      <c r="D424" s="10">
        <v>42970.636504629627</v>
      </c>
      <c r="E424" s="10">
        <v>42982.755474537036</v>
      </c>
      <c r="F424" s="10">
        <v>42991</v>
      </c>
      <c r="G424" t="s">
        <v>16</v>
      </c>
      <c r="H424" t="s">
        <v>138</v>
      </c>
      <c r="I424" t="s">
        <v>180</v>
      </c>
      <c r="J424" s="11">
        <v>1</v>
      </c>
      <c r="K424" s="12">
        <v>89.9</v>
      </c>
      <c r="L424" s="12">
        <v>17.88</v>
      </c>
      <c r="M424" s="13">
        <v>1</v>
      </c>
      <c r="N424" s="13">
        <f t="shared" si="48"/>
        <v>16.744583333333139</v>
      </c>
      <c r="O424" s="13">
        <f t="shared" si="49"/>
        <v>0</v>
      </c>
      <c r="P424" t="str">
        <f t="shared" si="50"/>
        <v>On Time</v>
      </c>
      <c r="Q424" s="13">
        <f t="shared" si="51"/>
        <v>24.171111111121718</v>
      </c>
      <c r="R424" s="13">
        <f t="shared" si="52"/>
        <v>3.6184837962937308</v>
      </c>
      <c r="S424" s="13">
        <f t="shared" si="53"/>
        <v>12.118969907409337</v>
      </c>
      <c r="T424" t="str">
        <f t="shared" si="54"/>
        <v>On Time/Early</v>
      </c>
      <c r="U424" t="str">
        <f t="shared" si="55"/>
        <v>Normal</v>
      </c>
      <c r="V424" t="s">
        <v>102</v>
      </c>
    </row>
    <row r="425" spans="1:22">
      <c r="A425" t="s">
        <v>796</v>
      </c>
      <c r="B425" s="10">
        <v>42966.576493055552</v>
      </c>
      <c r="C425" s="10">
        <v>42966.586921296293</v>
      </c>
      <c r="D425" s="10">
        <v>42968.595578703702</v>
      </c>
      <c r="E425" s="10">
        <v>42975.682511574072</v>
      </c>
      <c r="F425" s="10">
        <v>42991</v>
      </c>
      <c r="G425" t="s">
        <v>20</v>
      </c>
      <c r="H425" t="s">
        <v>503</v>
      </c>
      <c r="I425" t="s">
        <v>123</v>
      </c>
      <c r="J425" s="11">
        <v>1</v>
      </c>
      <c r="K425" s="12">
        <v>299</v>
      </c>
      <c r="L425" s="12">
        <v>46.55</v>
      </c>
      <c r="M425" s="13">
        <v>5</v>
      </c>
      <c r="N425" s="13">
        <f t="shared" si="48"/>
        <v>9.1060185185197042</v>
      </c>
      <c r="O425" s="13">
        <f t="shared" si="49"/>
        <v>0</v>
      </c>
      <c r="P425" t="str">
        <f t="shared" si="50"/>
        <v>On Time</v>
      </c>
      <c r="Q425" s="13">
        <f t="shared" si="51"/>
        <v>0.250277777784504</v>
      </c>
      <c r="R425" s="13">
        <f t="shared" si="52"/>
        <v>2.0086574074084638</v>
      </c>
      <c r="S425" s="13">
        <f t="shared" si="53"/>
        <v>7.0869328703702195</v>
      </c>
      <c r="T425" t="str">
        <f t="shared" si="54"/>
        <v>On Time/Early</v>
      </c>
      <c r="U425" t="str">
        <f t="shared" si="55"/>
        <v>Normal</v>
      </c>
      <c r="V425" t="s">
        <v>102</v>
      </c>
    </row>
    <row r="426" spans="1:22">
      <c r="A426" t="s">
        <v>797</v>
      </c>
      <c r="B426" s="10">
        <v>42966.590902777774</v>
      </c>
      <c r="C426" s="10">
        <v>42967.295011574075</v>
      </c>
      <c r="D426" s="10">
        <v>42968.887071759258</v>
      </c>
      <c r="E426" s="10">
        <v>42972.578275462962</v>
      </c>
      <c r="F426" s="10">
        <v>42979</v>
      </c>
      <c r="G426" t="s">
        <v>8</v>
      </c>
      <c r="H426" t="s">
        <v>140</v>
      </c>
      <c r="I426" t="s">
        <v>123</v>
      </c>
      <c r="J426" s="11">
        <v>1</v>
      </c>
      <c r="K426" s="12">
        <v>109.99</v>
      </c>
      <c r="L426" s="12">
        <v>11.97</v>
      </c>
      <c r="M426" s="13">
        <v>5</v>
      </c>
      <c r="N426" s="13">
        <f t="shared" si="48"/>
        <v>5.987372685187438</v>
      </c>
      <c r="O426" s="13">
        <f t="shared" si="49"/>
        <v>0</v>
      </c>
      <c r="P426" t="str">
        <f t="shared" si="50"/>
        <v>On Time</v>
      </c>
      <c r="Q426" s="13">
        <f t="shared" si="51"/>
        <v>16.898611111217178</v>
      </c>
      <c r="R426" s="13">
        <f t="shared" si="52"/>
        <v>1.5920601851830725</v>
      </c>
      <c r="S426" s="13">
        <f t="shared" si="53"/>
        <v>3.6912037037036498</v>
      </c>
      <c r="T426" t="str">
        <f t="shared" si="54"/>
        <v>On Time/Early</v>
      </c>
      <c r="U426" t="str">
        <f t="shared" si="55"/>
        <v>Normal</v>
      </c>
      <c r="V426" t="s">
        <v>102</v>
      </c>
    </row>
    <row r="427" spans="1:22">
      <c r="A427" t="s">
        <v>798</v>
      </c>
      <c r="B427" s="10">
        <v>42967.03334490741</v>
      </c>
      <c r="C427" s="10">
        <v>42969.174641203703</v>
      </c>
      <c r="D427" s="10">
        <v>42969.627002314817</v>
      </c>
      <c r="E427" s="10">
        <v>42977.564675925925</v>
      </c>
      <c r="F427" s="10">
        <v>42999</v>
      </c>
      <c r="G427" t="s">
        <v>134</v>
      </c>
      <c r="H427" t="s">
        <v>799</v>
      </c>
      <c r="I427" t="s">
        <v>58</v>
      </c>
      <c r="J427" s="11">
        <v>1</v>
      </c>
      <c r="K427" s="12">
        <v>119.99</v>
      </c>
      <c r="L427" s="12">
        <v>16.28</v>
      </c>
      <c r="M427" s="13">
        <v>5</v>
      </c>
      <c r="N427" s="13">
        <f t="shared" si="48"/>
        <v>10.53133101851563</v>
      </c>
      <c r="O427" s="13">
        <f t="shared" si="49"/>
        <v>0</v>
      </c>
      <c r="P427" t="str">
        <f t="shared" si="50"/>
        <v>On Time</v>
      </c>
      <c r="Q427" s="13">
        <f t="shared" si="51"/>
        <v>51.391111111035571</v>
      </c>
      <c r="R427" s="13">
        <f t="shared" si="52"/>
        <v>0.45236111111444188</v>
      </c>
      <c r="S427" s="13">
        <f t="shared" si="53"/>
        <v>7.937673611108039</v>
      </c>
      <c r="T427" t="str">
        <f t="shared" si="54"/>
        <v>On Time/Early</v>
      </c>
      <c r="U427" t="str">
        <f t="shared" si="55"/>
        <v>Normal</v>
      </c>
      <c r="V427" t="s">
        <v>102</v>
      </c>
    </row>
    <row r="428" spans="1:22">
      <c r="A428" t="s">
        <v>800</v>
      </c>
      <c r="B428" s="10">
        <v>42967.651122685187</v>
      </c>
      <c r="C428" s="10">
        <v>42967.663287037038</v>
      </c>
      <c r="D428" s="10">
        <v>42968.809710648151</v>
      </c>
      <c r="E428" s="10">
        <v>42973.495729166665</v>
      </c>
      <c r="F428" s="10">
        <v>42993</v>
      </c>
      <c r="G428" t="s">
        <v>36</v>
      </c>
      <c r="H428" t="s">
        <v>216</v>
      </c>
      <c r="I428" t="s">
        <v>58</v>
      </c>
      <c r="J428" s="11">
        <v>1</v>
      </c>
      <c r="K428" s="12">
        <v>38.49</v>
      </c>
      <c r="L428" s="12">
        <v>17.920000000000002</v>
      </c>
      <c r="M428" s="13">
        <v>5</v>
      </c>
      <c r="N428" s="13">
        <f t="shared" si="48"/>
        <v>5.8446064814779675</v>
      </c>
      <c r="O428" s="13">
        <f t="shared" si="49"/>
        <v>0</v>
      </c>
      <c r="P428" t="str">
        <f t="shared" si="50"/>
        <v>On Time</v>
      </c>
      <c r="Q428" s="13">
        <f t="shared" si="51"/>
        <v>0.29194444441236556</v>
      </c>
      <c r="R428" s="13">
        <f t="shared" si="52"/>
        <v>1.1464236111132777</v>
      </c>
      <c r="S428" s="13">
        <f t="shared" si="53"/>
        <v>4.6860185185141745</v>
      </c>
      <c r="T428" t="str">
        <f t="shared" si="54"/>
        <v>On Time/Early</v>
      </c>
      <c r="U428" t="str">
        <f t="shared" si="55"/>
        <v>Normal</v>
      </c>
      <c r="V428" t="s">
        <v>102</v>
      </c>
    </row>
    <row r="429" spans="1:22">
      <c r="A429" t="s">
        <v>801</v>
      </c>
      <c r="B429" s="10">
        <v>42967.863854166666</v>
      </c>
      <c r="C429" s="10">
        <v>42967.877928240741</v>
      </c>
      <c r="D429" s="10">
        <v>42969.869629629633</v>
      </c>
      <c r="E429" s="10">
        <v>42975.877511574072</v>
      </c>
      <c r="F429" s="10">
        <v>42991</v>
      </c>
      <c r="G429" t="s">
        <v>30</v>
      </c>
      <c r="H429" t="s">
        <v>802</v>
      </c>
      <c r="I429" t="s">
        <v>101</v>
      </c>
      <c r="J429" s="11">
        <v>2</v>
      </c>
      <c r="K429" s="12">
        <v>98</v>
      </c>
      <c r="L429" s="12">
        <v>30.2</v>
      </c>
      <c r="M429" s="13">
        <v>4</v>
      </c>
      <c r="N429" s="13">
        <f t="shared" si="48"/>
        <v>8.0136574074058444</v>
      </c>
      <c r="O429" s="13">
        <f t="shared" si="49"/>
        <v>0</v>
      </c>
      <c r="P429" t="str">
        <f t="shared" si="50"/>
        <v>On Time</v>
      </c>
      <c r="Q429" s="13">
        <f t="shared" si="51"/>
        <v>0.33777777780778706</v>
      </c>
      <c r="R429" s="13">
        <f t="shared" si="52"/>
        <v>1.9917013888916699</v>
      </c>
      <c r="S429" s="13">
        <f t="shared" si="53"/>
        <v>6.00788194443885</v>
      </c>
      <c r="T429" t="str">
        <f t="shared" si="54"/>
        <v>On Time/Early</v>
      </c>
      <c r="U429" t="str">
        <f t="shared" si="55"/>
        <v>Normal</v>
      </c>
      <c r="V429" t="s">
        <v>102</v>
      </c>
    </row>
    <row r="430" spans="1:22">
      <c r="A430" t="s">
        <v>803</v>
      </c>
      <c r="B430" s="10">
        <v>42967.873668981483</v>
      </c>
      <c r="C430" s="10">
        <v>42967.885509259257</v>
      </c>
      <c r="D430" s="10">
        <v>42968.808877314812</v>
      </c>
      <c r="E430" s="10">
        <v>42970.739606481482</v>
      </c>
      <c r="F430" s="10">
        <v>42989</v>
      </c>
      <c r="G430" t="s">
        <v>8</v>
      </c>
      <c r="H430" t="s">
        <v>140</v>
      </c>
      <c r="I430" t="s">
        <v>58</v>
      </c>
      <c r="J430" s="11">
        <v>1</v>
      </c>
      <c r="K430" s="12">
        <v>29.9</v>
      </c>
      <c r="L430" s="12">
        <v>11.85</v>
      </c>
      <c r="M430" s="13">
        <v>5</v>
      </c>
      <c r="N430" s="13">
        <f t="shared" si="48"/>
        <v>2.8659374999988358</v>
      </c>
      <c r="O430" s="13">
        <f t="shared" si="49"/>
        <v>0</v>
      </c>
      <c r="P430" t="str">
        <f t="shared" si="50"/>
        <v>On Time</v>
      </c>
      <c r="Q430" s="13">
        <f t="shared" si="51"/>
        <v>0.28416666656266898</v>
      </c>
      <c r="R430" s="13">
        <f t="shared" si="52"/>
        <v>0.92336805555532919</v>
      </c>
      <c r="S430" s="13">
        <f t="shared" si="53"/>
        <v>1.9307291666700621</v>
      </c>
      <c r="T430" t="str">
        <f t="shared" si="54"/>
        <v>On Time/Early</v>
      </c>
      <c r="U430" t="str">
        <f t="shared" si="55"/>
        <v>Normal</v>
      </c>
      <c r="V430" t="s">
        <v>102</v>
      </c>
    </row>
    <row r="431" spans="1:22">
      <c r="A431" t="s">
        <v>804</v>
      </c>
      <c r="B431" s="10">
        <v>42967.900960648149</v>
      </c>
      <c r="C431" s="10">
        <v>42970.521087962959</v>
      </c>
      <c r="D431" s="10">
        <v>42970.787002314813</v>
      </c>
      <c r="E431" s="10">
        <v>42975.807627314818</v>
      </c>
      <c r="F431" s="10">
        <v>43003</v>
      </c>
      <c r="G431" t="s">
        <v>8</v>
      </c>
      <c r="H431" t="s">
        <v>140</v>
      </c>
      <c r="I431" t="s">
        <v>279</v>
      </c>
      <c r="J431" s="11">
        <v>1</v>
      </c>
      <c r="K431" s="12">
        <v>29.9</v>
      </c>
      <c r="L431" s="12">
        <v>21.19</v>
      </c>
      <c r="M431" s="13">
        <v>5</v>
      </c>
      <c r="N431" s="13">
        <f t="shared" si="48"/>
        <v>7.90666666666948</v>
      </c>
      <c r="O431" s="13">
        <f t="shared" si="49"/>
        <v>0</v>
      </c>
      <c r="P431" t="str">
        <f t="shared" si="50"/>
        <v>On Time</v>
      </c>
      <c r="Q431" s="13">
        <f t="shared" si="51"/>
        <v>62.883055555459578</v>
      </c>
      <c r="R431" s="13">
        <f t="shared" si="52"/>
        <v>0.26591435185400769</v>
      </c>
      <c r="S431" s="13">
        <f t="shared" si="53"/>
        <v>5.0206250000046566</v>
      </c>
      <c r="T431" t="str">
        <f t="shared" si="54"/>
        <v>On Time/Early</v>
      </c>
      <c r="U431" t="str">
        <f t="shared" si="55"/>
        <v>Normal</v>
      </c>
      <c r="V431" t="s">
        <v>102</v>
      </c>
    </row>
    <row r="432" spans="1:22">
      <c r="A432" t="s">
        <v>805</v>
      </c>
      <c r="B432" s="10">
        <v>42968.000798611109</v>
      </c>
      <c r="C432" s="10">
        <v>42968.038275462961</v>
      </c>
      <c r="D432" s="10">
        <v>42975.814328703702</v>
      </c>
      <c r="E432" s="10">
        <v>42983.768518518518</v>
      </c>
      <c r="F432" s="10">
        <v>42992</v>
      </c>
      <c r="G432" t="s">
        <v>16</v>
      </c>
      <c r="H432" t="s">
        <v>448</v>
      </c>
      <c r="I432" t="s">
        <v>368</v>
      </c>
      <c r="J432" s="11">
        <v>1</v>
      </c>
      <c r="K432" s="12">
        <v>9.99</v>
      </c>
      <c r="L432" s="12">
        <v>15.11</v>
      </c>
      <c r="M432" s="13">
        <v>5</v>
      </c>
      <c r="N432" s="13">
        <f t="shared" si="48"/>
        <v>15.767719907409628</v>
      </c>
      <c r="O432" s="13">
        <f t="shared" si="49"/>
        <v>0</v>
      </c>
      <c r="P432" t="str">
        <f t="shared" si="50"/>
        <v>On Time</v>
      </c>
      <c r="Q432" s="13">
        <f t="shared" si="51"/>
        <v>0.89944444445427507</v>
      </c>
      <c r="R432" s="13">
        <f t="shared" si="52"/>
        <v>7.776053240741021</v>
      </c>
      <c r="S432" s="13">
        <f t="shared" si="53"/>
        <v>7.9541898148163455</v>
      </c>
      <c r="T432" t="str">
        <f t="shared" si="54"/>
        <v>On Time/Early</v>
      </c>
      <c r="U432" t="str">
        <f t="shared" si="55"/>
        <v>Normal</v>
      </c>
      <c r="V432" t="s">
        <v>102</v>
      </c>
    </row>
    <row r="433" spans="1:22">
      <c r="A433" t="s">
        <v>806</v>
      </c>
      <c r="B433" s="10">
        <v>42968.51898148148</v>
      </c>
      <c r="C433" s="10">
        <v>42968.531712962962</v>
      </c>
      <c r="D433" s="10">
        <v>42970.853425925925</v>
      </c>
      <c r="E433" s="10">
        <v>42971.856724537036</v>
      </c>
      <c r="F433" s="10">
        <v>42983</v>
      </c>
      <c r="G433" t="s">
        <v>8</v>
      </c>
      <c r="H433" t="s">
        <v>140</v>
      </c>
      <c r="I433" t="s">
        <v>149</v>
      </c>
      <c r="J433" s="11">
        <v>1</v>
      </c>
      <c r="K433" s="12">
        <v>15</v>
      </c>
      <c r="L433" s="12">
        <v>8.27</v>
      </c>
      <c r="M433" s="13">
        <v>5</v>
      </c>
      <c r="N433" s="13">
        <f t="shared" si="48"/>
        <v>3.3377430555556202</v>
      </c>
      <c r="O433" s="13">
        <f t="shared" si="49"/>
        <v>0</v>
      </c>
      <c r="P433" t="str">
        <f t="shared" si="50"/>
        <v>On Time</v>
      </c>
      <c r="Q433" s="13">
        <f t="shared" si="51"/>
        <v>0.30555555556202307</v>
      </c>
      <c r="R433" s="13">
        <f t="shared" si="52"/>
        <v>2.3217129629629198</v>
      </c>
      <c r="S433" s="13">
        <f t="shared" si="53"/>
        <v>1.0032986111109494</v>
      </c>
      <c r="T433" t="str">
        <f t="shared" si="54"/>
        <v>On Time/Early</v>
      </c>
      <c r="U433" t="str">
        <f t="shared" si="55"/>
        <v>Normal</v>
      </c>
      <c r="V433" t="s">
        <v>102</v>
      </c>
    </row>
    <row r="434" spans="1:22">
      <c r="A434" t="s">
        <v>807</v>
      </c>
      <c r="B434" s="10">
        <v>42968.637569444443</v>
      </c>
      <c r="C434" s="10">
        <v>42968.646122685182</v>
      </c>
      <c r="D434" s="10">
        <v>42969.827615740738</v>
      </c>
      <c r="E434" s="10">
        <v>42977.794942129629</v>
      </c>
      <c r="F434" s="10">
        <v>42993</v>
      </c>
      <c r="G434" t="s">
        <v>320</v>
      </c>
      <c r="H434" t="s">
        <v>321</v>
      </c>
      <c r="I434" t="s">
        <v>58</v>
      </c>
      <c r="J434" s="11">
        <v>1</v>
      </c>
      <c r="K434" s="12">
        <v>46.5</v>
      </c>
      <c r="L434" s="12">
        <v>18.59</v>
      </c>
      <c r="M434" s="13">
        <v>5</v>
      </c>
      <c r="N434" s="13">
        <f t="shared" si="48"/>
        <v>9.1573726851856918</v>
      </c>
      <c r="O434" s="13">
        <f t="shared" si="49"/>
        <v>0</v>
      </c>
      <c r="P434" t="str">
        <f t="shared" si="50"/>
        <v>On Time</v>
      </c>
      <c r="Q434" s="13">
        <f t="shared" si="51"/>
        <v>0.20527777774259448</v>
      </c>
      <c r="R434" s="13">
        <f t="shared" si="52"/>
        <v>1.1814930555556202</v>
      </c>
      <c r="S434" s="13">
        <f t="shared" si="53"/>
        <v>7.9673263888907968</v>
      </c>
      <c r="T434" t="str">
        <f t="shared" si="54"/>
        <v>On Time/Early</v>
      </c>
      <c r="U434" t="str">
        <f t="shared" si="55"/>
        <v>Normal</v>
      </c>
      <c r="V434" t="s">
        <v>102</v>
      </c>
    </row>
    <row r="435" spans="1:22">
      <c r="A435" t="s">
        <v>808</v>
      </c>
      <c r="B435" s="10">
        <v>42969.598240740743</v>
      </c>
      <c r="C435" s="10">
        <v>42971.121817129628</v>
      </c>
      <c r="D435" s="10">
        <v>42983.732499999998</v>
      </c>
      <c r="E435" s="10">
        <v>42991.719560185185</v>
      </c>
      <c r="F435" s="10">
        <v>42990</v>
      </c>
      <c r="G435" t="s">
        <v>8</v>
      </c>
      <c r="H435" t="s">
        <v>724</v>
      </c>
      <c r="I435" t="s">
        <v>101</v>
      </c>
      <c r="J435" s="11">
        <v>6</v>
      </c>
      <c r="K435" s="12">
        <v>77.94</v>
      </c>
      <c r="L435" s="12">
        <v>76.14</v>
      </c>
      <c r="M435" s="13">
        <v>5</v>
      </c>
      <c r="N435" s="13">
        <f t="shared" si="48"/>
        <v>22.121319444442634</v>
      </c>
      <c r="O435" s="13">
        <f t="shared" si="49"/>
        <v>1.7195601851854008</v>
      </c>
      <c r="P435" t="str">
        <f t="shared" si="50"/>
        <v>Delayed</v>
      </c>
      <c r="Q435" s="13">
        <f t="shared" si="51"/>
        <v>36.565833333239425</v>
      </c>
      <c r="R435" s="13">
        <f t="shared" si="52"/>
        <v>12.61068287037051</v>
      </c>
      <c r="S435" s="13">
        <f t="shared" si="53"/>
        <v>7.987060185187147</v>
      </c>
      <c r="T435" t="str">
        <f t="shared" si="54"/>
        <v>1-3 Days Late</v>
      </c>
      <c r="U435" t="str">
        <f t="shared" si="55"/>
        <v>Needs Review</v>
      </c>
      <c r="V435" t="s">
        <v>102</v>
      </c>
    </row>
    <row r="436" spans="1:22">
      <c r="A436" t="s">
        <v>809</v>
      </c>
      <c r="B436" s="10">
        <v>42969.637708333335</v>
      </c>
      <c r="C436" s="10">
        <v>42970.116574074076</v>
      </c>
      <c r="D436" s="10">
        <v>42972.814432870371</v>
      </c>
      <c r="E436" s="10">
        <v>42975.627129629633</v>
      </c>
      <c r="F436" s="10">
        <v>42992</v>
      </c>
      <c r="G436" t="s">
        <v>8</v>
      </c>
      <c r="H436" t="s">
        <v>605</v>
      </c>
      <c r="I436" t="s">
        <v>34</v>
      </c>
      <c r="J436" s="11">
        <v>1</v>
      </c>
      <c r="K436" s="12">
        <v>419.9</v>
      </c>
      <c r="L436" s="12">
        <v>41.87</v>
      </c>
      <c r="M436" s="13">
        <v>4</v>
      </c>
      <c r="N436" s="13">
        <f t="shared" si="48"/>
        <v>5.9894212962972233</v>
      </c>
      <c r="O436" s="13">
        <f t="shared" si="49"/>
        <v>0</v>
      </c>
      <c r="P436" t="str">
        <f t="shared" si="50"/>
        <v>On Time</v>
      </c>
      <c r="Q436" s="13">
        <f t="shared" si="51"/>
        <v>11.492777777777519</v>
      </c>
      <c r="R436" s="13">
        <f t="shared" si="52"/>
        <v>2.697858796294895</v>
      </c>
      <c r="S436" s="13">
        <f t="shared" si="53"/>
        <v>2.8126967592615983</v>
      </c>
      <c r="T436" t="str">
        <f t="shared" si="54"/>
        <v>On Time/Early</v>
      </c>
      <c r="U436" t="str">
        <f t="shared" si="55"/>
        <v>Normal</v>
      </c>
      <c r="V436" t="s">
        <v>102</v>
      </c>
    </row>
    <row r="437" spans="1:22">
      <c r="A437" t="s">
        <v>810</v>
      </c>
      <c r="B437" s="10">
        <v>42969.845532407409</v>
      </c>
      <c r="C437" s="10">
        <v>42970.850856481484</v>
      </c>
      <c r="D437" s="10">
        <v>42971.676006944443</v>
      </c>
      <c r="E437" s="10">
        <v>42976.520833333336</v>
      </c>
      <c r="F437" s="10">
        <v>42990</v>
      </c>
      <c r="G437" t="s">
        <v>8</v>
      </c>
      <c r="H437" t="s">
        <v>140</v>
      </c>
      <c r="I437" t="s">
        <v>221</v>
      </c>
      <c r="J437" s="11">
        <v>1</v>
      </c>
      <c r="K437" s="12">
        <v>229</v>
      </c>
      <c r="L437" s="12">
        <v>13.1</v>
      </c>
      <c r="M437" s="13">
        <v>3</v>
      </c>
      <c r="N437" s="13">
        <f t="shared" si="48"/>
        <v>6.6753009259264218</v>
      </c>
      <c r="O437" s="13">
        <f t="shared" si="49"/>
        <v>0</v>
      </c>
      <c r="P437" t="str">
        <f t="shared" si="50"/>
        <v>On Time</v>
      </c>
      <c r="Q437" s="13">
        <f t="shared" si="51"/>
        <v>24.127777777786832</v>
      </c>
      <c r="R437" s="13">
        <f t="shared" si="52"/>
        <v>0.82515046295884531</v>
      </c>
      <c r="S437" s="13">
        <f t="shared" si="53"/>
        <v>4.8448263888931251</v>
      </c>
      <c r="T437" t="str">
        <f t="shared" si="54"/>
        <v>On Time/Early</v>
      </c>
      <c r="U437" t="str">
        <f t="shared" si="55"/>
        <v>Normal</v>
      </c>
      <c r="V437" t="s">
        <v>102</v>
      </c>
    </row>
    <row r="438" spans="1:22">
      <c r="A438" t="s">
        <v>811</v>
      </c>
      <c r="B438" s="10">
        <v>42969.910185185188</v>
      </c>
      <c r="C438" s="10">
        <v>42969.924004629633</v>
      </c>
      <c r="D438" s="10">
        <v>42971.72078703704</v>
      </c>
      <c r="E438" s="10">
        <v>42975.966874999998</v>
      </c>
      <c r="F438" s="10">
        <v>42990</v>
      </c>
      <c r="G438" t="s">
        <v>8</v>
      </c>
      <c r="H438" t="s">
        <v>812</v>
      </c>
      <c r="I438" t="s">
        <v>34</v>
      </c>
      <c r="J438" s="11">
        <v>1</v>
      </c>
      <c r="K438" s="12">
        <v>40</v>
      </c>
      <c r="L438" s="12">
        <v>38.1</v>
      </c>
      <c r="M438" s="13">
        <v>5</v>
      </c>
      <c r="N438" s="13">
        <f t="shared" si="48"/>
        <v>6.0566898148099426</v>
      </c>
      <c r="O438" s="13">
        <f t="shared" si="49"/>
        <v>0</v>
      </c>
      <c r="P438" t="str">
        <f t="shared" si="50"/>
        <v>On Time</v>
      </c>
      <c r="Q438" s="13">
        <f t="shared" si="51"/>
        <v>0.33166666666511446</v>
      </c>
      <c r="R438" s="13">
        <f t="shared" si="52"/>
        <v>1.7967824074075907</v>
      </c>
      <c r="S438" s="13">
        <f t="shared" si="53"/>
        <v>4.2460879629579722</v>
      </c>
      <c r="T438" t="str">
        <f t="shared" si="54"/>
        <v>On Time/Early</v>
      </c>
      <c r="U438" t="str">
        <f t="shared" si="55"/>
        <v>Normal</v>
      </c>
      <c r="V438" t="s">
        <v>102</v>
      </c>
    </row>
    <row r="439" spans="1:22">
      <c r="A439" t="s">
        <v>813</v>
      </c>
      <c r="B439" s="10">
        <v>42969.987638888888</v>
      </c>
      <c r="C439" s="10">
        <v>42970.022847222222</v>
      </c>
      <c r="D439" s="10">
        <v>42970.98877314815</v>
      </c>
      <c r="E439" s="10">
        <v>42978.856898148151</v>
      </c>
      <c r="F439" s="10">
        <v>42992</v>
      </c>
      <c r="G439" t="s">
        <v>16</v>
      </c>
      <c r="H439" t="s">
        <v>138</v>
      </c>
      <c r="I439" t="s">
        <v>58</v>
      </c>
      <c r="J439" s="11">
        <v>1</v>
      </c>
      <c r="K439" s="12">
        <v>21.99</v>
      </c>
      <c r="L439" s="12">
        <v>14.1</v>
      </c>
      <c r="M439" s="13">
        <v>5</v>
      </c>
      <c r="N439" s="13">
        <f t="shared" si="48"/>
        <v>8.8692592592633446</v>
      </c>
      <c r="O439" s="13">
        <f t="shared" si="49"/>
        <v>0</v>
      </c>
      <c r="P439" t="str">
        <f t="shared" si="50"/>
        <v>On Time</v>
      </c>
      <c r="Q439" s="13">
        <f t="shared" si="51"/>
        <v>0.84500000003026798</v>
      </c>
      <c r="R439" s="13">
        <f t="shared" si="52"/>
        <v>0.96592592592787696</v>
      </c>
      <c r="S439" s="13">
        <f t="shared" si="53"/>
        <v>7.8681250000008731</v>
      </c>
      <c r="T439" t="str">
        <f t="shared" si="54"/>
        <v>On Time/Early</v>
      </c>
      <c r="U439" t="str">
        <f t="shared" si="55"/>
        <v>Normal</v>
      </c>
      <c r="V439" t="s">
        <v>102</v>
      </c>
    </row>
    <row r="440" spans="1:22">
      <c r="A440" t="s">
        <v>814</v>
      </c>
      <c r="B440" s="10">
        <v>42972.033032407409</v>
      </c>
      <c r="C440" s="10">
        <v>42972.038310185184</v>
      </c>
      <c r="D440" s="10">
        <v>42972.778078703705</v>
      </c>
      <c r="E440" s="10">
        <v>42975.859502314815</v>
      </c>
      <c r="F440" s="10">
        <v>42986</v>
      </c>
      <c r="G440" t="s">
        <v>8</v>
      </c>
      <c r="H440" t="s">
        <v>696</v>
      </c>
      <c r="I440" t="s">
        <v>221</v>
      </c>
      <c r="J440" s="11">
        <v>1</v>
      </c>
      <c r="K440" s="12">
        <v>49</v>
      </c>
      <c r="L440" s="12">
        <v>7.78</v>
      </c>
      <c r="M440" s="13">
        <v>5</v>
      </c>
      <c r="N440" s="13">
        <f t="shared" si="48"/>
        <v>3.8264699074061355</v>
      </c>
      <c r="O440" s="13">
        <f t="shared" si="49"/>
        <v>0</v>
      </c>
      <c r="P440" t="str">
        <f t="shared" si="50"/>
        <v>On Time</v>
      </c>
      <c r="Q440" s="13">
        <f t="shared" si="51"/>
        <v>0.12666666659060866</v>
      </c>
      <c r="R440" s="13">
        <f t="shared" si="52"/>
        <v>0.73976851852057735</v>
      </c>
      <c r="S440" s="13">
        <f t="shared" si="53"/>
        <v>3.0814236111109494</v>
      </c>
      <c r="T440" t="str">
        <f t="shared" si="54"/>
        <v>On Time/Early</v>
      </c>
      <c r="U440" t="str">
        <f t="shared" si="55"/>
        <v>Normal</v>
      </c>
      <c r="V440" t="s">
        <v>102</v>
      </c>
    </row>
    <row r="441" spans="1:22">
      <c r="A441" t="s">
        <v>815</v>
      </c>
      <c r="B441" s="10">
        <v>42972.332789351851</v>
      </c>
      <c r="C441" s="10">
        <v>42972.340474537035</v>
      </c>
      <c r="D441" s="10">
        <v>42972.831562500003</v>
      </c>
      <c r="E441" s="10">
        <v>42977.717488425929</v>
      </c>
      <c r="F441" s="10">
        <v>42993</v>
      </c>
      <c r="G441" t="s">
        <v>8</v>
      </c>
      <c r="H441" t="s">
        <v>140</v>
      </c>
      <c r="I441" t="s">
        <v>143</v>
      </c>
      <c r="J441" s="11">
        <v>1</v>
      </c>
      <c r="K441" s="12">
        <v>141.31</v>
      </c>
      <c r="L441" s="12">
        <v>12.49</v>
      </c>
      <c r="M441" s="13">
        <v>4</v>
      </c>
      <c r="N441" s="13">
        <f t="shared" si="48"/>
        <v>5.3846990740785259</v>
      </c>
      <c r="O441" s="13">
        <f t="shared" si="49"/>
        <v>0</v>
      </c>
      <c r="P441" t="str">
        <f t="shared" si="50"/>
        <v>On Time</v>
      </c>
      <c r="Q441" s="13">
        <f t="shared" si="51"/>
        <v>0.1844444444286637</v>
      </c>
      <c r="R441" s="13">
        <f t="shared" si="52"/>
        <v>0.4910879629678675</v>
      </c>
      <c r="S441" s="13">
        <f t="shared" si="53"/>
        <v>4.8859259259261307</v>
      </c>
      <c r="T441" t="str">
        <f t="shared" si="54"/>
        <v>On Time/Early</v>
      </c>
      <c r="U441" t="str">
        <f t="shared" si="55"/>
        <v>Normal</v>
      </c>
      <c r="V441" t="s">
        <v>102</v>
      </c>
    </row>
    <row r="442" spans="1:22">
      <c r="A442" t="s">
        <v>816</v>
      </c>
      <c r="B442" s="10">
        <v>42972.574131944442</v>
      </c>
      <c r="C442" s="10">
        <v>42973.100393518522</v>
      </c>
      <c r="D442" s="10">
        <v>42976.66673611111</v>
      </c>
      <c r="E442" s="10">
        <v>42980.036354166667</v>
      </c>
      <c r="F442" s="10">
        <v>42997</v>
      </c>
      <c r="G442" t="s">
        <v>20</v>
      </c>
      <c r="H442" t="s">
        <v>187</v>
      </c>
      <c r="I442" t="s">
        <v>180</v>
      </c>
      <c r="J442" s="11">
        <v>2</v>
      </c>
      <c r="K442" s="12">
        <v>70.3</v>
      </c>
      <c r="L442" s="12">
        <v>30.2</v>
      </c>
      <c r="M442" s="13">
        <v>4</v>
      </c>
      <c r="N442" s="13">
        <f t="shared" si="48"/>
        <v>7.4622222222242272</v>
      </c>
      <c r="O442" s="13">
        <f t="shared" si="49"/>
        <v>0</v>
      </c>
      <c r="P442" t="str">
        <f t="shared" si="50"/>
        <v>On Time</v>
      </c>
      <c r="Q442" s="13">
        <f t="shared" si="51"/>
        <v>12.630277777905576</v>
      </c>
      <c r="R442" s="13">
        <f t="shared" si="52"/>
        <v>3.5663425925886258</v>
      </c>
      <c r="S442" s="13">
        <f t="shared" si="53"/>
        <v>3.3696180555562023</v>
      </c>
      <c r="T442" t="str">
        <f t="shared" si="54"/>
        <v>On Time/Early</v>
      </c>
      <c r="U442" t="str">
        <f t="shared" si="55"/>
        <v>Normal</v>
      </c>
      <c r="V442" t="s">
        <v>102</v>
      </c>
    </row>
    <row r="443" spans="1:22">
      <c r="A443" t="s">
        <v>817</v>
      </c>
      <c r="B443" s="10">
        <v>42972.633750000001</v>
      </c>
      <c r="C443" s="10">
        <v>42972.645925925928</v>
      </c>
      <c r="D443" s="10">
        <v>42975.892048611109</v>
      </c>
      <c r="E443" s="10">
        <v>42979.835613425923</v>
      </c>
      <c r="F443" s="10">
        <v>42997</v>
      </c>
      <c r="G443" t="s">
        <v>8</v>
      </c>
      <c r="H443" t="s">
        <v>818</v>
      </c>
      <c r="I443" t="s">
        <v>58</v>
      </c>
      <c r="J443" s="11">
        <v>1</v>
      </c>
      <c r="K443" s="12">
        <v>118.9</v>
      </c>
      <c r="L443" s="12">
        <v>18.079999999999998</v>
      </c>
      <c r="M443" s="13">
        <v>5</v>
      </c>
      <c r="N443" s="13">
        <f t="shared" si="48"/>
        <v>7.2018634259220562</v>
      </c>
      <c r="O443" s="13">
        <f t="shared" si="49"/>
        <v>0</v>
      </c>
      <c r="P443" t="str">
        <f t="shared" si="50"/>
        <v>On Time</v>
      </c>
      <c r="Q443" s="13">
        <f t="shared" si="51"/>
        <v>0.29222222225507721</v>
      </c>
      <c r="R443" s="13">
        <f t="shared" si="52"/>
        <v>3.2461226851810352</v>
      </c>
      <c r="S443" s="13">
        <f t="shared" si="53"/>
        <v>3.9435648148137261</v>
      </c>
      <c r="T443" t="str">
        <f t="shared" si="54"/>
        <v>On Time/Early</v>
      </c>
      <c r="U443" t="str">
        <f t="shared" si="55"/>
        <v>Normal</v>
      </c>
      <c r="V443" t="s">
        <v>102</v>
      </c>
    </row>
    <row r="444" spans="1:22">
      <c r="A444" t="s">
        <v>819</v>
      </c>
      <c r="B444" s="10">
        <v>42972.67491898148</v>
      </c>
      <c r="C444" s="10">
        <v>42972.684432870374</v>
      </c>
      <c r="D444" s="10">
        <v>42975.62736111111</v>
      </c>
      <c r="E444" s="10">
        <v>42976.821631944447</v>
      </c>
      <c r="F444" s="10">
        <v>42986</v>
      </c>
      <c r="G444" t="s">
        <v>16</v>
      </c>
      <c r="H444" t="s">
        <v>138</v>
      </c>
      <c r="I444" t="s">
        <v>58</v>
      </c>
      <c r="J444" s="11">
        <v>1</v>
      </c>
      <c r="K444" s="12">
        <v>69.900000000000006</v>
      </c>
      <c r="L444" s="12">
        <v>12.48</v>
      </c>
      <c r="M444" s="13">
        <v>5</v>
      </c>
      <c r="N444" s="13">
        <f t="shared" si="48"/>
        <v>4.1467129629672854</v>
      </c>
      <c r="O444" s="13">
        <f t="shared" si="49"/>
        <v>0</v>
      </c>
      <c r="P444" t="str">
        <f t="shared" si="50"/>
        <v>On Time</v>
      </c>
      <c r="Q444" s="13">
        <f t="shared" si="51"/>
        <v>0.22833333344897255</v>
      </c>
      <c r="R444" s="13">
        <f t="shared" si="52"/>
        <v>2.9429282407363644</v>
      </c>
      <c r="S444" s="13">
        <f t="shared" si="53"/>
        <v>1.1942708333372138</v>
      </c>
      <c r="T444" t="str">
        <f t="shared" si="54"/>
        <v>On Time/Early</v>
      </c>
      <c r="U444" t="str">
        <f t="shared" si="55"/>
        <v>Normal</v>
      </c>
      <c r="V444" t="s">
        <v>102</v>
      </c>
    </row>
    <row r="445" spans="1:22">
      <c r="A445" t="s">
        <v>820</v>
      </c>
      <c r="B445" s="10">
        <v>42973.659849537034</v>
      </c>
      <c r="C445" s="10">
        <v>42973.66988425926</v>
      </c>
      <c r="D445" s="10">
        <v>42975.572870370372</v>
      </c>
      <c r="E445" s="10">
        <v>42977.837407407409</v>
      </c>
      <c r="F445" s="10">
        <v>42992</v>
      </c>
      <c r="G445" t="s">
        <v>8</v>
      </c>
      <c r="H445" t="s">
        <v>821</v>
      </c>
      <c r="I445" t="s">
        <v>141</v>
      </c>
      <c r="J445" s="11">
        <v>1</v>
      </c>
      <c r="K445" s="12">
        <v>54.9</v>
      </c>
      <c r="L445" s="12">
        <v>11.88</v>
      </c>
      <c r="M445" s="13">
        <v>5</v>
      </c>
      <c r="N445" s="13">
        <f t="shared" si="48"/>
        <v>4.177557870374585</v>
      </c>
      <c r="O445" s="13">
        <f t="shared" si="49"/>
        <v>0</v>
      </c>
      <c r="P445" t="str">
        <f t="shared" si="50"/>
        <v>On Time</v>
      </c>
      <c r="Q445" s="13">
        <f t="shared" si="51"/>
        <v>0.24083333340240642</v>
      </c>
      <c r="R445" s="13">
        <f t="shared" si="52"/>
        <v>1.9029861111121136</v>
      </c>
      <c r="S445" s="13">
        <f t="shared" si="53"/>
        <v>2.2645370370373712</v>
      </c>
      <c r="T445" t="str">
        <f t="shared" si="54"/>
        <v>On Time/Early</v>
      </c>
      <c r="U445" t="str">
        <f t="shared" si="55"/>
        <v>Normal</v>
      </c>
      <c r="V445" t="s">
        <v>102</v>
      </c>
    </row>
    <row r="446" spans="1:22">
      <c r="A446" t="s">
        <v>822</v>
      </c>
      <c r="B446" s="10">
        <v>42973.797372685185</v>
      </c>
      <c r="C446" s="10">
        <v>42973.80840277778</v>
      </c>
      <c r="D446" s="10">
        <v>42976.779861111114</v>
      </c>
      <c r="E446" s="10">
        <v>42989.747071759259</v>
      </c>
      <c r="F446" s="10">
        <v>43003</v>
      </c>
      <c r="G446" t="s">
        <v>277</v>
      </c>
      <c r="H446" t="s">
        <v>823</v>
      </c>
      <c r="I446" t="s">
        <v>185</v>
      </c>
      <c r="J446" s="11">
        <v>1</v>
      </c>
      <c r="K446" s="12">
        <v>338</v>
      </c>
      <c r="L446" s="12">
        <v>65.05</v>
      </c>
      <c r="M446" s="13">
        <v>5</v>
      </c>
      <c r="N446" s="13">
        <f t="shared" si="48"/>
        <v>15.949699074073578</v>
      </c>
      <c r="O446" s="13">
        <f t="shared" si="49"/>
        <v>0</v>
      </c>
      <c r="P446" t="str">
        <f t="shared" si="50"/>
        <v>On Time</v>
      </c>
      <c r="Q446" s="13">
        <f t="shared" si="51"/>
        <v>0.2647222222876735</v>
      </c>
      <c r="R446" s="13">
        <f t="shared" si="52"/>
        <v>2.9714583333334303</v>
      </c>
      <c r="S446" s="13">
        <f t="shared" si="53"/>
        <v>12.967210648144828</v>
      </c>
      <c r="T446" t="str">
        <f t="shared" si="54"/>
        <v>On Time/Early</v>
      </c>
      <c r="U446" t="str">
        <f t="shared" si="55"/>
        <v>Normal</v>
      </c>
      <c r="V446" t="s">
        <v>102</v>
      </c>
    </row>
    <row r="447" spans="1:22">
      <c r="A447" t="s">
        <v>824</v>
      </c>
      <c r="B447" s="10">
        <v>42974.594293981485</v>
      </c>
      <c r="C447" s="10">
        <v>42974.600856481484</v>
      </c>
      <c r="D447" s="10">
        <v>42984.89025462963</v>
      </c>
      <c r="E447" s="10">
        <v>42989.803124999999</v>
      </c>
      <c r="F447" s="10">
        <v>42992</v>
      </c>
      <c r="G447" t="s">
        <v>16</v>
      </c>
      <c r="H447" t="s">
        <v>138</v>
      </c>
      <c r="I447" t="s">
        <v>101</v>
      </c>
      <c r="J447" s="11">
        <v>1</v>
      </c>
      <c r="K447" s="12">
        <v>160</v>
      </c>
      <c r="L447" s="12">
        <v>14.87</v>
      </c>
      <c r="M447" s="13">
        <v>2</v>
      </c>
      <c r="N447" s="13">
        <f t="shared" si="48"/>
        <v>15.208831018513592</v>
      </c>
      <c r="O447" s="13">
        <f t="shared" si="49"/>
        <v>0</v>
      </c>
      <c r="P447" t="str">
        <f t="shared" si="50"/>
        <v>On Time</v>
      </c>
      <c r="Q447" s="13">
        <f t="shared" si="51"/>
        <v>0.15749999997206032</v>
      </c>
      <c r="R447" s="13">
        <f t="shared" si="52"/>
        <v>10.289398148146574</v>
      </c>
      <c r="S447" s="13">
        <f t="shared" si="53"/>
        <v>4.9128703703681822</v>
      </c>
      <c r="T447" t="str">
        <f t="shared" si="54"/>
        <v>On Time/Early</v>
      </c>
      <c r="U447" t="str">
        <f t="shared" si="55"/>
        <v>Normal</v>
      </c>
      <c r="V447" t="s">
        <v>102</v>
      </c>
    </row>
    <row r="448" spans="1:22">
      <c r="A448" t="s">
        <v>825</v>
      </c>
      <c r="B448" s="10">
        <v>42974.810254629629</v>
      </c>
      <c r="C448" s="10">
        <v>42974.816284722219</v>
      </c>
      <c r="D448" s="10">
        <v>42975.808032407411</v>
      </c>
      <c r="E448" s="10">
        <v>42977.790405092594</v>
      </c>
      <c r="F448" s="10">
        <v>42992</v>
      </c>
      <c r="G448" t="s">
        <v>8</v>
      </c>
      <c r="H448" t="s">
        <v>140</v>
      </c>
      <c r="I448" t="s">
        <v>136</v>
      </c>
      <c r="J448" s="11">
        <v>1</v>
      </c>
      <c r="K448" s="12">
        <v>59.9</v>
      </c>
      <c r="L448" s="12">
        <v>11.92</v>
      </c>
      <c r="M448" s="13">
        <v>5</v>
      </c>
      <c r="N448" s="13">
        <f t="shared" si="48"/>
        <v>2.9801504629649571</v>
      </c>
      <c r="O448" s="13">
        <f t="shared" si="49"/>
        <v>0</v>
      </c>
      <c r="P448" t="str">
        <f t="shared" si="50"/>
        <v>On Time</v>
      </c>
      <c r="Q448" s="13">
        <f t="shared" si="51"/>
        <v>0.14472222217591479</v>
      </c>
      <c r="R448" s="13">
        <f t="shared" si="52"/>
        <v>0.99174768519151257</v>
      </c>
      <c r="S448" s="13">
        <f t="shared" si="53"/>
        <v>1.9823726851827814</v>
      </c>
      <c r="T448" t="str">
        <f t="shared" si="54"/>
        <v>On Time/Early</v>
      </c>
      <c r="U448" t="str">
        <f t="shared" si="55"/>
        <v>Normal</v>
      </c>
      <c r="V448" t="s">
        <v>102</v>
      </c>
    </row>
    <row r="449" spans="1:22">
      <c r="A449" t="s">
        <v>826</v>
      </c>
      <c r="B449" s="10">
        <v>42975.387824074074</v>
      </c>
      <c r="C449" s="10">
        <v>42975.396041666667</v>
      </c>
      <c r="D449" s="10">
        <v>42976.564965277779</v>
      </c>
      <c r="E449" s="10">
        <v>42996.924756944441</v>
      </c>
      <c r="F449" s="10">
        <v>42997</v>
      </c>
      <c r="G449" t="s">
        <v>277</v>
      </c>
      <c r="H449" t="s">
        <v>335</v>
      </c>
      <c r="I449" t="s">
        <v>34</v>
      </c>
      <c r="J449" s="11">
        <v>1</v>
      </c>
      <c r="K449" s="12">
        <v>59.9</v>
      </c>
      <c r="L449" s="12">
        <v>27.27</v>
      </c>
      <c r="M449" s="13">
        <v>4</v>
      </c>
      <c r="N449" s="13">
        <f t="shared" si="48"/>
        <v>21.536932870367309</v>
      </c>
      <c r="O449" s="13">
        <f t="shared" si="49"/>
        <v>0</v>
      </c>
      <c r="P449" t="str">
        <f t="shared" si="50"/>
        <v>On Time</v>
      </c>
      <c r="Q449" s="13">
        <f t="shared" si="51"/>
        <v>0.19722222222480923</v>
      </c>
      <c r="R449" s="13">
        <f t="shared" si="52"/>
        <v>1.1689236111124046</v>
      </c>
      <c r="S449" s="13">
        <f t="shared" si="53"/>
        <v>20.359791666662204</v>
      </c>
      <c r="T449" t="str">
        <f t="shared" si="54"/>
        <v>On Time/Early</v>
      </c>
      <c r="U449" t="str">
        <f t="shared" si="55"/>
        <v>Normal</v>
      </c>
      <c r="V449" t="s">
        <v>102</v>
      </c>
    </row>
    <row r="450" spans="1:22">
      <c r="A450" t="s">
        <v>827</v>
      </c>
      <c r="B450" s="10">
        <v>42975.957418981481</v>
      </c>
      <c r="C450" s="10">
        <v>42978.635729166665</v>
      </c>
      <c r="D450" s="10">
        <v>42978.888877314814</v>
      </c>
      <c r="E450" s="10">
        <v>42993.854120370372</v>
      </c>
      <c r="F450" s="10">
        <v>43003</v>
      </c>
      <c r="G450" t="s">
        <v>36</v>
      </c>
      <c r="H450" t="s">
        <v>467</v>
      </c>
      <c r="I450" t="s">
        <v>141</v>
      </c>
      <c r="J450" s="11">
        <v>1</v>
      </c>
      <c r="K450" s="12">
        <v>83</v>
      </c>
      <c r="L450" s="12">
        <v>16.829999999999998</v>
      </c>
      <c r="M450" s="13">
        <v>4</v>
      </c>
      <c r="N450" s="13">
        <f t="shared" ref="N450:N513" si="56">IFERROR(E450-B450,"")</f>
        <v>17.896701388890506</v>
      </c>
      <c r="O450" s="13">
        <f t="shared" ref="O450:O513" si="57">IFERROR(MAX(0,E450-F450),"")</f>
        <v>0</v>
      </c>
      <c r="P450" t="str">
        <f t="shared" ref="P450:P513" si="58">IF(O450&gt;0,"Delayed","On Time")</f>
        <v>On Time</v>
      </c>
      <c r="Q450" s="13">
        <f t="shared" ref="Q450:Q513" si="59">IFERROR((C450-B450)*24,"")</f>
        <v>64.279444444400724</v>
      </c>
      <c r="R450" s="13">
        <f t="shared" ref="R450:R513" si="60">IFERROR(D450-C450,"")</f>
        <v>0.25314814814919373</v>
      </c>
      <c r="S450" s="13">
        <f t="shared" ref="S450:S513" si="61">IFERROR(E450-D450,"")</f>
        <v>14.965243055557949</v>
      </c>
      <c r="T450" t="str">
        <f t="shared" ref="T450:T513" si="62">IF(O450=0,"On Time/Early",IF(O450&lt;=3,"1-3 Days Late",IF(O450&lt;=7,"4-7 Days Late","8+ Days Late")))</f>
        <v>On Time/Early</v>
      </c>
      <c r="U450" t="str">
        <f t="shared" ref="U450:U513" si="63">IF(P450="Delayed","Needs Review","Normal")</f>
        <v>Normal</v>
      </c>
      <c r="V450" t="s">
        <v>102</v>
      </c>
    </row>
    <row r="451" spans="1:22">
      <c r="A451" t="s">
        <v>828</v>
      </c>
      <c r="B451" s="10">
        <v>42976.350104166668</v>
      </c>
      <c r="C451" s="10">
        <v>42976.357743055552</v>
      </c>
      <c r="D451" s="10">
        <v>42976.776689814818</v>
      </c>
      <c r="E451" s="10">
        <v>42983.781712962962</v>
      </c>
      <c r="F451" s="10">
        <v>42998</v>
      </c>
      <c r="G451" t="s">
        <v>20</v>
      </c>
      <c r="H451" t="s">
        <v>829</v>
      </c>
      <c r="I451" t="s">
        <v>221</v>
      </c>
      <c r="J451" s="11">
        <v>1</v>
      </c>
      <c r="K451" s="12">
        <v>56</v>
      </c>
      <c r="L451" s="12">
        <v>15.14</v>
      </c>
      <c r="M451" s="13">
        <v>5</v>
      </c>
      <c r="N451" s="13">
        <f t="shared" si="56"/>
        <v>7.4316087962943129</v>
      </c>
      <c r="O451" s="13">
        <f t="shared" si="57"/>
        <v>0</v>
      </c>
      <c r="P451" t="str">
        <f t="shared" si="58"/>
        <v>On Time</v>
      </c>
      <c r="Q451" s="13">
        <f t="shared" si="59"/>
        <v>0.18333333323244005</v>
      </c>
      <c r="R451" s="13">
        <f t="shared" si="60"/>
        <v>0.41894675926596392</v>
      </c>
      <c r="S451" s="13">
        <f t="shared" si="61"/>
        <v>7.005023148143664</v>
      </c>
      <c r="T451" t="str">
        <f t="shared" si="62"/>
        <v>On Time/Early</v>
      </c>
      <c r="U451" t="str">
        <f t="shared" si="63"/>
        <v>Normal</v>
      </c>
      <c r="V451" t="s">
        <v>102</v>
      </c>
    </row>
    <row r="452" spans="1:22">
      <c r="A452" t="s">
        <v>830</v>
      </c>
      <c r="B452" s="10">
        <v>42977.491296296299</v>
      </c>
      <c r="C452" s="10">
        <v>42977.534930555557</v>
      </c>
      <c r="D452" s="10">
        <v>42978.900023148148</v>
      </c>
      <c r="E452" s="10">
        <v>42984.837592592594</v>
      </c>
      <c r="F452" s="10">
        <v>43004</v>
      </c>
      <c r="G452" t="s">
        <v>8</v>
      </c>
      <c r="H452" t="s">
        <v>831</v>
      </c>
      <c r="I452" t="s">
        <v>34</v>
      </c>
      <c r="J452" s="11">
        <v>1</v>
      </c>
      <c r="K452" s="12">
        <v>29.99</v>
      </c>
      <c r="L452" s="12">
        <v>16.79</v>
      </c>
      <c r="M452" s="13">
        <v>5</v>
      </c>
      <c r="N452" s="13">
        <f t="shared" si="56"/>
        <v>7.346296296294895</v>
      </c>
      <c r="O452" s="13">
        <f t="shared" si="57"/>
        <v>0</v>
      </c>
      <c r="P452" t="str">
        <f t="shared" si="58"/>
        <v>On Time</v>
      </c>
      <c r="Q452" s="13">
        <f t="shared" si="59"/>
        <v>1.0472222222015262</v>
      </c>
      <c r="R452" s="13">
        <f t="shared" si="60"/>
        <v>1.3650925925903721</v>
      </c>
      <c r="S452" s="13">
        <f t="shared" si="61"/>
        <v>5.937569444446126</v>
      </c>
      <c r="T452" t="str">
        <f t="shared" si="62"/>
        <v>On Time/Early</v>
      </c>
      <c r="U452" t="str">
        <f t="shared" si="63"/>
        <v>Normal</v>
      </c>
      <c r="V452" t="s">
        <v>102</v>
      </c>
    </row>
    <row r="453" spans="1:22">
      <c r="A453" t="s">
        <v>832</v>
      </c>
      <c r="B453" s="10">
        <v>42977.744097222225</v>
      </c>
      <c r="C453" s="10">
        <v>42977.755532407406</v>
      </c>
      <c r="D453" s="10">
        <v>42978.886064814818</v>
      </c>
      <c r="E453" s="10">
        <v>42984.755543981482</v>
      </c>
      <c r="F453" s="10">
        <v>43000</v>
      </c>
      <c r="G453" t="s">
        <v>16</v>
      </c>
      <c r="H453" t="s">
        <v>833</v>
      </c>
      <c r="I453" t="s">
        <v>128</v>
      </c>
      <c r="J453" s="11">
        <v>1</v>
      </c>
      <c r="K453" s="12">
        <v>169.99</v>
      </c>
      <c r="L453" s="12">
        <v>28.57</v>
      </c>
      <c r="M453" s="13">
        <v>5</v>
      </c>
      <c r="N453" s="13">
        <f t="shared" si="56"/>
        <v>7.0114467592575238</v>
      </c>
      <c r="O453" s="13">
        <f t="shared" si="57"/>
        <v>0</v>
      </c>
      <c r="P453" t="str">
        <f t="shared" si="58"/>
        <v>On Time</v>
      </c>
      <c r="Q453" s="13">
        <f t="shared" si="59"/>
        <v>0.27444444433785975</v>
      </c>
      <c r="R453" s="13">
        <f t="shared" si="60"/>
        <v>1.1305324074128293</v>
      </c>
      <c r="S453" s="13">
        <f t="shared" si="61"/>
        <v>5.8694791666639503</v>
      </c>
      <c r="T453" t="str">
        <f t="shared" si="62"/>
        <v>On Time/Early</v>
      </c>
      <c r="U453" t="str">
        <f t="shared" si="63"/>
        <v>Normal</v>
      </c>
      <c r="V453" t="s">
        <v>102</v>
      </c>
    </row>
    <row r="454" spans="1:22">
      <c r="A454" t="s">
        <v>834</v>
      </c>
      <c r="B454" s="10">
        <v>42977.854039351849</v>
      </c>
      <c r="C454" s="10">
        <v>42979.191145833334</v>
      </c>
      <c r="D454" s="10">
        <v>42979.817037037035</v>
      </c>
      <c r="E454" s="10">
        <v>42997.641006944446</v>
      </c>
      <c r="F454" s="10">
        <v>43005</v>
      </c>
      <c r="G454" t="s">
        <v>474</v>
      </c>
      <c r="H454" t="s">
        <v>835</v>
      </c>
      <c r="I454" t="s">
        <v>836</v>
      </c>
      <c r="J454" s="11">
        <v>1</v>
      </c>
      <c r="K454" s="12">
        <v>205.9</v>
      </c>
      <c r="L454" s="12">
        <v>108.47</v>
      </c>
      <c r="M454" s="13">
        <v>1</v>
      </c>
      <c r="N454" s="13">
        <f t="shared" si="56"/>
        <v>19.786967592597648</v>
      </c>
      <c r="O454" s="13">
        <f t="shared" si="57"/>
        <v>0</v>
      </c>
      <c r="P454" t="str">
        <f t="shared" si="58"/>
        <v>On Time</v>
      </c>
      <c r="Q454" s="13">
        <f t="shared" si="59"/>
        <v>32.090555555652827</v>
      </c>
      <c r="R454" s="13">
        <f t="shared" si="60"/>
        <v>0.62589120370103046</v>
      </c>
      <c r="S454" s="13">
        <f t="shared" si="61"/>
        <v>17.823969907411083</v>
      </c>
      <c r="T454" t="str">
        <f t="shared" si="62"/>
        <v>On Time/Early</v>
      </c>
      <c r="U454" t="str">
        <f t="shared" si="63"/>
        <v>Normal</v>
      </c>
      <c r="V454" t="s">
        <v>102</v>
      </c>
    </row>
    <row r="455" spans="1:22">
      <c r="A455" t="s">
        <v>837</v>
      </c>
      <c r="B455" s="10">
        <v>42978.679050925923</v>
      </c>
      <c r="C455" s="10">
        <v>42979.104363425926</v>
      </c>
      <c r="D455" s="10">
        <v>42979.649074074077</v>
      </c>
      <c r="E455" s="10">
        <v>42982.831655092596</v>
      </c>
      <c r="F455" s="10">
        <v>42991</v>
      </c>
      <c r="G455" t="s">
        <v>8</v>
      </c>
      <c r="H455" t="s">
        <v>140</v>
      </c>
      <c r="I455" t="s">
        <v>58</v>
      </c>
      <c r="J455" s="11">
        <v>1</v>
      </c>
      <c r="K455" s="12">
        <v>102</v>
      </c>
      <c r="L455" s="12">
        <v>10.130000000000001</v>
      </c>
      <c r="M455" s="13">
        <v>5</v>
      </c>
      <c r="N455" s="13">
        <f t="shared" si="56"/>
        <v>4.1526041666729725</v>
      </c>
      <c r="O455" s="13">
        <f t="shared" si="57"/>
        <v>0</v>
      </c>
      <c r="P455" t="str">
        <f t="shared" si="58"/>
        <v>On Time</v>
      </c>
      <c r="Q455" s="13">
        <f t="shared" si="59"/>
        <v>10.207500000076834</v>
      </c>
      <c r="R455" s="13">
        <f t="shared" si="60"/>
        <v>0.54471064815152204</v>
      </c>
      <c r="S455" s="13">
        <f t="shared" si="61"/>
        <v>3.182581018518249</v>
      </c>
      <c r="T455" t="str">
        <f t="shared" si="62"/>
        <v>On Time/Early</v>
      </c>
      <c r="U455" t="str">
        <f t="shared" si="63"/>
        <v>Normal</v>
      </c>
      <c r="V455" t="s">
        <v>102</v>
      </c>
    </row>
    <row r="456" spans="1:22">
      <c r="A456" t="s">
        <v>838</v>
      </c>
      <c r="B456" s="10">
        <v>42979.319756944446</v>
      </c>
      <c r="C456" s="10">
        <v>42979.326724537037</v>
      </c>
      <c r="D456" s="10">
        <v>42983.915196759262</v>
      </c>
      <c r="E456" s="10">
        <v>42990.814942129633</v>
      </c>
      <c r="F456" s="10">
        <v>43000</v>
      </c>
      <c r="G456" t="s">
        <v>20</v>
      </c>
      <c r="H456" t="s">
        <v>104</v>
      </c>
      <c r="I456" t="s">
        <v>123</v>
      </c>
      <c r="J456" s="11">
        <v>1</v>
      </c>
      <c r="K456" s="12">
        <v>169</v>
      </c>
      <c r="L456" s="12">
        <v>21.67</v>
      </c>
      <c r="M456" s="13">
        <v>4</v>
      </c>
      <c r="N456" s="13">
        <f t="shared" si="56"/>
        <v>11.495185185187438</v>
      </c>
      <c r="O456" s="13">
        <f t="shared" si="57"/>
        <v>0</v>
      </c>
      <c r="P456" t="str">
        <f t="shared" si="58"/>
        <v>On Time</v>
      </c>
      <c r="Q456" s="13">
        <f t="shared" si="59"/>
        <v>0.16722222219686955</v>
      </c>
      <c r="R456" s="13">
        <f t="shared" si="60"/>
        <v>4.5884722222253913</v>
      </c>
      <c r="S456" s="13">
        <f t="shared" si="61"/>
        <v>6.8997453703705105</v>
      </c>
      <c r="T456" t="str">
        <f t="shared" si="62"/>
        <v>On Time/Early</v>
      </c>
      <c r="U456" t="str">
        <f t="shared" si="63"/>
        <v>Normal</v>
      </c>
      <c r="V456" t="s">
        <v>102</v>
      </c>
    </row>
    <row r="457" spans="1:22">
      <c r="A457" t="s">
        <v>839</v>
      </c>
      <c r="B457" s="10">
        <v>42980.842800925922</v>
      </c>
      <c r="C457" s="10">
        <v>42982.711516203701</v>
      </c>
      <c r="D457" s="10">
        <v>42983.797268518516</v>
      </c>
      <c r="E457" s="10">
        <v>42992.753472222219</v>
      </c>
      <c r="F457" s="10">
        <v>42999</v>
      </c>
      <c r="G457" t="s">
        <v>8</v>
      </c>
      <c r="H457" t="s">
        <v>140</v>
      </c>
      <c r="I457" t="s">
        <v>180</v>
      </c>
      <c r="J457" s="11">
        <v>2</v>
      </c>
      <c r="K457" s="12">
        <v>269.8</v>
      </c>
      <c r="L457" s="12">
        <v>27.92</v>
      </c>
      <c r="M457" s="13">
        <v>5</v>
      </c>
      <c r="N457" s="13">
        <f t="shared" si="56"/>
        <v>11.910671296296641</v>
      </c>
      <c r="O457" s="13">
        <f t="shared" si="57"/>
        <v>0</v>
      </c>
      <c r="P457" t="str">
        <f t="shared" si="58"/>
        <v>On Time</v>
      </c>
      <c r="Q457" s="13">
        <f t="shared" si="59"/>
        <v>44.849166666681413</v>
      </c>
      <c r="R457" s="13">
        <f t="shared" si="60"/>
        <v>1.0857523148151813</v>
      </c>
      <c r="S457" s="13">
        <f t="shared" si="61"/>
        <v>8.9562037037030677</v>
      </c>
      <c r="T457" t="str">
        <f t="shared" si="62"/>
        <v>On Time/Early</v>
      </c>
      <c r="U457" t="str">
        <f t="shared" si="63"/>
        <v>Normal</v>
      </c>
      <c r="V457" t="s">
        <v>102</v>
      </c>
    </row>
    <row r="458" spans="1:22">
      <c r="A458" t="s">
        <v>840</v>
      </c>
      <c r="B458" s="10">
        <v>42980.859733796293</v>
      </c>
      <c r="C458" s="10">
        <v>42980.871180555558</v>
      </c>
      <c r="D458" s="10">
        <v>42985.00304398148</v>
      </c>
      <c r="E458" s="10">
        <v>42990.746874999997</v>
      </c>
      <c r="F458" s="10">
        <v>43005</v>
      </c>
      <c r="G458" t="s">
        <v>8</v>
      </c>
      <c r="H458" t="s">
        <v>182</v>
      </c>
      <c r="I458" t="s">
        <v>841</v>
      </c>
      <c r="J458" s="11">
        <v>1</v>
      </c>
      <c r="K458" s="12">
        <v>1300</v>
      </c>
      <c r="L458" s="12">
        <v>38.51</v>
      </c>
      <c r="M458" s="13">
        <v>5</v>
      </c>
      <c r="N458" s="13">
        <f t="shared" si="56"/>
        <v>9.8871412037042319</v>
      </c>
      <c r="O458" s="13">
        <f t="shared" si="57"/>
        <v>0</v>
      </c>
      <c r="P458" t="str">
        <f t="shared" si="58"/>
        <v>On Time</v>
      </c>
      <c r="Q458" s="13">
        <f t="shared" si="59"/>
        <v>0.27472222235519439</v>
      </c>
      <c r="R458" s="13">
        <f t="shared" si="60"/>
        <v>4.1318634259223472</v>
      </c>
      <c r="S458" s="13">
        <f t="shared" si="61"/>
        <v>5.7438310185170849</v>
      </c>
      <c r="T458" t="str">
        <f t="shared" si="62"/>
        <v>On Time/Early</v>
      </c>
      <c r="U458" t="str">
        <f t="shared" si="63"/>
        <v>Normal</v>
      </c>
      <c r="V458" t="s">
        <v>102</v>
      </c>
    </row>
    <row r="459" spans="1:22">
      <c r="A459" t="s">
        <v>842</v>
      </c>
      <c r="B459" s="10">
        <v>42981.112800925926</v>
      </c>
      <c r="C459" s="10">
        <v>42981.121608796297</v>
      </c>
      <c r="D459" s="10">
        <v>42984.779583333337</v>
      </c>
      <c r="E459" s="10">
        <v>43048.065138888887</v>
      </c>
      <c r="F459" s="10">
        <v>43024</v>
      </c>
      <c r="G459" t="s">
        <v>843</v>
      </c>
      <c r="H459" t="s">
        <v>844</v>
      </c>
      <c r="I459" t="s">
        <v>841</v>
      </c>
      <c r="J459" s="11">
        <v>1</v>
      </c>
      <c r="K459" s="12">
        <v>1200</v>
      </c>
      <c r="L459" s="12">
        <v>51.7</v>
      </c>
      <c r="M459" s="13">
        <v>1</v>
      </c>
      <c r="N459" s="13">
        <f t="shared" si="56"/>
        <v>66.952337962960883</v>
      </c>
      <c r="O459" s="13">
        <f t="shared" si="57"/>
        <v>24.065138888887304</v>
      </c>
      <c r="P459" t="str">
        <f t="shared" si="58"/>
        <v>Delayed</v>
      </c>
      <c r="Q459" s="13">
        <f t="shared" si="59"/>
        <v>0.21138888888526708</v>
      </c>
      <c r="R459" s="13">
        <f t="shared" si="60"/>
        <v>3.6579745370399905</v>
      </c>
      <c r="S459" s="13">
        <f t="shared" si="61"/>
        <v>63.285555555550673</v>
      </c>
      <c r="T459" t="str">
        <f t="shared" si="62"/>
        <v>8+ Days Late</v>
      </c>
      <c r="U459" t="str">
        <f t="shared" si="63"/>
        <v>Needs Review</v>
      </c>
      <c r="V459" t="s">
        <v>102</v>
      </c>
    </row>
    <row r="460" spans="1:22">
      <c r="A460" t="s">
        <v>845</v>
      </c>
      <c r="B460" s="10">
        <v>42982.510740740741</v>
      </c>
      <c r="C460" s="10">
        <v>42984.118356481478</v>
      </c>
      <c r="D460" s="10">
        <v>42990.569004629629</v>
      </c>
      <c r="E460" s="10">
        <v>42997.823506944442</v>
      </c>
      <c r="F460" s="10">
        <v>43007</v>
      </c>
      <c r="G460" t="s">
        <v>8</v>
      </c>
      <c r="H460" t="s">
        <v>846</v>
      </c>
      <c r="I460" t="s">
        <v>101</v>
      </c>
      <c r="J460" s="11">
        <v>1</v>
      </c>
      <c r="K460" s="12">
        <v>59.9</v>
      </c>
      <c r="L460" s="12">
        <v>13.44</v>
      </c>
      <c r="M460" s="13">
        <v>5</v>
      </c>
      <c r="N460" s="13">
        <f t="shared" si="56"/>
        <v>15.312766203700448</v>
      </c>
      <c r="O460" s="13">
        <f t="shared" si="57"/>
        <v>0</v>
      </c>
      <c r="P460" t="str">
        <f t="shared" si="58"/>
        <v>On Time</v>
      </c>
      <c r="Q460" s="13">
        <f t="shared" si="59"/>
        <v>38.582777777686715</v>
      </c>
      <c r="R460" s="13">
        <f t="shared" si="60"/>
        <v>6.450648148151231</v>
      </c>
      <c r="S460" s="13">
        <f t="shared" si="61"/>
        <v>7.2545023148122709</v>
      </c>
      <c r="T460" t="str">
        <f t="shared" si="62"/>
        <v>On Time/Early</v>
      </c>
      <c r="U460" t="str">
        <f t="shared" si="63"/>
        <v>Normal</v>
      </c>
      <c r="V460" t="s">
        <v>102</v>
      </c>
    </row>
    <row r="461" spans="1:22">
      <c r="A461" t="s">
        <v>847</v>
      </c>
      <c r="B461" s="10">
        <v>42982.670844907407</v>
      </c>
      <c r="C461" s="10">
        <v>42982.683749999997</v>
      </c>
      <c r="D461" s="10">
        <v>42986.629756944443</v>
      </c>
      <c r="E461" s="10">
        <v>42996.803414351853</v>
      </c>
      <c r="F461" s="10">
        <v>43000</v>
      </c>
      <c r="G461" t="s">
        <v>16</v>
      </c>
      <c r="H461" t="s">
        <v>559</v>
      </c>
      <c r="I461" t="s">
        <v>235</v>
      </c>
      <c r="J461" s="11">
        <v>1</v>
      </c>
      <c r="K461" s="12">
        <v>32.99</v>
      </c>
      <c r="L461" s="12">
        <v>14.1</v>
      </c>
      <c r="M461" s="13">
        <v>1</v>
      </c>
      <c r="N461" s="13">
        <f t="shared" si="56"/>
        <v>14.132569444445835</v>
      </c>
      <c r="O461" s="13">
        <f t="shared" si="57"/>
        <v>0</v>
      </c>
      <c r="P461" t="str">
        <f t="shared" si="58"/>
        <v>On Time</v>
      </c>
      <c r="Q461" s="13">
        <f t="shared" si="59"/>
        <v>0.30972222215496004</v>
      </c>
      <c r="R461" s="13">
        <f t="shared" si="60"/>
        <v>3.9460069444467081</v>
      </c>
      <c r="S461" s="13">
        <f t="shared" si="61"/>
        <v>10.173657407409337</v>
      </c>
      <c r="T461" t="str">
        <f t="shared" si="62"/>
        <v>On Time/Early</v>
      </c>
      <c r="U461" t="str">
        <f t="shared" si="63"/>
        <v>Normal</v>
      </c>
      <c r="V461" t="s">
        <v>102</v>
      </c>
    </row>
    <row r="462" spans="1:22">
      <c r="A462" t="s">
        <v>848</v>
      </c>
      <c r="B462" s="10">
        <v>42982.853854166664</v>
      </c>
      <c r="C462" s="10">
        <v>42984.118333333332</v>
      </c>
      <c r="D462" s="10">
        <v>42984.757002314815</v>
      </c>
      <c r="E462" s="10">
        <v>42989.871354166666</v>
      </c>
      <c r="F462" s="10">
        <v>43004</v>
      </c>
      <c r="G462" t="s">
        <v>16</v>
      </c>
      <c r="H462" t="s">
        <v>138</v>
      </c>
      <c r="I462" t="s">
        <v>112</v>
      </c>
      <c r="J462" s="11">
        <v>1</v>
      </c>
      <c r="K462" s="12">
        <v>69.900000000000006</v>
      </c>
      <c r="L462" s="12">
        <v>16.25</v>
      </c>
      <c r="M462" s="13">
        <v>5</v>
      </c>
      <c r="N462" s="13">
        <f t="shared" si="56"/>
        <v>7.0175000000017462</v>
      </c>
      <c r="O462" s="13">
        <f t="shared" si="57"/>
        <v>0</v>
      </c>
      <c r="P462" t="str">
        <f t="shared" si="58"/>
        <v>On Time</v>
      </c>
      <c r="Q462" s="13">
        <f t="shared" si="59"/>
        <v>30.347500000032596</v>
      </c>
      <c r="R462" s="13">
        <f t="shared" si="60"/>
        <v>0.63866898148262408</v>
      </c>
      <c r="S462" s="13">
        <f t="shared" si="61"/>
        <v>5.1143518518510973</v>
      </c>
      <c r="T462" t="str">
        <f t="shared" si="62"/>
        <v>On Time/Early</v>
      </c>
      <c r="U462" t="str">
        <f t="shared" si="63"/>
        <v>Normal</v>
      </c>
      <c r="V462" t="s">
        <v>102</v>
      </c>
    </row>
    <row r="463" spans="1:22">
      <c r="A463" t="s">
        <v>849</v>
      </c>
      <c r="B463" s="10">
        <v>42983.377962962964</v>
      </c>
      <c r="C463" s="10">
        <v>42983.385659722226</v>
      </c>
      <c r="D463" s="10">
        <v>42991.753587962965</v>
      </c>
      <c r="E463" s="10">
        <v>42996.404444444444</v>
      </c>
      <c r="F463" s="10">
        <v>43003</v>
      </c>
      <c r="G463" t="s">
        <v>8</v>
      </c>
      <c r="H463" t="s">
        <v>140</v>
      </c>
      <c r="I463" t="s">
        <v>58</v>
      </c>
      <c r="J463" s="11">
        <v>1</v>
      </c>
      <c r="K463" s="12">
        <v>24.99</v>
      </c>
      <c r="L463" s="12">
        <v>24.66</v>
      </c>
      <c r="M463" s="13">
        <v>5</v>
      </c>
      <c r="N463" s="13">
        <f t="shared" si="56"/>
        <v>13.026481481480005</v>
      </c>
      <c r="O463" s="13">
        <f t="shared" si="57"/>
        <v>0</v>
      </c>
      <c r="P463" t="str">
        <f t="shared" si="58"/>
        <v>On Time</v>
      </c>
      <c r="Q463" s="13">
        <f t="shared" si="59"/>
        <v>0.18472222227137536</v>
      </c>
      <c r="R463" s="13">
        <f t="shared" si="60"/>
        <v>8.3679282407392748</v>
      </c>
      <c r="S463" s="13">
        <f t="shared" si="61"/>
        <v>4.6508564814794227</v>
      </c>
      <c r="T463" t="str">
        <f t="shared" si="62"/>
        <v>On Time/Early</v>
      </c>
      <c r="U463" t="str">
        <f t="shared" si="63"/>
        <v>Normal</v>
      </c>
      <c r="V463" t="s">
        <v>102</v>
      </c>
    </row>
    <row r="464" spans="1:22">
      <c r="A464" t="s">
        <v>850</v>
      </c>
      <c r="B464" s="10">
        <v>42983.630416666667</v>
      </c>
      <c r="C464" s="10">
        <v>42983.642604166664</v>
      </c>
      <c r="D464" s="10">
        <v>42987.571261574078</v>
      </c>
      <c r="E464" s="10">
        <v>42998.846388888887</v>
      </c>
      <c r="F464" s="10">
        <v>43004</v>
      </c>
      <c r="G464" t="s">
        <v>50</v>
      </c>
      <c r="H464" t="s">
        <v>414</v>
      </c>
      <c r="I464" t="s">
        <v>180</v>
      </c>
      <c r="J464" s="11">
        <v>1</v>
      </c>
      <c r="K464" s="12">
        <v>69.900000000000006</v>
      </c>
      <c r="L464" s="12">
        <v>27.03</v>
      </c>
      <c r="M464" s="13">
        <v>5</v>
      </c>
      <c r="N464" s="13">
        <f t="shared" si="56"/>
        <v>15.215972222220444</v>
      </c>
      <c r="O464" s="13">
        <f t="shared" si="57"/>
        <v>0</v>
      </c>
      <c r="P464" t="str">
        <f t="shared" si="58"/>
        <v>On Time</v>
      </c>
      <c r="Q464" s="13">
        <f t="shared" si="59"/>
        <v>0.29249999992316589</v>
      </c>
      <c r="R464" s="13">
        <f t="shared" si="60"/>
        <v>3.9286574074139935</v>
      </c>
      <c r="S464" s="13">
        <f t="shared" si="61"/>
        <v>11.275127314809652</v>
      </c>
      <c r="T464" t="str">
        <f t="shared" si="62"/>
        <v>On Time/Early</v>
      </c>
      <c r="U464" t="str">
        <f t="shared" si="63"/>
        <v>Normal</v>
      </c>
      <c r="V464" t="s">
        <v>102</v>
      </c>
    </row>
    <row r="465" spans="1:22">
      <c r="A465" t="s">
        <v>851</v>
      </c>
      <c r="B465" s="10">
        <v>42983.670636574076</v>
      </c>
      <c r="C465" s="10">
        <v>42985.122187499997</v>
      </c>
      <c r="D465" s="10">
        <v>42993.967407407406</v>
      </c>
      <c r="E465" s="10">
        <v>43005.741620370369</v>
      </c>
      <c r="F465" s="10">
        <v>43012</v>
      </c>
      <c r="G465" t="s">
        <v>16</v>
      </c>
      <c r="H465" t="s">
        <v>852</v>
      </c>
      <c r="I465" t="s">
        <v>128</v>
      </c>
      <c r="J465" s="11">
        <v>1</v>
      </c>
      <c r="K465" s="12">
        <v>224.9</v>
      </c>
      <c r="L465" s="12">
        <v>16.32</v>
      </c>
      <c r="M465" s="13">
        <v>5</v>
      </c>
      <c r="N465" s="13">
        <f t="shared" si="56"/>
        <v>22.070983796293149</v>
      </c>
      <c r="O465" s="13">
        <f t="shared" si="57"/>
        <v>0</v>
      </c>
      <c r="P465" t="str">
        <f t="shared" si="58"/>
        <v>On Time</v>
      </c>
      <c r="Q465" s="13">
        <f t="shared" si="59"/>
        <v>34.837222222122364</v>
      </c>
      <c r="R465" s="13">
        <f t="shared" si="60"/>
        <v>8.8452199074090458</v>
      </c>
      <c r="S465" s="13">
        <f t="shared" si="61"/>
        <v>11.774212962962338</v>
      </c>
      <c r="T465" t="str">
        <f t="shared" si="62"/>
        <v>On Time/Early</v>
      </c>
      <c r="U465" t="str">
        <f t="shared" si="63"/>
        <v>Normal</v>
      </c>
      <c r="V465" t="s">
        <v>102</v>
      </c>
    </row>
    <row r="466" spans="1:22">
      <c r="A466" t="s">
        <v>853</v>
      </c>
      <c r="B466" s="10">
        <v>42984.002511574072</v>
      </c>
      <c r="C466" s="10">
        <v>42984.231238425928</v>
      </c>
      <c r="D466" s="10">
        <v>42984.756990740738</v>
      </c>
      <c r="E466" s="10">
        <v>42989.865173611113</v>
      </c>
      <c r="F466" s="10">
        <v>43006</v>
      </c>
      <c r="G466" t="s">
        <v>16</v>
      </c>
      <c r="H466" t="s">
        <v>138</v>
      </c>
      <c r="I466" t="s">
        <v>112</v>
      </c>
      <c r="J466" s="11">
        <v>1</v>
      </c>
      <c r="K466" s="12">
        <v>55</v>
      </c>
      <c r="L466" s="12">
        <v>16.149999999999999</v>
      </c>
      <c r="M466" s="13">
        <v>5</v>
      </c>
      <c r="N466" s="13">
        <f t="shared" si="56"/>
        <v>5.8626620370414457</v>
      </c>
      <c r="O466" s="13">
        <f t="shared" si="57"/>
        <v>0</v>
      </c>
      <c r="P466" t="str">
        <f t="shared" si="58"/>
        <v>On Time</v>
      </c>
      <c r="Q466" s="13">
        <f t="shared" si="59"/>
        <v>5.4894444445380941</v>
      </c>
      <c r="R466" s="13">
        <f t="shared" si="60"/>
        <v>0.52575231481023366</v>
      </c>
      <c r="S466" s="13">
        <f t="shared" si="61"/>
        <v>5.1081828703754582</v>
      </c>
      <c r="T466" t="str">
        <f t="shared" si="62"/>
        <v>On Time/Early</v>
      </c>
      <c r="U466" t="str">
        <f t="shared" si="63"/>
        <v>Normal</v>
      </c>
      <c r="V466" t="s">
        <v>102</v>
      </c>
    </row>
    <row r="467" spans="1:22">
      <c r="A467" t="s">
        <v>854</v>
      </c>
      <c r="B467" s="10">
        <v>42984.511620370373</v>
      </c>
      <c r="C467" s="10">
        <v>42985.440462962964</v>
      </c>
      <c r="D467" s="10">
        <v>42986.672037037039</v>
      </c>
      <c r="E467" s="10">
        <v>42996.904641203706</v>
      </c>
      <c r="F467" s="10">
        <v>43012</v>
      </c>
      <c r="G467" t="s">
        <v>134</v>
      </c>
      <c r="H467" t="s">
        <v>855</v>
      </c>
      <c r="I467" t="s">
        <v>112</v>
      </c>
      <c r="J467" s="11">
        <v>2</v>
      </c>
      <c r="K467" s="12">
        <v>164.9</v>
      </c>
      <c r="L467" s="12">
        <v>34</v>
      </c>
      <c r="M467" s="13">
        <v>1</v>
      </c>
      <c r="N467" s="13">
        <f t="shared" si="56"/>
        <v>12.393020833333139</v>
      </c>
      <c r="O467" s="13">
        <f t="shared" si="57"/>
        <v>0</v>
      </c>
      <c r="P467" t="str">
        <f t="shared" si="58"/>
        <v>On Time</v>
      </c>
      <c r="Q467" s="13">
        <f t="shared" si="59"/>
        <v>22.29222222219687</v>
      </c>
      <c r="R467" s="13">
        <f t="shared" si="60"/>
        <v>1.2315740740741603</v>
      </c>
      <c r="S467" s="13">
        <f t="shared" si="61"/>
        <v>10.232604166667443</v>
      </c>
      <c r="T467" t="str">
        <f t="shared" si="62"/>
        <v>On Time/Early</v>
      </c>
      <c r="U467" t="str">
        <f t="shared" si="63"/>
        <v>Normal</v>
      </c>
      <c r="V467" t="s">
        <v>102</v>
      </c>
    </row>
    <row r="468" spans="1:22">
      <c r="A468" t="s">
        <v>856</v>
      </c>
      <c r="B468" s="10">
        <v>42984.674201388887</v>
      </c>
      <c r="C468" s="10">
        <v>42984.718842592592</v>
      </c>
      <c r="D468" s="10">
        <v>42989.825011574074</v>
      </c>
      <c r="E468" s="10">
        <v>42994.679201388892</v>
      </c>
      <c r="F468" s="10">
        <v>43004</v>
      </c>
      <c r="G468" t="s">
        <v>8</v>
      </c>
      <c r="H468" t="s">
        <v>140</v>
      </c>
      <c r="I468" t="s">
        <v>841</v>
      </c>
      <c r="J468" s="11">
        <v>1</v>
      </c>
      <c r="K468" s="12">
        <v>1299.9000000000001</v>
      </c>
      <c r="L468" s="12">
        <v>38.51</v>
      </c>
      <c r="M468" s="13">
        <v>4</v>
      </c>
      <c r="N468" s="13">
        <f t="shared" si="56"/>
        <v>10.005000000004657</v>
      </c>
      <c r="O468" s="13">
        <f t="shared" si="57"/>
        <v>0</v>
      </c>
      <c r="P468" t="str">
        <f t="shared" si="58"/>
        <v>On Time</v>
      </c>
      <c r="Q468" s="13">
        <f t="shared" si="59"/>
        <v>1.0713888889295049</v>
      </c>
      <c r="R468" s="13">
        <f t="shared" si="60"/>
        <v>5.1061689814814599</v>
      </c>
      <c r="S468" s="13">
        <f t="shared" si="61"/>
        <v>4.8541898148178007</v>
      </c>
      <c r="T468" t="str">
        <f t="shared" si="62"/>
        <v>On Time/Early</v>
      </c>
      <c r="U468" t="str">
        <f t="shared" si="63"/>
        <v>Normal</v>
      </c>
      <c r="V468" t="s">
        <v>102</v>
      </c>
    </row>
    <row r="469" spans="1:22">
      <c r="A469" t="s">
        <v>857</v>
      </c>
      <c r="B469" s="10">
        <v>42984.715497685182</v>
      </c>
      <c r="C469" s="10">
        <v>42984.729467592595</v>
      </c>
      <c r="D469" s="10">
        <v>42989.890983796293</v>
      </c>
      <c r="E469" s="10">
        <v>42994.718506944446</v>
      </c>
      <c r="F469" s="10">
        <v>43004</v>
      </c>
      <c r="G469" t="s">
        <v>8</v>
      </c>
      <c r="H469" t="s">
        <v>140</v>
      </c>
      <c r="I469" t="s">
        <v>101</v>
      </c>
      <c r="J469" s="11">
        <v>1</v>
      </c>
      <c r="K469" s="12">
        <v>148</v>
      </c>
      <c r="L469" s="12">
        <v>17.29</v>
      </c>
      <c r="M469" s="13">
        <v>5</v>
      </c>
      <c r="N469" s="13">
        <f t="shared" si="56"/>
        <v>10.003009259264218</v>
      </c>
      <c r="O469" s="13">
        <f t="shared" si="57"/>
        <v>0</v>
      </c>
      <c r="P469" t="str">
        <f t="shared" si="58"/>
        <v>On Time</v>
      </c>
      <c r="Q469" s="13">
        <f t="shared" si="59"/>
        <v>0.33527777792187408</v>
      </c>
      <c r="R469" s="13">
        <f t="shared" si="60"/>
        <v>5.161516203697829</v>
      </c>
      <c r="S469" s="13">
        <f t="shared" si="61"/>
        <v>4.8275231481529772</v>
      </c>
      <c r="T469" t="str">
        <f t="shared" si="62"/>
        <v>On Time/Early</v>
      </c>
      <c r="U469" t="str">
        <f t="shared" si="63"/>
        <v>Normal</v>
      </c>
      <c r="V469" t="s">
        <v>102</v>
      </c>
    </row>
    <row r="470" spans="1:22">
      <c r="A470" t="s">
        <v>858</v>
      </c>
      <c r="B470" s="10">
        <v>42984.887662037036</v>
      </c>
      <c r="C470" s="10">
        <v>42984.89603009259</v>
      </c>
      <c r="D470" s="10">
        <v>42990.923136574071</v>
      </c>
      <c r="E470" s="10">
        <v>43000.562280092592</v>
      </c>
      <c r="F470" s="10">
        <v>43007</v>
      </c>
      <c r="G470" t="s">
        <v>474</v>
      </c>
      <c r="H470" t="s">
        <v>859</v>
      </c>
      <c r="I470" t="s">
        <v>384</v>
      </c>
      <c r="J470" s="11">
        <v>1</v>
      </c>
      <c r="K470" s="12">
        <v>27.9</v>
      </c>
      <c r="L470" s="12">
        <v>25.38</v>
      </c>
      <c r="M470" s="13">
        <v>5</v>
      </c>
      <c r="N470" s="13">
        <f t="shared" si="56"/>
        <v>15.674618055556493</v>
      </c>
      <c r="O470" s="13">
        <f t="shared" si="57"/>
        <v>0</v>
      </c>
      <c r="P470" t="str">
        <f t="shared" si="58"/>
        <v>On Time</v>
      </c>
      <c r="Q470" s="13">
        <f t="shared" si="59"/>
        <v>0.20083333330694586</v>
      </c>
      <c r="R470" s="13">
        <f t="shared" si="60"/>
        <v>6.0271064814805868</v>
      </c>
      <c r="S470" s="13">
        <f t="shared" si="61"/>
        <v>9.6391435185214505</v>
      </c>
      <c r="T470" t="str">
        <f t="shared" si="62"/>
        <v>On Time/Early</v>
      </c>
      <c r="U470" t="str">
        <f t="shared" si="63"/>
        <v>Normal</v>
      </c>
      <c r="V470" t="s">
        <v>102</v>
      </c>
    </row>
    <row r="471" spans="1:22">
      <c r="A471" t="s">
        <v>860</v>
      </c>
      <c r="B471" s="10">
        <v>42984.908217592594</v>
      </c>
      <c r="C471" s="10">
        <v>42984.919629629629</v>
      </c>
      <c r="D471" s="10">
        <v>42990.844143518516</v>
      </c>
      <c r="E471" s="10">
        <v>42998.55641203704</v>
      </c>
      <c r="F471" s="10">
        <v>43007</v>
      </c>
      <c r="G471" t="s">
        <v>33</v>
      </c>
      <c r="H471" t="s">
        <v>356</v>
      </c>
      <c r="I471" t="s">
        <v>123</v>
      </c>
      <c r="J471" s="11">
        <v>1</v>
      </c>
      <c r="K471" s="12">
        <v>89.99</v>
      </c>
      <c r="L471" s="12">
        <v>17.88</v>
      </c>
      <c r="M471" s="13">
        <v>5</v>
      </c>
      <c r="N471" s="13">
        <f t="shared" si="56"/>
        <v>13.648194444445835</v>
      </c>
      <c r="O471" s="13">
        <f t="shared" si="57"/>
        <v>0</v>
      </c>
      <c r="P471" t="str">
        <f t="shared" si="58"/>
        <v>On Time</v>
      </c>
      <c r="Q471" s="13">
        <f t="shared" si="59"/>
        <v>0.27388888882705942</v>
      </c>
      <c r="R471" s="13">
        <f t="shared" si="60"/>
        <v>5.9245138888873043</v>
      </c>
      <c r="S471" s="13">
        <f t="shared" si="61"/>
        <v>7.7122685185240698</v>
      </c>
      <c r="T471" t="str">
        <f t="shared" si="62"/>
        <v>On Time/Early</v>
      </c>
      <c r="U471" t="str">
        <f t="shared" si="63"/>
        <v>Normal</v>
      </c>
      <c r="V471" t="s">
        <v>102</v>
      </c>
    </row>
    <row r="472" spans="1:22">
      <c r="A472" t="s">
        <v>861</v>
      </c>
      <c r="B472" s="10">
        <v>42985.588460648149</v>
      </c>
      <c r="C472" s="10">
        <v>42985.599664351852</v>
      </c>
      <c r="D472" s="10">
        <v>42990.585601851853</v>
      </c>
      <c r="E472" s="10">
        <v>43004.707696759258</v>
      </c>
      <c r="F472" s="10">
        <v>43018</v>
      </c>
      <c r="G472" t="s">
        <v>30</v>
      </c>
      <c r="H472" t="s">
        <v>862</v>
      </c>
      <c r="I472" t="s">
        <v>180</v>
      </c>
      <c r="J472" s="11">
        <v>1</v>
      </c>
      <c r="K472" s="12">
        <v>118.58</v>
      </c>
      <c r="L472" s="12">
        <v>16.59</v>
      </c>
      <c r="M472" s="13">
        <v>4</v>
      </c>
      <c r="N472" s="13">
        <f t="shared" si="56"/>
        <v>19.119236111109785</v>
      </c>
      <c r="O472" s="13">
        <f t="shared" si="57"/>
        <v>0</v>
      </c>
      <c r="P472" t="str">
        <f t="shared" si="58"/>
        <v>On Time</v>
      </c>
      <c r="Q472" s="13">
        <f t="shared" si="59"/>
        <v>0.26888888888061047</v>
      </c>
      <c r="R472" s="13">
        <f t="shared" si="60"/>
        <v>4.9859375000014552</v>
      </c>
      <c r="S472" s="13">
        <f t="shared" si="61"/>
        <v>14.122094907404971</v>
      </c>
      <c r="T472" t="str">
        <f t="shared" si="62"/>
        <v>On Time/Early</v>
      </c>
      <c r="U472" t="str">
        <f t="shared" si="63"/>
        <v>Normal</v>
      </c>
      <c r="V472" t="s">
        <v>102</v>
      </c>
    </row>
    <row r="473" spans="1:22">
      <c r="A473" t="s">
        <v>863</v>
      </c>
      <c r="B473" s="10">
        <v>42985.706076388888</v>
      </c>
      <c r="C473" s="10">
        <v>42985.715428240743</v>
      </c>
      <c r="D473" s="10">
        <v>42986.81695601852</v>
      </c>
      <c r="E473" s="10">
        <v>42998.723738425928</v>
      </c>
      <c r="F473" s="10">
        <v>43006</v>
      </c>
      <c r="G473" t="s">
        <v>36</v>
      </c>
      <c r="H473" t="s">
        <v>864</v>
      </c>
      <c r="I473" t="s">
        <v>128</v>
      </c>
      <c r="J473" s="11">
        <v>1</v>
      </c>
      <c r="K473" s="12">
        <v>7.9</v>
      </c>
      <c r="L473" s="12">
        <v>15.79</v>
      </c>
      <c r="M473" s="13">
        <v>5</v>
      </c>
      <c r="N473" s="13">
        <f t="shared" si="56"/>
        <v>13.017662037040282</v>
      </c>
      <c r="O473" s="13">
        <f t="shared" si="57"/>
        <v>0</v>
      </c>
      <c r="P473" t="str">
        <f t="shared" si="58"/>
        <v>On Time</v>
      </c>
      <c r="Q473" s="13">
        <f t="shared" si="59"/>
        <v>0.22444444452412426</v>
      </c>
      <c r="R473" s="13">
        <f t="shared" si="60"/>
        <v>1.101527777776937</v>
      </c>
      <c r="S473" s="13">
        <f t="shared" si="61"/>
        <v>11.906782407408173</v>
      </c>
      <c r="T473" t="str">
        <f t="shared" si="62"/>
        <v>On Time/Early</v>
      </c>
      <c r="U473" t="str">
        <f t="shared" si="63"/>
        <v>Normal</v>
      </c>
      <c r="V473" t="s">
        <v>102</v>
      </c>
    </row>
    <row r="474" spans="1:22">
      <c r="A474" t="s">
        <v>865</v>
      </c>
      <c r="B474" s="10">
        <v>42986.485243055555</v>
      </c>
      <c r="C474" s="10">
        <v>42986.49324074074</v>
      </c>
      <c r="D474" s="10">
        <v>42986.826319444444</v>
      </c>
      <c r="E474" s="10">
        <v>42996.980844907404</v>
      </c>
      <c r="F474" s="10">
        <v>43007</v>
      </c>
      <c r="G474" t="s">
        <v>16</v>
      </c>
      <c r="H474" t="s">
        <v>138</v>
      </c>
      <c r="I474" t="s">
        <v>112</v>
      </c>
      <c r="J474" s="11">
        <v>1</v>
      </c>
      <c r="K474" s="12">
        <v>69.900000000000006</v>
      </c>
      <c r="L474" s="12">
        <v>16.25</v>
      </c>
      <c r="M474" s="13">
        <v>5</v>
      </c>
      <c r="N474" s="13">
        <f t="shared" si="56"/>
        <v>10.495601851849642</v>
      </c>
      <c r="O474" s="13">
        <f t="shared" si="57"/>
        <v>0</v>
      </c>
      <c r="P474" t="str">
        <f t="shared" si="58"/>
        <v>On Time</v>
      </c>
      <c r="Q474" s="13">
        <f t="shared" si="59"/>
        <v>0.19194444443564862</v>
      </c>
      <c r="R474" s="13">
        <f t="shared" si="60"/>
        <v>0.33307870370481396</v>
      </c>
      <c r="S474" s="13">
        <f t="shared" si="61"/>
        <v>10.154525462960009</v>
      </c>
      <c r="T474" t="str">
        <f t="shared" si="62"/>
        <v>On Time/Early</v>
      </c>
      <c r="U474" t="str">
        <f t="shared" si="63"/>
        <v>Normal</v>
      </c>
      <c r="V474" t="s">
        <v>102</v>
      </c>
    </row>
    <row r="475" spans="1:22">
      <c r="A475" t="s">
        <v>866</v>
      </c>
      <c r="B475" s="10">
        <v>42987.458229166667</v>
      </c>
      <c r="C475" s="10">
        <v>42987.486192129632</v>
      </c>
      <c r="D475" s="10">
        <v>42992.801296296297</v>
      </c>
      <c r="E475" s="10">
        <v>42999.505370370367</v>
      </c>
      <c r="F475" s="10">
        <v>43011</v>
      </c>
      <c r="G475" t="s">
        <v>8</v>
      </c>
      <c r="H475" t="s">
        <v>140</v>
      </c>
      <c r="I475" t="s">
        <v>136</v>
      </c>
      <c r="J475" s="11">
        <v>1</v>
      </c>
      <c r="K475" s="12">
        <v>58</v>
      </c>
      <c r="L475" s="12">
        <v>17.66</v>
      </c>
      <c r="M475" s="13">
        <v>3</v>
      </c>
      <c r="N475" s="13">
        <f t="shared" si="56"/>
        <v>12.047141203700448</v>
      </c>
      <c r="O475" s="13">
        <f t="shared" si="57"/>
        <v>0</v>
      </c>
      <c r="P475" t="str">
        <f t="shared" si="58"/>
        <v>On Time</v>
      </c>
      <c r="Q475" s="13">
        <f t="shared" si="59"/>
        <v>0.6711111111799255</v>
      </c>
      <c r="R475" s="13">
        <f t="shared" si="60"/>
        <v>5.3151041666642413</v>
      </c>
      <c r="S475" s="13">
        <f t="shared" si="61"/>
        <v>6.7040740740703768</v>
      </c>
      <c r="T475" t="str">
        <f t="shared" si="62"/>
        <v>On Time/Early</v>
      </c>
      <c r="U475" t="str">
        <f t="shared" si="63"/>
        <v>Normal</v>
      </c>
      <c r="V475" t="s">
        <v>102</v>
      </c>
    </row>
    <row r="476" spans="1:22">
      <c r="A476" t="s">
        <v>867</v>
      </c>
      <c r="B476" s="10">
        <v>42987.672511574077</v>
      </c>
      <c r="C476" s="10">
        <v>42987.683287037034</v>
      </c>
      <c r="D476" s="10">
        <v>42989.768055555556</v>
      </c>
      <c r="E476" s="10">
        <v>42998.73096064815</v>
      </c>
      <c r="F476" s="10">
        <v>43011</v>
      </c>
      <c r="G476" t="s">
        <v>8</v>
      </c>
      <c r="H476" t="s">
        <v>430</v>
      </c>
      <c r="I476" t="s">
        <v>221</v>
      </c>
      <c r="J476" s="11">
        <v>1</v>
      </c>
      <c r="K476" s="12">
        <v>498</v>
      </c>
      <c r="L476" s="12">
        <v>18.25</v>
      </c>
      <c r="M476" s="13">
        <v>4</v>
      </c>
      <c r="N476" s="13">
        <f t="shared" si="56"/>
        <v>11.058449074072996</v>
      </c>
      <c r="O476" s="13">
        <f t="shared" si="57"/>
        <v>0</v>
      </c>
      <c r="P476" t="str">
        <f t="shared" si="58"/>
        <v>On Time</v>
      </c>
      <c r="Q476" s="13">
        <f t="shared" si="59"/>
        <v>0.25861111097037792</v>
      </c>
      <c r="R476" s="13">
        <f t="shared" si="60"/>
        <v>2.0847685185217415</v>
      </c>
      <c r="S476" s="13">
        <f t="shared" si="61"/>
        <v>8.9629050925941556</v>
      </c>
      <c r="T476" t="str">
        <f t="shared" si="62"/>
        <v>On Time/Early</v>
      </c>
      <c r="U476" t="str">
        <f t="shared" si="63"/>
        <v>Normal</v>
      </c>
      <c r="V476" t="s">
        <v>102</v>
      </c>
    </row>
    <row r="477" spans="1:22">
      <c r="A477" t="s">
        <v>868</v>
      </c>
      <c r="B477" s="10">
        <v>42988.298125000001</v>
      </c>
      <c r="C477" s="10">
        <v>42990.198425925926</v>
      </c>
      <c r="D477" s="10">
        <v>42990.519490740742</v>
      </c>
      <c r="E477" s="10">
        <v>42997.757893518516</v>
      </c>
      <c r="F477" s="10">
        <v>43005</v>
      </c>
      <c r="G477" t="s">
        <v>16</v>
      </c>
      <c r="H477" t="s">
        <v>138</v>
      </c>
      <c r="I477" t="s">
        <v>112</v>
      </c>
      <c r="J477" s="11">
        <v>1</v>
      </c>
      <c r="K477" s="12">
        <v>49.7</v>
      </c>
      <c r="L477" s="12">
        <v>16.600000000000001</v>
      </c>
      <c r="M477" s="13">
        <v>5</v>
      </c>
      <c r="N477" s="13">
        <f t="shared" si="56"/>
        <v>9.4597685185144655</v>
      </c>
      <c r="O477" s="13">
        <f t="shared" si="57"/>
        <v>0</v>
      </c>
      <c r="P477" t="str">
        <f t="shared" si="58"/>
        <v>On Time</v>
      </c>
      <c r="Q477" s="13">
        <f t="shared" si="59"/>
        <v>45.607222222199198</v>
      </c>
      <c r="R477" s="13">
        <f t="shared" si="60"/>
        <v>0.32106481481605442</v>
      </c>
      <c r="S477" s="13">
        <f t="shared" si="61"/>
        <v>7.2384027777734445</v>
      </c>
      <c r="T477" t="str">
        <f t="shared" si="62"/>
        <v>On Time/Early</v>
      </c>
      <c r="U477" t="str">
        <f t="shared" si="63"/>
        <v>Normal</v>
      </c>
      <c r="V477" t="s">
        <v>102</v>
      </c>
    </row>
    <row r="478" spans="1:22">
      <c r="A478" t="s">
        <v>869</v>
      </c>
      <c r="B478" s="10">
        <v>42988.66070601852</v>
      </c>
      <c r="C478" s="10">
        <v>42989.670243055552</v>
      </c>
      <c r="D478" s="10">
        <v>42990.780451388891</v>
      </c>
      <c r="E478" s="10">
        <v>42993.689918981479</v>
      </c>
      <c r="F478" s="10">
        <v>43005</v>
      </c>
      <c r="G478" t="s">
        <v>8</v>
      </c>
      <c r="H478" t="s">
        <v>212</v>
      </c>
      <c r="I478" t="s">
        <v>141</v>
      </c>
      <c r="J478" s="11">
        <v>1</v>
      </c>
      <c r="K478" s="12">
        <v>29.89</v>
      </c>
      <c r="L478" s="12">
        <v>12.69</v>
      </c>
      <c r="M478" s="13">
        <v>5</v>
      </c>
      <c r="N478" s="13">
        <f t="shared" si="56"/>
        <v>5.0292129629597184</v>
      </c>
      <c r="O478" s="13">
        <f t="shared" si="57"/>
        <v>0</v>
      </c>
      <c r="P478" t="str">
        <f t="shared" si="58"/>
        <v>On Time</v>
      </c>
      <c r="Q478" s="13">
        <f t="shared" si="59"/>
        <v>24.22888888878515</v>
      </c>
      <c r="R478" s="13">
        <f t="shared" si="60"/>
        <v>1.1102083333389601</v>
      </c>
      <c r="S478" s="13">
        <f t="shared" si="61"/>
        <v>2.9094675925880438</v>
      </c>
      <c r="T478" t="str">
        <f t="shared" si="62"/>
        <v>On Time/Early</v>
      </c>
      <c r="U478" t="str">
        <f t="shared" si="63"/>
        <v>Normal</v>
      </c>
      <c r="V478" t="s">
        <v>102</v>
      </c>
    </row>
    <row r="479" spans="1:22">
      <c r="A479" t="s">
        <v>870</v>
      </c>
      <c r="B479" s="10">
        <v>42988.809861111113</v>
      </c>
      <c r="C479" s="10">
        <v>42988.821851851855</v>
      </c>
      <c r="D479" s="10">
        <v>42990.547083333331</v>
      </c>
      <c r="E479" s="10">
        <v>42997.811203703706</v>
      </c>
      <c r="F479" s="10">
        <v>43010</v>
      </c>
      <c r="G479" t="s">
        <v>33</v>
      </c>
      <c r="H479" t="s">
        <v>611</v>
      </c>
      <c r="I479" t="s">
        <v>58</v>
      </c>
      <c r="J479" s="11">
        <v>1</v>
      </c>
      <c r="K479" s="12">
        <v>58.99</v>
      </c>
      <c r="L479" s="12">
        <v>17.66</v>
      </c>
      <c r="M479" s="13">
        <v>4</v>
      </c>
      <c r="N479" s="13">
        <f t="shared" si="56"/>
        <v>9.0013425925935735</v>
      </c>
      <c r="O479" s="13">
        <f t="shared" si="57"/>
        <v>0</v>
      </c>
      <c r="P479" t="str">
        <f t="shared" si="58"/>
        <v>On Time</v>
      </c>
      <c r="Q479" s="13">
        <f t="shared" si="59"/>
        <v>0.28777777781942859</v>
      </c>
      <c r="R479" s="13">
        <f t="shared" si="60"/>
        <v>1.7252314814759302</v>
      </c>
      <c r="S479" s="13">
        <f t="shared" si="61"/>
        <v>7.2641203703751671</v>
      </c>
      <c r="T479" t="str">
        <f t="shared" si="62"/>
        <v>On Time/Early</v>
      </c>
      <c r="U479" t="str">
        <f t="shared" si="63"/>
        <v>Normal</v>
      </c>
      <c r="V479" t="s">
        <v>102</v>
      </c>
    </row>
    <row r="480" spans="1:22">
      <c r="A480" t="s">
        <v>871</v>
      </c>
      <c r="B480" s="10">
        <v>42988.933171296296</v>
      </c>
      <c r="C480" s="10">
        <v>42990.201932870368</v>
      </c>
      <c r="D480" s="10">
        <v>42991.894143518519</v>
      </c>
      <c r="E480" s="10">
        <v>43000.443113425928</v>
      </c>
      <c r="F480" s="10">
        <v>43011</v>
      </c>
      <c r="G480" t="s">
        <v>36</v>
      </c>
      <c r="H480" t="s">
        <v>872</v>
      </c>
      <c r="I480" t="s">
        <v>118</v>
      </c>
      <c r="J480" s="11">
        <v>1</v>
      </c>
      <c r="K480" s="12">
        <v>19.95</v>
      </c>
      <c r="L480" s="12">
        <v>15.1</v>
      </c>
      <c r="M480" s="13">
        <v>5</v>
      </c>
      <c r="N480" s="13">
        <f t="shared" si="56"/>
        <v>11.509942129632691</v>
      </c>
      <c r="O480" s="13">
        <f t="shared" si="57"/>
        <v>0</v>
      </c>
      <c r="P480" t="str">
        <f t="shared" si="58"/>
        <v>On Time</v>
      </c>
      <c r="Q480" s="13">
        <f t="shared" si="59"/>
        <v>30.450277777737938</v>
      </c>
      <c r="R480" s="13">
        <f t="shared" si="60"/>
        <v>1.6922106481506489</v>
      </c>
      <c r="S480" s="13">
        <f t="shared" si="61"/>
        <v>8.5489699074096279</v>
      </c>
      <c r="T480" t="str">
        <f t="shared" si="62"/>
        <v>On Time/Early</v>
      </c>
      <c r="U480" t="str">
        <f t="shared" si="63"/>
        <v>Normal</v>
      </c>
      <c r="V480" t="s">
        <v>102</v>
      </c>
    </row>
    <row r="481" spans="1:22">
      <c r="A481" t="s">
        <v>873</v>
      </c>
      <c r="B481" s="10">
        <v>42989.402905092589</v>
      </c>
      <c r="C481" s="10">
        <v>42990.187673611108</v>
      </c>
      <c r="D481" s="10">
        <v>42990.806620370371</v>
      </c>
      <c r="E481" s="10">
        <v>42997.829270833332</v>
      </c>
      <c r="F481" s="10">
        <v>43017</v>
      </c>
      <c r="G481" t="s">
        <v>30</v>
      </c>
      <c r="H481" t="s">
        <v>874</v>
      </c>
      <c r="I481" t="s">
        <v>221</v>
      </c>
      <c r="J481" s="11">
        <v>1</v>
      </c>
      <c r="K481" s="12">
        <v>29</v>
      </c>
      <c r="L481" s="12">
        <v>15.1</v>
      </c>
      <c r="M481" s="13">
        <v>4</v>
      </c>
      <c r="N481" s="13">
        <f t="shared" si="56"/>
        <v>8.4263657407427672</v>
      </c>
      <c r="O481" s="13">
        <f t="shared" si="57"/>
        <v>0</v>
      </c>
      <c r="P481" t="str">
        <f t="shared" si="58"/>
        <v>On Time</v>
      </c>
      <c r="Q481" s="13">
        <f t="shared" si="59"/>
        <v>18.834444444451947</v>
      </c>
      <c r="R481" s="13">
        <f t="shared" si="60"/>
        <v>0.61894675926305354</v>
      </c>
      <c r="S481" s="13">
        <f t="shared" si="61"/>
        <v>7.0226504629608826</v>
      </c>
      <c r="T481" t="str">
        <f t="shared" si="62"/>
        <v>On Time/Early</v>
      </c>
      <c r="U481" t="str">
        <f t="shared" si="63"/>
        <v>Normal</v>
      </c>
      <c r="V481" t="s">
        <v>102</v>
      </c>
    </row>
    <row r="482" spans="1:22">
      <c r="A482" t="s">
        <v>875</v>
      </c>
      <c r="B482" s="10">
        <v>42989.940740740742</v>
      </c>
      <c r="C482" s="10">
        <v>42989.948182870372</v>
      </c>
      <c r="D482" s="10">
        <v>42990.877650462964</v>
      </c>
      <c r="E482" s="10">
        <v>42997.893761574072</v>
      </c>
      <c r="F482" s="10">
        <v>43007</v>
      </c>
      <c r="G482" t="s">
        <v>20</v>
      </c>
      <c r="H482" t="s">
        <v>876</v>
      </c>
      <c r="I482" t="s">
        <v>246</v>
      </c>
      <c r="J482" s="11">
        <v>1</v>
      </c>
      <c r="K482" s="12">
        <v>289.99</v>
      </c>
      <c r="L482" s="12">
        <v>98.02</v>
      </c>
      <c r="M482" s="13">
        <v>5</v>
      </c>
      <c r="N482" s="13">
        <f t="shared" si="56"/>
        <v>7.953020833330811</v>
      </c>
      <c r="O482" s="13">
        <f t="shared" si="57"/>
        <v>0</v>
      </c>
      <c r="P482" t="str">
        <f t="shared" si="58"/>
        <v>On Time</v>
      </c>
      <c r="Q482" s="13">
        <f t="shared" si="59"/>
        <v>0.17861111112870276</v>
      </c>
      <c r="R482" s="13">
        <f t="shared" si="60"/>
        <v>0.92946759259211831</v>
      </c>
      <c r="S482" s="13">
        <f t="shared" si="61"/>
        <v>7.0161111111083301</v>
      </c>
      <c r="T482" t="str">
        <f t="shared" si="62"/>
        <v>On Time/Early</v>
      </c>
      <c r="U482" t="str">
        <f t="shared" si="63"/>
        <v>Normal</v>
      </c>
      <c r="V482" t="s">
        <v>102</v>
      </c>
    </row>
    <row r="483" spans="1:22">
      <c r="A483" t="s">
        <v>877</v>
      </c>
      <c r="B483" s="10">
        <v>42989.950300925928</v>
      </c>
      <c r="C483" s="10">
        <v>42989.961053240739</v>
      </c>
      <c r="D483" s="10">
        <v>42991.811006944445</v>
      </c>
      <c r="E483" s="10">
        <v>42994.701331018521</v>
      </c>
      <c r="F483" s="10">
        <v>43011</v>
      </c>
      <c r="G483" t="s">
        <v>20</v>
      </c>
      <c r="H483" t="s">
        <v>878</v>
      </c>
      <c r="I483" t="s">
        <v>101</v>
      </c>
      <c r="J483" s="11">
        <v>1</v>
      </c>
      <c r="K483" s="12">
        <v>229</v>
      </c>
      <c r="L483" s="12">
        <v>58.27</v>
      </c>
      <c r="M483" s="13">
        <v>5</v>
      </c>
      <c r="N483" s="13">
        <f t="shared" si="56"/>
        <v>4.7510300925932825</v>
      </c>
      <c r="O483" s="13">
        <f t="shared" si="57"/>
        <v>0</v>
      </c>
      <c r="P483" t="str">
        <f t="shared" si="58"/>
        <v>On Time</v>
      </c>
      <c r="Q483" s="13">
        <f t="shared" si="59"/>
        <v>0.25805555545957759</v>
      </c>
      <c r="R483" s="13">
        <f t="shared" si="60"/>
        <v>1.8499537037059781</v>
      </c>
      <c r="S483" s="13">
        <f t="shared" si="61"/>
        <v>2.8903240740764886</v>
      </c>
      <c r="T483" t="str">
        <f t="shared" si="62"/>
        <v>On Time/Early</v>
      </c>
      <c r="U483" t="str">
        <f t="shared" si="63"/>
        <v>Normal</v>
      </c>
      <c r="V483" t="s">
        <v>102</v>
      </c>
    </row>
    <row r="484" spans="1:22">
      <c r="A484" t="s">
        <v>879</v>
      </c>
      <c r="B484" s="10">
        <v>42989.990578703706</v>
      </c>
      <c r="C484" s="10">
        <v>42990.030601851853</v>
      </c>
      <c r="D484" s="10">
        <v>42993.987939814811</v>
      </c>
      <c r="E484" s="10">
        <v>42997.927037037036</v>
      </c>
      <c r="F484" s="10">
        <v>43012</v>
      </c>
      <c r="G484" t="s">
        <v>8</v>
      </c>
      <c r="H484" t="s">
        <v>880</v>
      </c>
      <c r="I484" t="s">
        <v>128</v>
      </c>
      <c r="J484" s="11">
        <v>1</v>
      </c>
      <c r="K484" s="12">
        <v>59.9</v>
      </c>
      <c r="L484" s="12">
        <v>13.44</v>
      </c>
      <c r="M484" s="13">
        <v>5</v>
      </c>
      <c r="N484" s="13">
        <f t="shared" si="56"/>
        <v>7.9364583333299379</v>
      </c>
      <c r="O484" s="13">
        <f t="shared" si="57"/>
        <v>0</v>
      </c>
      <c r="P484" t="str">
        <f t="shared" si="58"/>
        <v>On Time</v>
      </c>
      <c r="Q484" s="13">
        <f t="shared" si="59"/>
        <v>0.96055555553175509</v>
      </c>
      <c r="R484" s="13">
        <f t="shared" si="60"/>
        <v>3.9573379629582632</v>
      </c>
      <c r="S484" s="13">
        <f t="shared" si="61"/>
        <v>3.9390972222245182</v>
      </c>
      <c r="T484" t="str">
        <f t="shared" si="62"/>
        <v>On Time/Early</v>
      </c>
      <c r="U484" t="str">
        <f t="shared" si="63"/>
        <v>Normal</v>
      </c>
      <c r="V484" t="s">
        <v>102</v>
      </c>
    </row>
    <row r="485" spans="1:22">
      <c r="A485" t="s">
        <v>881</v>
      </c>
      <c r="B485" s="10">
        <v>42990.649675925924</v>
      </c>
      <c r="C485" s="10">
        <v>42990.659930555557</v>
      </c>
      <c r="D485" s="10">
        <v>42993.661608796298</v>
      </c>
      <c r="E485" s="10">
        <v>43003.726956018516</v>
      </c>
      <c r="F485" s="10">
        <v>43007</v>
      </c>
      <c r="G485" t="s">
        <v>16</v>
      </c>
      <c r="H485" t="s">
        <v>138</v>
      </c>
      <c r="I485" t="s">
        <v>180</v>
      </c>
      <c r="J485" s="11">
        <v>1</v>
      </c>
      <c r="K485" s="12">
        <v>175</v>
      </c>
      <c r="L485" s="12">
        <v>15.98</v>
      </c>
      <c r="M485" s="13">
        <v>5</v>
      </c>
      <c r="N485" s="13">
        <f t="shared" si="56"/>
        <v>13.077280092591536</v>
      </c>
      <c r="O485" s="13">
        <f t="shared" si="57"/>
        <v>0</v>
      </c>
      <c r="P485" t="str">
        <f t="shared" si="58"/>
        <v>On Time</v>
      </c>
      <c r="Q485" s="13">
        <f t="shared" si="59"/>
        <v>0.24611111119156703</v>
      </c>
      <c r="R485" s="13">
        <f t="shared" si="60"/>
        <v>3.0016782407401479</v>
      </c>
      <c r="S485" s="13">
        <f t="shared" si="61"/>
        <v>10.065347222218406</v>
      </c>
      <c r="T485" t="str">
        <f t="shared" si="62"/>
        <v>On Time/Early</v>
      </c>
      <c r="U485" t="str">
        <f t="shared" si="63"/>
        <v>Normal</v>
      </c>
      <c r="V485" t="s">
        <v>102</v>
      </c>
    </row>
    <row r="486" spans="1:22">
      <c r="A486" t="s">
        <v>882</v>
      </c>
      <c r="B486" s="10">
        <v>42990.693576388891</v>
      </c>
      <c r="C486" s="10">
        <v>42990.722280092596</v>
      </c>
      <c r="D486" s="10">
        <v>42997.794421296298</v>
      </c>
      <c r="E486" s="10">
        <v>43010.823634259257</v>
      </c>
      <c r="F486" s="10">
        <v>43017</v>
      </c>
      <c r="G486" t="s">
        <v>464</v>
      </c>
      <c r="H486" t="s">
        <v>883</v>
      </c>
      <c r="I486" t="s">
        <v>115</v>
      </c>
      <c r="J486" s="11">
        <v>1</v>
      </c>
      <c r="K486" s="12">
        <v>19.899999999999999</v>
      </c>
      <c r="L486" s="12">
        <v>34.15</v>
      </c>
      <c r="M486" s="13">
        <v>5</v>
      </c>
      <c r="N486" s="13">
        <f t="shared" si="56"/>
        <v>20.130057870366727</v>
      </c>
      <c r="O486" s="13">
        <f t="shared" si="57"/>
        <v>0</v>
      </c>
      <c r="P486" t="str">
        <f t="shared" si="58"/>
        <v>On Time</v>
      </c>
      <c r="Q486" s="13">
        <f t="shared" si="59"/>
        <v>0.68888888892251998</v>
      </c>
      <c r="R486" s="13">
        <f t="shared" si="60"/>
        <v>7.0721412037019036</v>
      </c>
      <c r="S486" s="13">
        <f t="shared" si="61"/>
        <v>13.029212962959718</v>
      </c>
      <c r="T486" t="str">
        <f t="shared" si="62"/>
        <v>On Time/Early</v>
      </c>
      <c r="U486" t="str">
        <f t="shared" si="63"/>
        <v>Normal</v>
      </c>
      <c r="V486" t="s">
        <v>102</v>
      </c>
    </row>
    <row r="487" spans="1:22">
      <c r="A487" t="s">
        <v>884</v>
      </c>
      <c r="B487" s="10">
        <v>42991.53502314815</v>
      </c>
      <c r="C487" s="10">
        <v>42992.115034722221</v>
      </c>
      <c r="D487" s="10">
        <v>42993.892222222225</v>
      </c>
      <c r="E487" s="10">
        <v>43004.895914351851</v>
      </c>
      <c r="F487" s="10">
        <v>43011</v>
      </c>
      <c r="G487" t="s">
        <v>36</v>
      </c>
      <c r="H487" t="s">
        <v>467</v>
      </c>
      <c r="I487" t="s">
        <v>279</v>
      </c>
      <c r="J487" s="11">
        <v>1</v>
      </c>
      <c r="K487" s="12">
        <v>429.9</v>
      </c>
      <c r="L487" s="12">
        <v>20.29</v>
      </c>
      <c r="M487" s="13">
        <v>5</v>
      </c>
      <c r="N487" s="13">
        <f t="shared" si="56"/>
        <v>13.360891203701613</v>
      </c>
      <c r="O487" s="13">
        <f t="shared" si="57"/>
        <v>0</v>
      </c>
      <c r="P487" t="str">
        <f t="shared" si="58"/>
        <v>On Time</v>
      </c>
      <c r="Q487" s="13">
        <f t="shared" si="59"/>
        <v>13.920277777709998</v>
      </c>
      <c r="R487" s="13">
        <f t="shared" si="60"/>
        <v>1.7771875000034925</v>
      </c>
      <c r="S487" s="13">
        <f t="shared" si="61"/>
        <v>11.00369212962687</v>
      </c>
      <c r="T487" t="str">
        <f t="shared" si="62"/>
        <v>On Time/Early</v>
      </c>
      <c r="U487" t="str">
        <f t="shared" si="63"/>
        <v>Normal</v>
      </c>
      <c r="V487" t="s">
        <v>102</v>
      </c>
    </row>
    <row r="488" spans="1:22">
      <c r="A488" t="s">
        <v>885</v>
      </c>
      <c r="B488" s="10">
        <v>42991.715567129628</v>
      </c>
      <c r="C488" s="10">
        <v>42991.727777777778</v>
      </c>
      <c r="D488" s="10">
        <v>42993.748495370368</v>
      </c>
      <c r="E488" s="10">
        <v>42996.78392361111</v>
      </c>
      <c r="F488" s="10">
        <v>43005</v>
      </c>
      <c r="G488" t="s">
        <v>8</v>
      </c>
      <c r="H488" t="s">
        <v>140</v>
      </c>
      <c r="I488" t="s">
        <v>58</v>
      </c>
      <c r="J488" s="11">
        <v>1</v>
      </c>
      <c r="K488" s="12">
        <v>34.99</v>
      </c>
      <c r="L488" s="12">
        <v>7.78</v>
      </c>
      <c r="M488" s="13">
        <v>5</v>
      </c>
      <c r="N488" s="13">
        <f t="shared" si="56"/>
        <v>5.0683564814826241</v>
      </c>
      <c r="O488" s="13">
        <f t="shared" si="57"/>
        <v>0</v>
      </c>
      <c r="P488" t="str">
        <f t="shared" si="58"/>
        <v>On Time</v>
      </c>
      <c r="Q488" s="13">
        <f t="shared" si="59"/>
        <v>0.2930555556085892</v>
      </c>
      <c r="R488" s="13">
        <f t="shared" si="60"/>
        <v>2.02071759258979</v>
      </c>
      <c r="S488" s="13">
        <f t="shared" si="61"/>
        <v>3.0354282407424762</v>
      </c>
      <c r="T488" t="str">
        <f t="shared" si="62"/>
        <v>On Time/Early</v>
      </c>
      <c r="U488" t="str">
        <f t="shared" si="63"/>
        <v>Normal</v>
      </c>
      <c r="V488" t="s">
        <v>102</v>
      </c>
    </row>
    <row r="489" spans="1:22">
      <c r="A489" t="s">
        <v>886</v>
      </c>
      <c r="B489" s="10">
        <v>42991.867685185185</v>
      </c>
      <c r="C489" s="10">
        <v>42991.878113425926</v>
      </c>
      <c r="D489" s="10">
        <v>42992.85597222222</v>
      </c>
      <c r="E489" s="10">
        <v>42997.648206018515</v>
      </c>
      <c r="F489" s="10">
        <v>43003</v>
      </c>
      <c r="G489" t="s">
        <v>8</v>
      </c>
      <c r="H489" t="s">
        <v>887</v>
      </c>
      <c r="I489" t="s">
        <v>128</v>
      </c>
      <c r="J489" s="11">
        <v>1</v>
      </c>
      <c r="K489" s="12">
        <v>1663</v>
      </c>
      <c r="L489" s="12">
        <v>67.040000000000006</v>
      </c>
      <c r="M489" s="13">
        <v>5</v>
      </c>
      <c r="N489" s="13">
        <f t="shared" si="56"/>
        <v>5.7805208333302289</v>
      </c>
      <c r="O489" s="13">
        <f t="shared" si="57"/>
        <v>0</v>
      </c>
      <c r="P489" t="str">
        <f t="shared" si="58"/>
        <v>On Time</v>
      </c>
      <c r="Q489" s="13">
        <f t="shared" si="59"/>
        <v>0.250277777784504</v>
      </c>
      <c r="R489" s="13">
        <f t="shared" si="60"/>
        <v>0.97785879629373085</v>
      </c>
      <c r="S489" s="13">
        <f t="shared" si="61"/>
        <v>4.7922337962954771</v>
      </c>
      <c r="T489" t="str">
        <f t="shared" si="62"/>
        <v>On Time/Early</v>
      </c>
      <c r="U489" t="str">
        <f t="shared" si="63"/>
        <v>Normal</v>
      </c>
      <c r="V489" t="s">
        <v>102</v>
      </c>
    </row>
    <row r="490" spans="1:22">
      <c r="A490" t="s">
        <v>888</v>
      </c>
      <c r="B490" s="10">
        <v>42992.522800925923</v>
      </c>
      <c r="C490" s="10">
        <v>42993.101226851853</v>
      </c>
      <c r="D490" s="10">
        <v>42993.869710648149</v>
      </c>
      <c r="E490" s="10">
        <v>42997.800127314818</v>
      </c>
      <c r="F490" s="10">
        <v>43004</v>
      </c>
      <c r="G490" t="s">
        <v>8</v>
      </c>
      <c r="H490" t="s">
        <v>225</v>
      </c>
      <c r="I490" t="s">
        <v>118</v>
      </c>
      <c r="J490" s="11">
        <v>1</v>
      </c>
      <c r="K490" s="12">
        <v>149.9</v>
      </c>
      <c r="L490" s="12">
        <v>58.9</v>
      </c>
      <c r="M490" s="13">
        <v>5</v>
      </c>
      <c r="N490" s="13">
        <f t="shared" si="56"/>
        <v>5.2773263888957445</v>
      </c>
      <c r="O490" s="13">
        <f t="shared" si="57"/>
        <v>0</v>
      </c>
      <c r="P490" t="str">
        <f t="shared" si="58"/>
        <v>On Time</v>
      </c>
      <c r="Q490" s="13">
        <f t="shared" si="59"/>
        <v>13.882222222338896</v>
      </c>
      <c r="R490" s="13">
        <f t="shared" si="60"/>
        <v>0.76848379629518604</v>
      </c>
      <c r="S490" s="13">
        <f t="shared" si="61"/>
        <v>3.9304166666697711</v>
      </c>
      <c r="T490" t="str">
        <f t="shared" si="62"/>
        <v>On Time/Early</v>
      </c>
      <c r="U490" t="str">
        <f t="shared" si="63"/>
        <v>Normal</v>
      </c>
      <c r="V490" t="s">
        <v>102</v>
      </c>
    </row>
    <row r="491" spans="1:22">
      <c r="A491" t="s">
        <v>889</v>
      </c>
      <c r="B491" s="10">
        <v>42992.667141203703</v>
      </c>
      <c r="C491" s="10">
        <v>42992.677233796298</v>
      </c>
      <c r="D491" s="10">
        <v>42993.789270833331</v>
      </c>
      <c r="E491" s="10">
        <v>42998.957685185182</v>
      </c>
      <c r="F491" s="10">
        <v>43013</v>
      </c>
      <c r="G491" t="s">
        <v>8</v>
      </c>
      <c r="H491" t="s">
        <v>140</v>
      </c>
      <c r="I491" t="s">
        <v>120</v>
      </c>
      <c r="J491" s="11">
        <v>1</v>
      </c>
      <c r="K491" s="12">
        <v>240.35</v>
      </c>
      <c r="L491" s="12">
        <v>17.440000000000001</v>
      </c>
      <c r="M491" s="13">
        <v>5</v>
      </c>
      <c r="N491" s="13">
        <f t="shared" si="56"/>
        <v>6.2905439814785495</v>
      </c>
      <c r="O491" s="13">
        <f t="shared" si="57"/>
        <v>0</v>
      </c>
      <c r="P491" t="str">
        <f t="shared" si="58"/>
        <v>On Time</v>
      </c>
      <c r="Q491" s="13">
        <f t="shared" si="59"/>
        <v>0.24222222226671875</v>
      </c>
      <c r="R491" s="13">
        <f t="shared" si="60"/>
        <v>1.1120370370335877</v>
      </c>
      <c r="S491" s="13">
        <f t="shared" si="61"/>
        <v>5.1684143518505152</v>
      </c>
      <c r="T491" t="str">
        <f t="shared" si="62"/>
        <v>On Time/Early</v>
      </c>
      <c r="U491" t="str">
        <f t="shared" si="63"/>
        <v>Normal</v>
      </c>
      <c r="V491" t="s">
        <v>102</v>
      </c>
    </row>
    <row r="492" spans="1:22">
      <c r="A492" t="s">
        <v>890</v>
      </c>
      <c r="B492" s="10">
        <v>42992.803194444445</v>
      </c>
      <c r="C492" s="10">
        <v>42992.809247685182</v>
      </c>
      <c r="D492" s="10">
        <v>42993.670856481483</v>
      </c>
      <c r="E492" s="10">
        <v>43002.552037037036</v>
      </c>
      <c r="F492" s="10">
        <v>43012</v>
      </c>
      <c r="G492" t="s">
        <v>33</v>
      </c>
      <c r="H492" t="s">
        <v>356</v>
      </c>
      <c r="I492" t="s">
        <v>101</v>
      </c>
      <c r="J492" s="11">
        <v>1</v>
      </c>
      <c r="K492" s="12">
        <v>32.99</v>
      </c>
      <c r="L492" s="12">
        <v>16.600000000000001</v>
      </c>
      <c r="M492" s="13">
        <v>5</v>
      </c>
      <c r="N492" s="13">
        <f t="shared" si="56"/>
        <v>9.7488425925912452</v>
      </c>
      <c r="O492" s="13">
        <f t="shared" si="57"/>
        <v>0</v>
      </c>
      <c r="P492" t="str">
        <f t="shared" si="58"/>
        <v>On Time</v>
      </c>
      <c r="Q492" s="13">
        <f t="shared" si="59"/>
        <v>0.14527777768671513</v>
      </c>
      <c r="R492" s="13">
        <f t="shared" si="60"/>
        <v>0.86160879630187992</v>
      </c>
      <c r="S492" s="13">
        <f t="shared" si="61"/>
        <v>8.8811805555524188</v>
      </c>
      <c r="T492" t="str">
        <f t="shared" si="62"/>
        <v>On Time/Early</v>
      </c>
      <c r="U492" t="str">
        <f t="shared" si="63"/>
        <v>Normal</v>
      </c>
      <c r="V492" t="s">
        <v>102</v>
      </c>
    </row>
    <row r="493" spans="1:22">
      <c r="A493" t="s">
        <v>891</v>
      </c>
      <c r="B493" s="10">
        <v>42993.683599537035</v>
      </c>
      <c r="C493" s="10">
        <v>42994.118171296293</v>
      </c>
      <c r="D493" s="10">
        <v>42997.93445601852</v>
      </c>
      <c r="E493" s="10">
        <v>43003.783125000002</v>
      </c>
      <c r="F493" s="10">
        <v>43017</v>
      </c>
      <c r="G493" t="s">
        <v>8</v>
      </c>
      <c r="H493" t="s">
        <v>892</v>
      </c>
      <c r="I493" t="s">
        <v>120</v>
      </c>
      <c r="J493" s="11">
        <v>1</v>
      </c>
      <c r="K493" s="12">
        <v>59</v>
      </c>
      <c r="L493" s="12">
        <v>16.170000000000002</v>
      </c>
      <c r="M493" s="13">
        <v>4</v>
      </c>
      <c r="N493" s="13">
        <f t="shared" si="56"/>
        <v>10.099525462966994</v>
      </c>
      <c r="O493" s="13">
        <f t="shared" si="57"/>
        <v>0</v>
      </c>
      <c r="P493" t="str">
        <f t="shared" si="58"/>
        <v>On Time</v>
      </c>
      <c r="Q493" s="13">
        <f t="shared" si="59"/>
        <v>10.429722222208511</v>
      </c>
      <c r="R493" s="13">
        <f t="shared" si="60"/>
        <v>3.8162847222265555</v>
      </c>
      <c r="S493" s="13">
        <f t="shared" si="61"/>
        <v>5.848668981481751</v>
      </c>
      <c r="T493" t="str">
        <f t="shared" si="62"/>
        <v>On Time/Early</v>
      </c>
      <c r="U493" t="str">
        <f t="shared" si="63"/>
        <v>Normal</v>
      </c>
      <c r="V493" t="s">
        <v>102</v>
      </c>
    </row>
    <row r="494" spans="1:22">
      <c r="A494" t="s">
        <v>893</v>
      </c>
      <c r="B494" s="10">
        <v>42994.936689814815</v>
      </c>
      <c r="C494" s="10">
        <v>42995.049351851849</v>
      </c>
      <c r="D494" s="10">
        <v>42996.887060185189</v>
      </c>
      <c r="E494" s="10">
        <v>43004.840185185189</v>
      </c>
      <c r="F494" s="10">
        <v>43018</v>
      </c>
      <c r="G494" t="s">
        <v>20</v>
      </c>
      <c r="H494" t="s">
        <v>894</v>
      </c>
      <c r="I494" t="s">
        <v>58</v>
      </c>
      <c r="J494" s="11">
        <v>1</v>
      </c>
      <c r="K494" s="12">
        <v>599</v>
      </c>
      <c r="L494" s="12">
        <v>89.35</v>
      </c>
      <c r="M494" s="13">
        <v>2</v>
      </c>
      <c r="N494" s="13">
        <f t="shared" si="56"/>
        <v>9.903495370374003</v>
      </c>
      <c r="O494" s="13">
        <f t="shared" si="57"/>
        <v>0</v>
      </c>
      <c r="P494" t="str">
        <f t="shared" si="58"/>
        <v>On Time</v>
      </c>
      <c r="Q494" s="13">
        <f t="shared" si="59"/>
        <v>2.7038888888200745</v>
      </c>
      <c r="R494" s="13">
        <f t="shared" si="60"/>
        <v>1.8377083333398332</v>
      </c>
      <c r="S494" s="13">
        <f t="shared" si="61"/>
        <v>7.953125</v>
      </c>
      <c r="T494" t="str">
        <f t="shared" si="62"/>
        <v>On Time/Early</v>
      </c>
      <c r="U494" t="str">
        <f t="shared" si="63"/>
        <v>Normal</v>
      </c>
      <c r="V494" t="s">
        <v>102</v>
      </c>
    </row>
    <row r="495" spans="1:22">
      <c r="A495" t="s">
        <v>895</v>
      </c>
      <c r="B495" s="10">
        <v>42995.418888888889</v>
      </c>
      <c r="C495" s="10">
        <v>42995.423819444448</v>
      </c>
      <c r="D495" s="10">
        <v>42996.793495370373</v>
      </c>
      <c r="E495" s="10">
        <v>43005.738194444442</v>
      </c>
      <c r="F495" s="10">
        <v>43019</v>
      </c>
      <c r="G495" t="s">
        <v>277</v>
      </c>
      <c r="H495" t="s">
        <v>278</v>
      </c>
      <c r="I495" t="s">
        <v>235</v>
      </c>
      <c r="J495" s="11">
        <v>1</v>
      </c>
      <c r="K495" s="12">
        <v>29.99</v>
      </c>
      <c r="L495" s="12">
        <v>34.15</v>
      </c>
      <c r="M495" s="13">
        <v>4</v>
      </c>
      <c r="N495" s="13">
        <f t="shared" si="56"/>
        <v>10.319305555553001</v>
      </c>
      <c r="O495" s="13">
        <f t="shared" si="57"/>
        <v>0</v>
      </c>
      <c r="P495" t="str">
        <f t="shared" si="58"/>
        <v>On Time</v>
      </c>
      <c r="Q495" s="13">
        <f t="shared" si="59"/>
        <v>0.11833333340473473</v>
      </c>
      <c r="R495" s="13">
        <f t="shared" si="60"/>
        <v>1.3696759259255487</v>
      </c>
      <c r="S495" s="13">
        <f t="shared" si="61"/>
        <v>8.9446990740689216</v>
      </c>
      <c r="T495" t="str">
        <f t="shared" si="62"/>
        <v>On Time/Early</v>
      </c>
      <c r="U495" t="str">
        <f t="shared" si="63"/>
        <v>Normal</v>
      </c>
      <c r="V495" t="s">
        <v>102</v>
      </c>
    </row>
    <row r="496" spans="1:22">
      <c r="A496" t="s">
        <v>896</v>
      </c>
      <c r="B496" s="10">
        <v>42995.782916666663</v>
      </c>
      <c r="C496" s="10">
        <v>42995.794062499997</v>
      </c>
      <c r="D496" s="10">
        <v>42996.765613425923</v>
      </c>
      <c r="E496" s="10">
        <v>43003.752928240741</v>
      </c>
      <c r="F496" s="10">
        <v>43012</v>
      </c>
      <c r="G496" t="s">
        <v>8</v>
      </c>
      <c r="H496" t="s">
        <v>140</v>
      </c>
      <c r="I496" t="s">
        <v>221</v>
      </c>
      <c r="J496" s="11">
        <v>1</v>
      </c>
      <c r="K496" s="12">
        <v>138</v>
      </c>
      <c r="L496" s="12">
        <v>12.47</v>
      </c>
      <c r="M496" s="13">
        <v>4</v>
      </c>
      <c r="N496" s="13">
        <f t="shared" si="56"/>
        <v>7.9700115740779438</v>
      </c>
      <c r="O496" s="13">
        <f t="shared" si="57"/>
        <v>0</v>
      </c>
      <c r="P496" t="str">
        <f t="shared" si="58"/>
        <v>On Time</v>
      </c>
      <c r="Q496" s="13">
        <f t="shared" si="59"/>
        <v>0.26750000001629815</v>
      </c>
      <c r="R496" s="13">
        <f t="shared" si="60"/>
        <v>0.97155092592583969</v>
      </c>
      <c r="S496" s="13">
        <f t="shared" si="61"/>
        <v>6.9873148148180917</v>
      </c>
      <c r="T496" t="str">
        <f t="shared" si="62"/>
        <v>On Time/Early</v>
      </c>
      <c r="U496" t="str">
        <f t="shared" si="63"/>
        <v>Normal</v>
      </c>
      <c r="V496" t="s">
        <v>102</v>
      </c>
    </row>
    <row r="497" spans="1:22">
      <c r="A497" t="s">
        <v>897</v>
      </c>
      <c r="B497" s="10">
        <v>42995.946689814817</v>
      </c>
      <c r="C497" s="10">
        <v>42997.163518518515</v>
      </c>
      <c r="D497" s="10">
        <v>42997.771053240744</v>
      </c>
      <c r="E497" s="10">
        <v>43003.818055555559</v>
      </c>
      <c r="F497" s="10">
        <v>43017</v>
      </c>
      <c r="G497" t="s">
        <v>20</v>
      </c>
      <c r="H497" t="s">
        <v>525</v>
      </c>
      <c r="I497" t="s">
        <v>279</v>
      </c>
      <c r="J497" s="11">
        <v>1</v>
      </c>
      <c r="K497" s="12">
        <v>79</v>
      </c>
      <c r="L497" s="12">
        <v>15.3</v>
      </c>
      <c r="M497" s="13">
        <v>5</v>
      </c>
      <c r="N497" s="13">
        <f t="shared" si="56"/>
        <v>7.8713657407424762</v>
      </c>
      <c r="O497" s="13">
        <f t="shared" si="57"/>
        <v>0</v>
      </c>
      <c r="P497" t="str">
        <f t="shared" si="58"/>
        <v>On Time</v>
      </c>
      <c r="Q497" s="13">
        <f t="shared" si="59"/>
        <v>29.203888888761867</v>
      </c>
      <c r="R497" s="13">
        <f t="shared" si="60"/>
        <v>0.60753472222859273</v>
      </c>
      <c r="S497" s="13">
        <f t="shared" si="61"/>
        <v>6.0470023148154723</v>
      </c>
      <c r="T497" t="str">
        <f t="shared" si="62"/>
        <v>On Time/Early</v>
      </c>
      <c r="U497" t="str">
        <f t="shared" si="63"/>
        <v>Normal</v>
      </c>
      <c r="V497" t="s">
        <v>102</v>
      </c>
    </row>
    <row r="498" spans="1:22">
      <c r="A498" t="s">
        <v>898</v>
      </c>
      <c r="B498" s="10">
        <v>42996.259293981479</v>
      </c>
      <c r="C498" s="10">
        <v>42997.160115740742</v>
      </c>
      <c r="D498" s="10">
        <v>42997.714999999997</v>
      </c>
      <c r="E498" s="10">
        <v>43011.703333333331</v>
      </c>
      <c r="F498" s="10">
        <v>43012</v>
      </c>
      <c r="G498" t="s">
        <v>8</v>
      </c>
      <c r="H498" t="s">
        <v>182</v>
      </c>
      <c r="I498" t="s">
        <v>34</v>
      </c>
      <c r="J498" s="11">
        <v>1</v>
      </c>
      <c r="K498" s="12">
        <v>35</v>
      </c>
      <c r="L498" s="12">
        <v>11.85</v>
      </c>
      <c r="M498" s="13">
        <v>5</v>
      </c>
      <c r="N498" s="13">
        <f t="shared" si="56"/>
        <v>15.444039351852552</v>
      </c>
      <c r="O498" s="13">
        <f t="shared" si="57"/>
        <v>0</v>
      </c>
      <c r="P498" t="str">
        <f t="shared" si="58"/>
        <v>On Time</v>
      </c>
      <c r="Q498" s="13">
        <f t="shared" si="59"/>
        <v>21.619722222327255</v>
      </c>
      <c r="R498" s="13">
        <f t="shared" si="60"/>
        <v>0.55488425925432239</v>
      </c>
      <c r="S498" s="13">
        <f t="shared" si="61"/>
        <v>13.988333333334594</v>
      </c>
      <c r="T498" t="str">
        <f t="shared" si="62"/>
        <v>On Time/Early</v>
      </c>
      <c r="U498" t="str">
        <f t="shared" si="63"/>
        <v>Normal</v>
      </c>
      <c r="V498" t="s">
        <v>102</v>
      </c>
    </row>
    <row r="499" spans="1:22">
      <c r="A499" t="s">
        <v>899</v>
      </c>
      <c r="B499" s="10">
        <v>42996.376574074071</v>
      </c>
      <c r="C499" s="10">
        <v>42997.146203703705</v>
      </c>
      <c r="D499" s="10">
        <v>43010.529328703706</v>
      </c>
      <c r="E499" s="10">
        <v>43019.848796296297</v>
      </c>
      <c r="F499" s="10">
        <v>43024</v>
      </c>
      <c r="G499" t="s">
        <v>33</v>
      </c>
      <c r="H499" t="s">
        <v>900</v>
      </c>
      <c r="I499" t="s">
        <v>112</v>
      </c>
      <c r="J499" s="11">
        <v>1</v>
      </c>
      <c r="K499" s="12">
        <v>689.9</v>
      </c>
      <c r="L499" s="12">
        <v>155.11000000000001</v>
      </c>
      <c r="M499" s="13">
        <v>1</v>
      </c>
      <c r="N499" s="13">
        <f t="shared" si="56"/>
        <v>23.472222222226264</v>
      </c>
      <c r="O499" s="13">
        <f t="shared" si="57"/>
        <v>0</v>
      </c>
      <c r="P499" t="str">
        <f t="shared" si="58"/>
        <v>On Time</v>
      </c>
      <c r="Q499" s="13">
        <f t="shared" si="59"/>
        <v>18.471111111226492</v>
      </c>
      <c r="R499" s="13">
        <f t="shared" si="60"/>
        <v>13.383125000000291</v>
      </c>
      <c r="S499" s="13">
        <f t="shared" si="61"/>
        <v>9.3194675925915362</v>
      </c>
      <c r="T499" t="str">
        <f t="shared" si="62"/>
        <v>On Time/Early</v>
      </c>
      <c r="U499" t="str">
        <f t="shared" si="63"/>
        <v>Normal</v>
      </c>
      <c r="V499" t="s">
        <v>102</v>
      </c>
    </row>
    <row r="500" spans="1:22">
      <c r="A500" t="s">
        <v>901</v>
      </c>
      <c r="B500" s="10">
        <v>42996.662395833337</v>
      </c>
      <c r="C500" s="10">
        <v>42996.673854166664</v>
      </c>
      <c r="D500" s="10">
        <v>42997.772905092592</v>
      </c>
      <c r="E500" s="10">
        <v>43003.84574074074</v>
      </c>
      <c r="F500" s="10">
        <v>43018</v>
      </c>
      <c r="G500" t="s">
        <v>8</v>
      </c>
      <c r="H500" t="s">
        <v>140</v>
      </c>
      <c r="I500" t="s">
        <v>136</v>
      </c>
      <c r="J500" s="11">
        <v>3</v>
      </c>
      <c r="K500" s="12">
        <v>155.07</v>
      </c>
      <c r="L500" s="12">
        <v>62.55</v>
      </c>
      <c r="M500" s="13">
        <v>1</v>
      </c>
      <c r="N500" s="13">
        <f t="shared" si="56"/>
        <v>7.1833449074038072</v>
      </c>
      <c r="O500" s="13">
        <f t="shared" si="57"/>
        <v>0</v>
      </c>
      <c r="P500" t="str">
        <f t="shared" si="58"/>
        <v>On Time</v>
      </c>
      <c r="Q500" s="13">
        <f t="shared" si="59"/>
        <v>0.27499999984866008</v>
      </c>
      <c r="R500" s="13">
        <f t="shared" si="60"/>
        <v>1.099050925928168</v>
      </c>
      <c r="S500" s="13">
        <f t="shared" si="61"/>
        <v>6.0728356481486117</v>
      </c>
      <c r="T500" t="str">
        <f t="shared" si="62"/>
        <v>On Time/Early</v>
      </c>
      <c r="U500" t="str">
        <f t="shared" si="63"/>
        <v>Normal</v>
      </c>
      <c r="V500" t="s">
        <v>102</v>
      </c>
    </row>
    <row r="501" spans="1:22">
      <c r="A501" t="s">
        <v>902</v>
      </c>
      <c r="B501" s="10">
        <v>42997.621435185189</v>
      </c>
      <c r="C501" s="10">
        <v>42997.632187499999</v>
      </c>
      <c r="D501" s="10">
        <v>42999.786851851852</v>
      </c>
      <c r="E501" s="10">
        <v>43005.63082175926</v>
      </c>
      <c r="F501" s="10">
        <v>43014</v>
      </c>
      <c r="G501" t="s">
        <v>8</v>
      </c>
      <c r="H501" t="s">
        <v>903</v>
      </c>
      <c r="I501" t="s">
        <v>141</v>
      </c>
      <c r="J501" s="11">
        <v>1</v>
      </c>
      <c r="K501" s="12">
        <v>85</v>
      </c>
      <c r="L501" s="12">
        <v>16.22</v>
      </c>
      <c r="M501" s="13">
        <v>5</v>
      </c>
      <c r="N501" s="13">
        <f t="shared" si="56"/>
        <v>8.0093865740709589</v>
      </c>
      <c r="O501" s="13">
        <f t="shared" si="57"/>
        <v>0</v>
      </c>
      <c r="P501" t="str">
        <f t="shared" si="58"/>
        <v>On Time</v>
      </c>
      <c r="Q501" s="13">
        <f t="shared" si="59"/>
        <v>0.25805555545957759</v>
      </c>
      <c r="R501" s="13">
        <f t="shared" si="60"/>
        <v>2.1546643518522615</v>
      </c>
      <c r="S501" s="13">
        <f t="shared" si="61"/>
        <v>5.8439699074078817</v>
      </c>
      <c r="T501" t="str">
        <f t="shared" si="62"/>
        <v>On Time/Early</v>
      </c>
      <c r="U501" t="str">
        <f t="shared" si="63"/>
        <v>Normal</v>
      </c>
      <c r="V501" t="s">
        <v>102</v>
      </c>
    </row>
    <row r="502" spans="1:22">
      <c r="A502" t="s">
        <v>904</v>
      </c>
      <c r="B502" s="10">
        <v>42997.640682870369</v>
      </c>
      <c r="C502" s="10">
        <v>42997.649560185186</v>
      </c>
      <c r="D502" s="10">
        <v>42998.799131944441</v>
      </c>
      <c r="E502" s="10">
        <v>43003.790856481479</v>
      </c>
      <c r="F502" s="10">
        <v>43014</v>
      </c>
      <c r="G502" t="s">
        <v>33</v>
      </c>
      <c r="H502" t="s">
        <v>356</v>
      </c>
      <c r="I502" t="s">
        <v>143</v>
      </c>
      <c r="J502" s="11">
        <v>1</v>
      </c>
      <c r="K502" s="12">
        <v>13.99</v>
      </c>
      <c r="L502" s="12">
        <v>14.1</v>
      </c>
      <c r="M502" s="13">
        <v>5</v>
      </c>
      <c r="N502" s="13">
        <f t="shared" si="56"/>
        <v>6.1501736111094942</v>
      </c>
      <c r="O502" s="13">
        <f t="shared" si="57"/>
        <v>0</v>
      </c>
      <c r="P502" t="str">
        <f t="shared" si="58"/>
        <v>On Time</v>
      </c>
      <c r="Q502" s="13">
        <f t="shared" si="59"/>
        <v>0.21305555559229106</v>
      </c>
      <c r="R502" s="13">
        <f t="shared" si="60"/>
        <v>1.1495717592551955</v>
      </c>
      <c r="S502" s="13">
        <f t="shared" si="61"/>
        <v>4.9917245370379533</v>
      </c>
      <c r="T502" t="str">
        <f t="shared" si="62"/>
        <v>On Time/Early</v>
      </c>
      <c r="U502" t="str">
        <f t="shared" si="63"/>
        <v>Normal</v>
      </c>
      <c r="V502" t="s">
        <v>102</v>
      </c>
    </row>
    <row r="503" spans="1:22">
      <c r="A503" t="s">
        <v>905</v>
      </c>
      <c r="B503" s="10">
        <v>42997.975115740737</v>
      </c>
      <c r="C503" s="10">
        <v>42997.982893518521</v>
      </c>
      <c r="D503" s="10">
        <v>43000.796967592592</v>
      </c>
      <c r="E503" s="10">
        <v>43006.871689814812</v>
      </c>
      <c r="F503" s="10">
        <v>43025</v>
      </c>
      <c r="G503" t="s">
        <v>16</v>
      </c>
      <c r="H503" t="s">
        <v>138</v>
      </c>
      <c r="I503" t="s">
        <v>185</v>
      </c>
      <c r="J503" s="11">
        <v>1</v>
      </c>
      <c r="K503" s="12">
        <v>45.9</v>
      </c>
      <c r="L503" s="12">
        <v>15.1</v>
      </c>
      <c r="M503" s="13">
        <v>5</v>
      </c>
      <c r="N503" s="13">
        <f t="shared" si="56"/>
        <v>8.8965740740750334</v>
      </c>
      <c r="O503" s="13">
        <f t="shared" si="57"/>
        <v>0</v>
      </c>
      <c r="P503" t="str">
        <f t="shared" si="58"/>
        <v>On Time</v>
      </c>
      <c r="Q503" s="13">
        <f t="shared" si="59"/>
        <v>0.18666666682111099</v>
      </c>
      <c r="R503" s="13">
        <f t="shared" si="60"/>
        <v>2.8140740740709589</v>
      </c>
      <c r="S503" s="13">
        <f t="shared" si="61"/>
        <v>6.0747222222198616</v>
      </c>
      <c r="T503" t="str">
        <f t="shared" si="62"/>
        <v>On Time/Early</v>
      </c>
      <c r="U503" t="str">
        <f t="shared" si="63"/>
        <v>Normal</v>
      </c>
      <c r="V503" t="s">
        <v>102</v>
      </c>
    </row>
    <row r="504" spans="1:22">
      <c r="A504" t="s">
        <v>906</v>
      </c>
      <c r="B504" s="10">
        <v>42998.042361111111</v>
      </c>
      <c r="C504" s="10">
        <v>42998.052175925928</v>
      </c>
      <c r="D504" s="10">
        <v>42998.778865740744</v>
      </c>
      <c r="E504" s="10">
        <v>43001.741319444445</v>
      </c>
      <c r="F504" s="10">
        <v>43010</v>
      </c>
      <c r="G504" t="s">
        <v>8</v>
      </c>
      <c r="H504" t="s">
        <v>907</v>
      </c>
      <c r="I504" t="s">
        <v>101</v>
      </c>
      <c r="J504" s="11">
        <v>1</v>
      </c>
      <c r="K504" s="12">
        <v>95.9</v>
      </c>
      <c r="L504" s="12">
        <v>13.23</v>
      </c>
      <c r="M504" s="13">
        <v>5</v>
      </c>
      <c r="N504" s="13">
        <f t="shared" si="56"/>
        <v>3.6989583333343035</v>
      </c>
      <c r="O504" s="13">
        <f t="shared" si="57"/>
        <v>0</v>
      </c>
      <c r="P504" t="str">
        <f t="shared" si="58"/>
        <v>On Time</v>
      </c>
      <c r="Q504" s="13">
        <f t="shared" si="59"/>
        <v>0.23555555561324582</v>
      </c>
      <c r="R504" s="13">
        <f t="shared" si="60"/>
        <v>0.72668981481547235</v>
      </c>
      <c r="S504" s="13">
        <f t="shared" si="61"/>
        <v>2.9624537037016125</v>
      </c>
      <c r="T504" t="str">
        <f t="shared" si="62"/>
        <v>On Time/Early</v>
      </c>
      <c r="U504" t="str">
        <f t="shared" si="63"/>
        <v>Normal</v>
      </c>
      <c r="V504" t="s">
        <v>102</v>
      </c>
    </row>
    <row r="505" spans="1:22">
      <c r="A505" t="s">
        <v>908</v>
      </c>
      <c r="B505" s="10">
        <v>42998.480162037034</v>
      </c>
      <c r="C505" s="10">
        <v>42998.878680555557</v>
      </c>
      <c r="D505" s="10">
        <v>42999.826608796298</v>
      </c>
      <c r="E505" s="10">
        <v>43017.909745370373</v>
      </c>
      <c r="F505" s="10">
        <v>43026</v>
      </c>
      <c r="G505" t="s">
        <v>33</v>
      </c>
      <c r="H505" t="s">
        <v>909</v>
      </c>
      <c r="I505" t="s">
        <v>368</v>
      </c>
      <c r="J505" s="11">
        <v>1</v>
      </c>
      <c r="K505" s="12">
        <v>42</v>
      </c>
      <c r="L505" s="12">
        <v>15.1</v>
      </c>
      <c r="M505" s="13">
        <v>5</v>
      </c>
      <c r="N505" s="13">
        <f t="shared" si="56"/>
        <v>19.429583333338087</v>
      </c>
      <c r="O505" s="13">
        <f t="shared" si="57"/>
        <v>0</v>
      </c>
      <c r="P505" t="str">
        <f t="shared" si="58"/>
        <v>On Time</v>
      </c>
      <c r="Q505" s="13">
        <f t="shared" si="59"/>
        <v>9.5644444445497356</v>
      </c>
      <c r="R505" s="13">
        <f t="shared" si="60"/>
        <v>0.947928240741021</v>
      </c>
      <c r="S505" s="13">
        <f t="shared" si="61"/>
        <v>18.08313657407416</v>
      </c>
      <c r="T505" t="str">
        <f t="shared" si="62"/>
        <v>On Time/Early</v>
      </c>
      <c r="U505" t="str">
        <f t="shared" si="63"/>
        <v>Normal</v>
      </c>
      <c r="V505" t="s">
        <v>102</v>
      </c>
    </row>
    <row r="506" spans="1:22">
      <c r="A506" t="s">
        <v>910</v>
      </c>
      <c r="B506" s="10">
        <v>42998.488136574073</v>
      </c>
      <c r="C506" s="10">
        <v>42998.496712962966</v>
      </c>
      <c r="D506" s="10">
        <v>42998.948773148149</v>
      </c>
      <c r="E506" s="10">
        <v>43007.708483796298</v>
      </c>
      <c r="F506" s="10">
        <v>43026</v>
      </c>
      <c r="G506" t="s">
        <v>164</v>
      </c>
      <c r="H506" t="s">
        <v>911</v>
      </c>
      <c r="I506" t="s">
        <v>112</v>
      </c>
      <c r="J506" s="11">
        <v>1</v>
      </c>
      <c r="K506" s="12">
        <v>99.99</v>
      </c>
      <c r="L506" s="12">
        <v>18.27</v>
      </c>
      <c r="M506" s="13">
        <v>5</v>
      </c>
      <c r="N506" s="13">
        <f t="shared" si="56"/>
        <v>9.2203472222245182</v>
      </c>
      <c r="O506" s="13">
        <f t="shared" si="57"/>
        <v>0</v>
      </c>
      <c r="P506" t="str">
        <f t="shared" si="58"/>
        <v>On Time</v>
      </c>
      <c r="Q506" s="13">
        <f t="shared" si="59"/>
        <v>0.2058333334280178</v>
      </c>
      <c r="R506" s="13">
        <f t="shared" si="60"/>
        <v>0.45206018518365454</v>
      </c>
      <c r="S506" s="13">
        <f t="shared" si="61"/>
        <v>8.7597106481480296</v>
      </c>
      <c r="T506" t="str">
        <f t="shared" si="62"/>
        <v>On Time/Early</v>
      </c>
      <c r="U506" t="str">
        <f t="shared" si="63"/>
        <v>Normal</v>
      </c>
      <c r="V506" t="s">
        <v>102</v>
      </c>
    </row>
    <row r="507" spans="1:22">
      <c r="A507" t="s">
        <v>912</v>
      </c>
      <c r="B507" s="10">
        <v>42998.492928240739</v>
      </c>
      <c r="C507" s="10">
        <v>42998.503252314818</v>
      </c>
      <c r="D507" s="10">
        <v>42999.707881944443</v>
      </c>
      <c r="E507" s="10">
        <v>43000.692754629628</v>
      </c>
      <c r="F507" s="10">
        <v>43013</v>
      </c>
      <c r="G507" t="s">
        <v>8</v>
      </c>
      <c r="H507" t="s">
        <v>140</v>
      </c>
      <c r="I507" t="s">
        <v>136</v>
      </c>
      <c r="J507" s="11">
        <v>1</v>
      </c>
      <c r="K507" s="12">
        <v>24.99</v>
      </c>
      <c r="L507" s="12">
        <v>8.7200000000000006</v>
      </c>
      <c r="M507" s="13">
        <v>4</v>
      </c>
      <c r="N507" s="13">
        <f t="shared" si="56"/>
        <v>2.1998263888890506</v>
      </c>
      <c r="O507" s="13">
        <f t="shared" si="57"/>
        <v>0</v>
      </c>
      <c r="P507" t="str">
        <f t="shared" si="58"/>
        <v>On Time</v>
      </c>
      <c r="Q507" s="13">
        <f t="shared" si="59"/>
        <v>0.24777777789859101</v>
      </c>
      <c r="R507" s="13">
        <f t="shared" si="60"/>
        <v>1.2046296296248329</v>
      </c>
      <c r="S507" s="13">
        <f t="shared" si="61"/>
        <v>0.98487268518510973</v>
      </c>
      <c r="T507" t="str">
        <f t="shared" si="62"/>
        <v>On Time/Early</v>
      </c>
      <c r="U507" t="str">
        <f t="shared" si="63"/>
        <v>Normal</v>
      </c>
      <c r="V507" t="s">
        <v>102</v>
      </c>
    </row>
    <row r="508" spans="1:22">
      <c r="A508" t="s">
        <v>913</v>
      </c>
      <c r="B508" s="10">
        <v>42999.445775462962</v>
      </c>
      <c r="C508" s="10">
        <v>43000.170277777775</v>
      </c>
      <c r="D508" s="10">
        <v>43003.821909722225</v>
      </c>
      <c r="E508" s="10">
        <v>43006.818148148152</v>
      </c>
      <c r="F508" s="10">
        <v>43024</v>
      </c>
      <c r="G508" t="s">
        <v>8</v>
      </c>
      <c r="H508" t="s">
        <v>540</v>
      </c>
      <c r="I508" t="s">
        <v>141</v>
      </c>
      <c r="J508" s="11">
        <v>1</v>
      </c>
      <c r="K508" s="12">
        <v>34.9</v>
      </c>
      <c r="L508" s="12">
        <v>12.48</v>
      </c>
      <c r="M508" s="13">
        <v>5</v>
      </c>
      <c r="N508" s="13">
        <f t="shared" si="56"/>
        <v>7.3723726851894753</v>
      </c>
      <c r="O508" s="13">
        <f t="shared" si="57"/>
        <v>0</v>
      </c>
      <c r="P508" t="str">
        <f t="shared" si="58"/>
        <v>On Time</v>
      </c>
      <c r="Q508" s="13">
        <f t="shared" si="59"/>
        <v>17.388055555522442</v>
      </c>
      <c r="R508" s="13">
        <f t="shared" si="60"/>
        <v>3.6516319444490364</v>
      </c>
      <c r="S508" s="13">
        <f t="shared" si="61"/>
        <v>2.9962384259270038</v>
      </c>
      <c r="T508" t="str">
        <f t="shared" si="62"/>
        <v>On Time/Early</v>
      </c>
      <c r="U508" t="str">
        <f t="shared" si="63"/>
        <v>Normal</v>
      </c>
      <c r="V508" t="s">
        <v>102</v>
      </c>
    </row>
    <row r="509" spans="1:22">
      <c r="A509" t="s">
        <v>914</v>
      </c>
      <c r="B509" s="10">
        <v>42999.587870370371</v>
      </c>
      <c r="C509" s="10">
        <v>42999.600717592592</v>
      </c>
      <c r="D509" s="10">
        <v>42999.810972222222</v>
      </c>
      <c r="E509" s="10">
        <v>43004.849178240744</v>
      </c>
      <c r="F509" s="10">
        <v>43024</v>
      </c>
      <c r="G509" t="s">
        <v>8</v>
      </c>
      <c r="H509" t="s">
        <v>915</v>
      </c>
      <c r="I509" t="s">
        <v>58</v>
      </c>
      <c r="J509" s="11">
        <v>1</v>
      </c>
      <c r="K509" s="12">
        <v>159.9</v>
      </c>
      <c r="L509" s="12">
        <v>15.87</v>
      </c>
      <c r="M509" s="13">
        <v>5</v>
      </c>
      <c r="N509" s="13">
        <f t="shared" si="56"/>
        <v>5.2613078703725478</v>
      </c>
      <c r="O509" s="13">
        <f t="shared" si="57"/>
        <v>0</v>
      </c>
      <c r="P509" t="str">
        <f t="shared" si="58"/>
        <v>On Time</v>
      </c>
      <c r="Q509" s="13">
        <f t="shared" si="59"/>
        <v>0.30833333329064772</v>
      </c>
      <c r="R509" s="13">
        <f t="shared" si="60"/>
        <v>0.21025462963007158</v>
      </c>
      <c r="S509" s="13">
        <f t="shared" si="61"/>
        <v>5.0382060185220325</v>
      </c>
      <c r="T509" t="str">
        <f t="shared" si="62"/>
        <v>On Time/Early</v>
      </c>
      <c r="U509" t="str">
        <f t="shared" si="63"/>
        <v>Normal</v>
      </c>
      <c r="V509" t="s">
        <v>102</v>
      </c>
    </row>
    <row r="510" spans="1:22">
      <c r="A510" t="s">
        <v>916</v>
      </c>
      <c r="B510" s="10">
        <v>43000.008958333332</v>
      </c>
      <c r="C510" s="10">
        <v>43000.020995370367</v>
      </c>
      <c r="D510" s="10">
        <v>43005.828344907408</v>
      </c>
      <c r="E510" s="10">
        <v>43021.911354166667</v>
      </c>
      <c r="F510" s="10">
        <v>43026</v>
      </c>
      <c r="G510" t="s">
        <v>20</v>
      </c>
      <c r="H510" t="s">
        <v>470</v>
      </c>
      <c r="I510" t="s">
        <v>262</v>
      </c>
      <c r="J510" s="11">
        <v>1</v>
      </c>
      <c r="K510" s="12">
        <v>79.900000000000006</v>
      </c>
      <c r="L510" s="12">
        <v>17.809999999999999</v>
      </c>
      <c r="M510" s="13">
        <v>5</v>
      </c>
      <c r="N510" s="13">
        <f t="shared" si="56"/>
        <v>21.902395833334594</v>
      </c>
      <c r="O510" s="13">
        <f t="shared" si="57"/>
        <v>0</v>
      </c>
      <c r="P510" t="str">
        <f t="shared" si="58"/>
        <v>On Time</v>
      </c>
      <c r="Q510" s="13">
        <f t="shared" si="59"/>
        <v>0.28888888884102926</v>
      </c>
      <c r="R510" s="13">
        <f t="shared" si="60"/>
        <v>5.8073495370408637</v>
      </c>
      <c r="S510" s="13">
        <f t="shared" si="61"/>
        <v>16.083009259258688</v>
      </c>
      <c r="T510" t="str">
        <f t="shared" si="62"/>
        <v>On Time/Early</v>
      </c>
      <c r="U510" t="str">
        <f t="shared" si="63"/>
        <v>Normal</v>
      </c>
      <c r="V510" t="s">
        <v>102</v>
      </c>
    </row>
    <row r="511" spans="1:22">
      <c r="A511" t="s">
        <v>917</v>
      </c>
      <c r="B511" s="10">
        <v>43000.625034722223</v>
      </c>
      <c r="C511" s="10">
        <v>43000.632256944446</v>
      </c>
      <c r="D511" s="10">
        <v>43004.729155092595</v>
      </c>
      <c r="E511" s="10">
        <v>43018.432662037034</v>
      </c>
      <c r="F511" s="10">
        <v>43032</v>
      </c>
      <c r="G511" t="s">
        <v>474</v>
      </c>
      <c r="H511" t="s">
        <v>918</v>
      </c>
      <c r="I511" t="s">
        <v>128</v>
      </c>
      <c r="J511" s="11">
        <v>1</v>
      </c>
      <c r="K511" s="12">
        <v>59.9</v>
      </c>
      <c r="L511" s="12">
        <v>37.97</v>
      </c>
      <c r="M511" s="13">
        <v>1</v>
      </c>
      <c r="N511" s="13">
        <f t="shared" si="56"/>
        <v>17.807627314810816</v>
      </c>
      <c r="O511" s="13">
        <f t="shared" si="57"/>
        <v>0</v>
      </c>
      <c r="P511" t="str">
        <f t="shared" si="58"/>
        <v>On Time</v>
      </c>
      <c r="Q511" s="13">
        <f t="shared" si="59"/>
        <v>0.17333333333954215</v>
      </c>
      <c r="R511" s="13">
        <f t="shared" si="60"/>
        <v>4.0968981481491937</v>
      </c>
      <c r="S511" s="13">
        <f t="shared" si="61"/>
        <v>13.703506944439141</v>
      </c>
      <c r="T511" t="str">
        <f t="shared" si="62"/>
        <v>On Time/Early</v>
      </c>
      <c r="U511" t="str">
        <f t="shared" si="63"/>
        <v>Normal</v>
      </c>
      <c r="V511" t="s">
        <v>102</v>
      </c>
    </row>
    <row r="512" spans="1:22">
      <c r="A512" t="s">
        <v>919</v>
      </c>
      <c r="B512" s="10">
        <v>43001.694548611114</v>
      </c>
      <c r="C512" s="10">
        <v>43001.705011574071</v>
      </c>
      <c r="D512" s="10">
        <v>43004.869641203702</v>
      </c>
      <c r="E512" s="10">
        <v>43013.830266203702</v>
      </c>
      <c r="F512" s="10">
        <v>43026</v>
      </c>
      <c r="G512" t="s">
        <v>16</v>
      </c>
      <c r="H512" t="s">
        <v>852</v>
      </c>
      <c r="I512" t="s">
        <v>34</v>
      </c>
      <c r="J512" s="11">
        <v>1</v>
      </c>
      <c r="K512" s="12">
        <v>39.9</v>
      </c>
      <c r="L512" s="12">
        <v>14.1</v>
      </c>
      <c r="M512" s="13">
        <v>5</v>
      </c>
      <c r="N512" s="13">
        <f t="shared" si="56"/>
        <v>12.135717592587753</v>
      </c>
      <c r="O512" s="13">
        <f t="shared" si="57"/>
        <v>0</v>
      </c>
      <c r="P512" t="str">
        <f t="shared" si="58"/>
        <v>On Time</v>
      </c>
      <c r="Q512" s="13">
        <f t="shared" si="59"/>
        <v>0.251111110963393</v>
      </c>
      <c r="R512" s="13">
        <f t="shared" si="60"/>
        <v>3.1646296296312357</v>
      </c>
      <c r="S512" s="13">
        <f t="shared" si="61"/>
        <v>8.960624999999709</v>
      </c>
      <c r="T512" t="str">
        <f t="shared" si="62"/>
        <v>On Time/Early</v>
      </c>
      <c r="U512" t="str">
        <f t="shared" si="63"/>
        <v>Normal</v>
      </c>
      <c r="V512" t="s">
        <v>102</v>
      </c>
    </row>
    <row r="513" spans="1:22">
      <c r="A513" t="s">
        <v>920</v>
      </c>
      <c r="B513" s="10">
        <v>43002.352268518516</v>
      </c>
      <c r="C513" s="10">
        <v>43002.36383101852</v>
      </c>
      <c r="D513" s="10">
        <v>43005.839039351849</v>
      </c>
      <c r="E513" s="10">
        <v>43013.965231481481</v>
      </c>
      <c r="F513" s="10">
        <v>43027</v>
      </c>
      <c r="G513" t="s">
        <v>8</v>
      </c>
      <c r="H513" t="s">
        <v>140</v>
      </c>
      <c r="I513" t="s">
        <v>279</v>
      </c>
      <c r="J513" s="11">
        <v>1</v>
      </c>
      <c r="K513" s="12">
        <v>79</v>
      </c>
      <c r="L513" s="12">
        <v>14.3</v>
      </c>
      <c r="M513" s="13">
        <v>5</v>
      </c>
      <c r="N513" s="13">
        <f t="shared" si="56"/>
        <v>11.612962962964957</v>
      </c>
      <c r="O513" s="13">
        <f t="shared" si="57"/>
        <v>0</v>
      </c>
      <c r="P513" t="str">
        <f t="shared" si="58"/>
        <v>On Time</v>
      </c>
      <c r="Q513" s="13">
        <f t="shared" si="59"/>
        <v>0.27750000008381903</v>
      </c>
      <c r="R513" s="13">
        <f t="shared" si="60"/>
        <v>3.4752083333296468</v>
      </c>
      <c r="S513" s="13">
        <f t="shared" si="61"/>
        <v>8.1261921296318178</v>
      </c>
      <c r="T513" t="str">
        <f t="shared" si="62"/>
        <v>On Time/Early</v>
      </c>
      <c r="U513" t="str">
        <f t="shared" si="63"/>
        <v>Normal</v>
      </c>
      <c r="V513" t="s">
        <v>102</v>
      </c>
    </row>
    <row r="514" spans="1:22">
      <c r="A514" t="s">
        <v>921</v>
      </c>
      <c r="B514" s="10">
        <v>43002.775902777779</v>
      </c>
      <c r="C514" s="10">
        <v>43002.784837962965</v>
      </c>
      <c r="D514" s="10">
        <v>43004.489247685182</v>
      </c>
      <c r="E514" s="10">
        <v>43013.790833333333</v>
      </c>
      <c r="F514" s="10">
        <v>43025</v>
      </c>
      <c r="G514" t="s">
        <v>8</v>
      </c>
      <c r="H514" t="s">
        <v>161</v>
      </c>
      <c r="I514" t="s">
        <v>101</v>
      </c>
      <c r="J514" s="11">
        <v>1</v>
      </c>
      <c r="K514" s="12">
        <v>196.36</v>
      </c>
      <c r="L514" s="12">
        <v>18.079999999999998</v>
      </c>
      <c r="M514" s="13">
        <v>4</v>
      </c>
      <c r="N514" s="13">
        <f t="shared" ref="N514:N577" si="64">IFERROR(E514-B514,"")</f>
        <v>11.014930555553292</v>
      </c>
      <c r="O514" s="13">
        <f t="shared" ref="O514:O577" si="65">IFERROR(MAX(0,E514-F514),"")</f>
        <v>0</v>
      </c>
      <c r="P514" t="str">
        <f t="shared" ref="P514:P577" si="66">IF(O514&gt;0,"Delayed","On Time")</f>
        <v>On Time</v>
      </c>
      <c r="Q514" s="13">
        <f t="shared" ref="Q514:Q577" si="67">IFERROR((C514-B514)*24,"")</f>
        <v>0.21444444445660338</v>
      </c>
      <c r="R514" s="13">
        <f t="shared" ref="R514:R577" si="68">IFERROR(D514-C514,"")</f>
        <v>1.7044097222169512</v>
      </c>
      <c r="S514" s="13">
        <f t="shared" ref="S514:S577" si="69">IFERROR(E514-D514,"")</f>
        <v>9.3015856481506489</v>
      </c>
      <c r="T514" t="str">
        <f t="shared" ref="T514:T577" si="70">IF(O514=0,"On Time/Early",IF(O514&lt;=3,"1-3 Days Late",IF(O514&lt;=7,"4-7 Days Late","8+ Days Late")))</f>
        <v>On Time/Early</v>
      </c>
      <c r="U514" t="str">
        <f t="shared" ref="U514:U577" si="71">IF(P514="Delayed","Needs Review","Normal")</f>
        <v>Normal</v>
      </c>
      <c r="V514" t="s">
        <v>102</v>
      </c>
    </row>
    <row r="515" spans="1:22">
      <c r="A515" t="s">
        <v>922</v>
      </c>
      <c r="B515" s="10">
        <v>43002.833703703705</v>
      </c>
      <c r="C515" s="10">
        <v>43002.843888888892</v>
      </c>
      <c r="D515" s="10">
        <v>43012.587650462963</v>
      </c>
      <c r="E515" s="10">
        <v>43017.85900462963</v>
      </c>
      <c r="F515" s="10">
        <v>43035</v>
      </c>
      <c r="G515" t="s">
        <v>30</v>
      </c>
      <c r="H515" t="s">
        <v>923</v>
      </c>
      <c r="I515" t="s">
        <v>101</v>
      </c>
      <c r="J515" s="11">
        <v>1</v>
      </c>
      <c r="K515" s="12">
        <v>250</v>
      </c>
      <c r="L515" s="12">
        <v>54.35</v>
      </c>
      <c r="M515" s="13">
        <v>5</v>
      </c>
      <c r="N515" s="13">
        <f t="shared" si="64"/>
        <v>15.025300925924967</v>
      </c>
      <c r="O515" s="13">
        <f t="shared" si="65"/>
        <v>0</v>
      </c>
      <c r="P515" t="str">
        <f t="shared" si="66"/>
        <v>On Time</v>
      </c>
      <c r="Q515" s="13">
        <f t="shared" si="67"/>
        <v>0.24444444448454306</v>
      </c>
      <c r="R515" s="13">
        <f t="shared" si="68"/>
        <v>9.7437615740709589</v>
      </c>
      <c r="S515" s="13">
        <f t="shared" si="69"/>
        <v>5.2713541666671517</v>
      </c>
      <c r="T515" t="str">
        <f t="shared" si="70"/>
        <v>On Time/Early</v>
      </c>
      <c r="U515" t="str">
        <f t="shared" si="71"/>
        <v>Normal</v>
      </c>
      <c r="V515" t="s">
        <v>102</v>
      </c>
    </row>
    <row r="516" spans="1:22">
      <c r="A516" t="s">
        <v>924</v>
      </c>
      <c r="B516" s="10">
        <v>43003.876192129632</v>
      </c>
      <c r="C516" s="10">
        <v>43004.880162037036</v>
      </c>
      <c r="D516" s="10">
        <v>43005.860636574071</v>
      </c>
      <c r="E516" s="10">
        <v>43008.682604166665</v>
      </c>
      <c r="F516" s="10">
        <v>43018</v>
      </c>
      <c r="G516" t="s">
        <v>8</v>
      </c>
      <c r="H516" t="s">
        <v>140</v>
      </c>
      <c r="I516" t="s">
        <v>58</v>
      </c>
      <c r="J516" s="11">
        <v>1</v>
      </c>
      <c r="K516" s="12">
        <v>325</v>
      </c>
      <c r="L516" s="12">
        <v>10.47</v>
      </c>
      <c r="M516" s="13">
        <v>4</v>
      </c>
      <c r="N516" s="13">
        <f t="shared" si="64"/>
        <v>4.8064120370327146</v>
      </c>
      <c r="O516" s="13">
        <f t="shared" si="65"/>
        <v>0</v>
      </c>
      <c r="P516" t="str">
        <f t="shared" si="66"/>
        <v>On Time</v>
      </c>
      <c r="Q516" s="13">
        <f t="shared" si="67"/>
        <v>24.095277777698357</v>
      </c>
      <c r="R516" s="13">
        <f t="shared" si="68"/>
        <v>0.98047453703475185</v>
      </c>
      <c r="S516" s="13">
        <f t="shared" si="69"/>
        <v>2.8219675925938645</v>
      </c>
      <c r="T516" t="str">
        <f t="shared" si="70"/>
        <v>On Time/Early</v>
      </c>
      <c r="U516" t="str">
        <f t="shared" si="71"/>
        <v>Normal</v>
      </c>
      <c r="V516" t="s">
        <v>102</v>
      </c>
    </row>
    <row r="517" spans="1:22">
      <c r="A517" t="s">
        <v>925</v>
      </c>
      <c r="B517" s="10">
        <v>43004.494131944448</v>
      </c>
      <c r="C517" s="10">
        <v>43004.503055555557</v>
      </c>
      <c r="D517" s="10">
        <v>43005.629317129627</v>
      </c>
      <c r="E517" s="10">
        <v>43018.753831018519</v>
      </c>
      <c r="F517" s="10">
        <v>43031</v>
      </c>
      <c r="G517" t="s">
        <v>16</v>
      </c>
      <c r="H517" t="s">
        <v>926</v>
      </c>
      <c r="I517" t="s">
        <v>21</v>
      </c>
      <c r="J517" s="11">
        <v>1</v>
      </c>
      <c r="K517" s="12">
        <v>89.9</v>
      </c>
      <c r="L517" s="12">
        <v>17.88</v>
      </c>
      <c r="M517" s="13">
        <v>5</v>
      </c>
      <c r="N517" s="13">
        <f t="shared" si="64"/>
        <v>14.25969907407125</v>
      </c>
      <c r="O517" s="13">
        <f t="shared" si="65"/>
        <v>0</v>
      </c>
      <c r="P517" t="str">
        <f t="shared" si="66"/>
        <v>On Time</v>
      </c>
      <c r="Q517" s="13">
        <f t="shared" si="67"/>
        <v>0.21416666661389172</v>
      </c>
      <c r="R517" s="13">
        <f t="shared" si="68"/>
        <v>1.1262615740706678</v>
      </c>
      <c r="S517" s="13">
        <f t="shared" si="69"/>
        <v>13.12451388889167</v>
      </c>
      <c r="T517" t="str">
        <f t="shared" si="70"/>
        <v>On Time/Early</v>
      </c>
      <c r="U517" t="str">
        <f t="shared" si="71"/>
        <v>Normal</v>
      </c>
      <c r="V517" t="s">
        <v>102</v>
      </c>
    </row>
    <row r="518" spans="1:22">
      <c r="A518" t="s">
        <v>927</v>
      </c>
      <c r="B518" s="10">
        <v>43004.680277777778</v>
      </c>
      <c r="C518" s="10">
        <v>43006.122673611113</v>
      </c>
      <c r="D518" s="10">
        <v>43007.716412037036</v>
      </c>
      <c r="E518" s="10">
        <v>43013.915034722224</v>
      </c>
      <c r="F518" s="10">
        <v>43031</v>
      </c>
      <c r="G518" t="s">
        <v>8</v>
      </c>
      <c r="H518" t="s">
        <v>403</v>
      </c>
      <c r="I518" t="s">
        <v>143</v>
      </c>
      <c r="J518" s="11">
        <v>1</v>
      </c>
      <c r="K518" s="12">
        <v>56.99</v>
      </c>
      <c r="L518" s="12">
        <v>11.9</v>
      </c>
      <c r="M518" s="13">
        <v>4</v>
      </c>
      <c r="N518" s="13">
        <f t="shared" si="64"/>
        <v>9.234756944446417</v>
      </c>
      <c r="O518" s="13">
        <f t="shared" si="65"/>
        <v>0</v>
      </c>
      <c r="P518" t="str">
        <f t="shared" si="66"/>
        <v>On Time</v>
      </c>
      <c r="Q518" s="13">
        <f t="shared" si="67"/>
        <v>34.617500000051223</v>
      </c>
      <c r="R518" s="13">
        <f t="shared" si="68"/>
        <v>1.5937384259232203</v>
      </c>
      <c r="S518" s="13">
        <f t="shared" si="69"/>
        <v>6.1986226851877291</v>
      </c>
      <c r="T518" t="str">
        <f t="shared" si="70"/>
        <v>On Time/Early</v>
      </c>
      <c r="U518" t="str">
        <f t="shared" si="71"/>
        <v>Normal</v>
      </c>
      <c r="V518" t="s">
        <v>102</v>
      </c>
    </row>
    <row r="519" spans="1:22">
      <c r="A519" t="s">
        <v>928</v>
      </c>
      <c r="B519" s="10">
        <v>43004.914131944446</v>
      </c>
      <c r="C519" s="10">
        <v>43004.921678240738</v>
      </c>
      <c r="D519" s="10">
        <v>43017.913194444445</v>
      </c>
      <c r="E519" s="10">
        <v>43042.86277777778</v>
      </c>
      <c r="F519" s="10">
        <v>43038</v>
      </c>
      <c r="G519" t="s">
        <v>192</v>
      </c>
      <c r="H519" t="s">
        <v>615</v>
      </c>
      <c r="I519" t="s">
        <v>185</v>
      </c>
      <c r="J519" s="11">
        <v>1</v>
      </c>
      <c r="K519" s="12">
        <v>112.33</v>
      </c>
      <c r="L519" s="12">
        <v>25.34</v>
      </c>
      <c r="M519" s="13">
        <v>4</v>
      </c>
      <c r="N519" s="13">
        <f t="shared" si="64"/>
        <v>37.948645833334012</v>
      </c>
      <c r="O519" s="13">
        <f t="shared" si="65"/>
        <v>4.8627777777801384</v>
      </c>
      <c r="P519" t="str">
        <f t="shared" si="66"/>
        <v>Delayed</v>
      </c>
      <c r="Q519" s="13">
        <f t="shared" si="67"/>
        <v>0.18111111101461574</v>
      </c>
      <c r="R519" s="13">
        <f t="shared" si="68"/>
        <v>12.991516203706851</v>
      </c>
      <c r="S519" s="13">
        <f t="shared" si="69"/>
        <v>24.949583333334886</v>
      </c>
      <c r="T519" t="str">
        <f t="shared" si="70"/>
        <v>4-7 Days Late</v>
      </c>
      <c r="U519" t="str">
        <f t="shared" si="71"/>
        <v>Needs Review</v>
      </c>
      <c r="V519" t="s">
        <v>102</v>
      </c>
    </row>
    <row r="520" spans="1:22">
      <c r="A520" t="s">
        <v>929</v>
      </c>
      <c r="B520" s="10">
        <v>43004.993090277778</v>
      </c>
      <c r="C520" s="10">
        <v>43005.003298611111</v>
      </c>
      <c r="D520" s="10">
        <v>43005.895891203705</v>
      </c>
      <c r="E520" s="10">
        <v>43017.543645833335</v>
      </c>
      <c r="F520" s="10">
        <v>43034</v>
      </c>
      <c r="G520" t="s">
        <v>23</v>
      </c>
      <c r="H520" t="s">
        <v>930</v>
      </c>
      <c r="I520" t="s">
        <v>115</v>
      </c>
      <c r="J520" s="11">
        <v>1</v>
      </c>
      <c r="K520" s="12">
        <v>177.99</v>
      </c>
      <c r="L520" s="12">
        <v>17.690000000000001</v>
      </c>
      <c r="M520" s="13">
        <v>5</v>
      </c>
      <c r="N520" s="13">
        <f t="shared" si="64"/>
        <v>12.550555555557366</v>
      </c>
      <c r="O520" s="13">
        <f t="shared" si="65"/>
        <v>0</v>
      </c>
      <c r="P520" t="str">
        <f t="shared" si="66"/>
        <v>On Time</v>
      </c>
      <c r="Q520" s="13">
        <f t="shared" si="67"/>
        <v>0.24499999999534339</v>
      </c>
      <c r="R520" s="13">
        <f t="shared" si="68"/>
        <v>0.89259259259415558</v>
      </c>
      <c r="S520" s="13">
        <f t="shared" si="69"/>
        <v>11.647754629630072</v>
      </c>
      <c r="T520" t="str">
        <f t="shared" si="70"/>
        <v>On Time/Early</v>
      </c>
      <c r="U520" t="str">
        <f t="shared" si="71"/>
        <v>Normal</v>
      </c>
      <c r="V520" t="s">
        <v>102</v>
      </c>
    </row>
    <row r="521" spans="1:22">
      <c r="A521" t="s">
        <v>931</v>
      </c>
      <c r="B521" s="10">
        <v>43005.299039351848</v>
      </c>
      <c r="C521" s="10">
        <v>43005.308877314812</v>
      </c>
      <c r="D521" s="10">
        <v>43006.641736111109</v>
      </c>
      <c r="E521" s="10">
        <v>43017.818576388891</v>
      </c>
      <c r="F521" s="10">
        <v>43039</v>
      </c>
      <c r="G521" t="s">
        <v>30</v>
      </c>
      <c r="H521" t="s">
        <v>585</v>
      </c>
      <c r="I521" t="s">
        <v>136</v>
      </c>
      <c r="J521" s="11">
        <v>1</v>
      </c>
      <c r="K521" s="12">
        <v>219</v>
      </c>
      <c r="L521" s="12">
        <v>18.78</v>
      </c>
      <c r="M521" s="13">
        <v>5</v>
      </c>
      <c r="N521" s="13">
        <f t="shared" si="64"/>
        <v>12.519537037042028</v>
      </c>
      <c r="O521" s="13">
        <f t="shared" si="65"/>
        <v>0</v>
      </c>
      <c r="P521" t="str">
        <f t="shared" si="66"/>
        <v>On Time</v>
      </c>
      <c r="Q521" s="13">
        <f t="shared" si="67"/>
        <v>0.23611111112404615</v>
      </c>
      <c r="R521" s="13">
        <f t="shared" si="68"/>
        <v>1.3328587962969323</v>
      </c>
      <c r="S521" s="13">
        <f t="shared" si="69"/>
        <v>11.176840277781594</v>
      </c>
      <c r="T521" t="str">
        <f t="shared" si="70"/>
        <v>On Time/Early</v>
      </c>
      <c r="U521" t="str">
        <f t="shared" si="71"/>
        <v>Normal</v>
      </c>
      <c r="V521" t="s">
        <v>102</v>
      </c>
    </row>
    <row r="522" spans="1:22">
      <c r="A522" t="s">
        <v>932</v>
      </c>
      <c r="B522" s="10">
        <v>43005.372824074075</v>
      </c>
      <c r="C522" s="10">
        <v>43005.380150462966</v>
      </c>
      <c r="D522" s="10">
        <v>43005.694988425923</v>
      </c>
      <c r="E522" s="10">
        <v>43006.894166666665</v>
      </c>
      <c r="F522" s="10">
        <v>43021</v>
      </c>
      <c r="G522" t="s">
        <v>16</v>
      </c>
      <c r="H522" t="s">
        <v>138</v>
      </c>
      <c r="I522" t="s">
        <v>112</v>
      </c>
      <c r="J522" s="11">
        <v>1</v>
      </c>
      <c r="K522" s="12">
        <v>194.99</v>
      </c>
      <c r="L522" s="12">
        <v>10.38</v>
      </c>
      <c r="M522" s="13">
        <v>5</v>
      </c>
      <c r="N522" s="13">
        <f t="shared" si="64"/>
        <v>1.5213425925903721</v>
      </c>
      <c r="O522" s="13">
        <f t="shared" si="65"/>
        <v>0</v>
      </c>
      <c r="P522" t="str">
        <f t="shared" si="66"/>
        <v>On Time</v>
      </c>
      <c r="Q522" s="13">
        <f t="shared" si="67"/>
        <v>0.17583333340007812</v>
      </c>
      <c r="R522" s="13">
        <f t="shared" si="68"/>
        <v>0.314837962956517</v>
      </c>
      <c r="S522" s="13">
        <f t="shared" si="69"/>
        <v>1.1991782407421852</v>
      </c>
      <c r="T522" t="str">
        <f t="shared" si="70"/>
        <v>On Time/Early</v>
      </c>
      <c r="U522" t="str">
        <f t="shared" si="71"/>
        <v>Normal</v>
      </c>
      <c r="V522" t="s">
        <v>102</v>
      </c>
    </row>
    <row r="523" spans="1:22">
      <c r="A523" t="s">
        <v>933</v>
      </c>
      <c r="B523" s="10">
        <v>43005.442627314813</v>
      </c>
      <c r="C523" s="10">
        <v>43005.451157407406</v>
      </c>
      <c r="D523" s="10">
        <v>43005.700520833336</v>
      </c>
      <c r="E523" s="10">
        <v>43013.758136574077</v>
      </c>
      <c r="F523" s="10">
        <v>43035</v>
      </c>
      <c r="G523" t="s">
        <v>23</v>
      </c>
      <c r="H523" t="s">
        <v>934</v>
      </c>
      <c r="I523" t="s">
        <v>185</v>
      </c>
      <c r="J523" s="11">
        <v>1</v>
      </c>
      <c r="K523" s="12">
        <v>16.899999999999999</v>
      </c>
      <c r="L523" s="12">
        <v>16.79</v>
      </c>
      <c r="M523" s="13">
        <v>5</v>
      </c>
      <c r="N523" s="13">
        <f t="shared" si="64"/>
        <v>8.3155092592642177</v>
      </c>
      <c r="O523" s="13">
        <f t="shared" si="65"/>
        <v>0</v>
      </c>
      <c r="P523" t="str">
        <f t="shared" si="66"/>
        <v>On Time</v>
      </c>
      <c r="Q523" s="13">
        <f t="shared" si="67"/>
        <v>0.20472222223179415</v>
      </c>
      <c r="R523" s="13">
        <f t="shared" si="68"/>
        <v>0.24936342592991423</v>
      </c>
      <c r="S523" s="13">
        <f t="shared" si="69"/>
        <v>8.057615740741312</v>
      </c>
      <c r="T523" t="str">
        <f t="shared" si="70"/>
        <v>On Time/Early</v>
      </c>
      <c r="U523" t="str">
        <f t="shared" si="71"/>
        <v>Normal</v>
      </c>
      <c r="V523" t="s">
        <v>102</v>
      </c>
    </row>
    <row r="524" spans="1:22">
      <c r="A524" t="s">
        <v>935</v>
      </c>
      <c r="B524" s="10">
        <v>43006.523935185185</v>
      </c>
      <c r="C524" s="10">
        <v>43006.534641203703</v>
      </c>
      <c r="D524" s="10">
        <v>43010.687881944446</v>
      </c>
      <c r="E524" s="10">
        <v>43014.773148148146</v>
      </c>
      <c r="F524" s="10">
        <v>43024</v>
      </c>
      <c r="G524" t="s">
        <v>8</v>
      </c>
      <c r="H524" t="s">
        <v>182</v>
      </c>
      <c r="I524" t="s">
        <v>185</v>
      </c>
      <c r="J524" s="11">
        <v>1</v>
      </c>
      <c r="K524" s="12">
        <v>143.80000000000001</v>
      </c>
      <c r="L524" s="12">
        <v>15.76</v>
      </c>
      <c r="M524" s="13">
        <v>3</v>
      </c>
      <c r="N524" s="13">
        <f t="shared" si="64"/>
        <v>8.2492129629608826</v>
      </c>
      <c r="O524" s="13">
        <f t="shared" si="65"/>
        <v>0</v>
      </c>
      <c r="P524" t="str">
        <f t="shared" si="66"/>
        <v>On Time</v>
      </c>
      <c r="Q524" s="13">
        <f t="shared" si="67"/>
        <v>0.25694444443797693</v>
      </c>
      <c r="R524" s="13">
        <f t="shared" si="68"/>
        <v>4.1532407407430583</v>
      </c>
      <c r="S524" s="13">
        <f t="shared" si="69"/>
        <v>4.0852662036995753</v>
      </c>
      <c r="T524" t="str">
        <f t="shared" si="70"/>
        <v>On Time/Early</v>
      </c>
      <c r="U524" t="str">
        <f t="shared" si="71"/>
        <v>Normal</v>
      </c>
      <c r="V524" t="s">
        <v>102</v>
      </c>
    </row>
    <row r="525" spans="1:22">
      <c r="A525" t="s">
        <v>936</v>
      </c>
      <c r="B525" s="10">
        <v>43006.6253125</v>
      </c>
      <c r="C525" s="10">
        <v>43006.634918981479</v>
      </c>
      <c r="D525" s="10">
        <v>43006.904942129629</v>
      </c>
      <c r="E525" s="10">
        <v>43011.648240740738</v>
      </c>
      <c r="F525" s="10">
        <v>43034</v>
      </c>
      <c r="G525" t="s">
        <v>8</v>
      </c>
      <c r="H525" t="s">
        <v>161</v>
      </c>
      <c r="I525" t="s">
        <v>58</v>
      </c>
      <c r="J525" s="11">
        <v>1</v>
      </c>
      <c r="K525" s="12">
        <v>349.9</v>
      </c>
      <c r="L525" s="12">
        <v>17.21</v>
      </c>
      <c r="M525" s="13">
        <v>5</v>
      </c>
      <c r="N525" s="13">
        <f t="shared" si="64"/>
        <v>5.0229282407381106</v>
      </c>
      <c r="O525" s="13">
        <f t="shared" si="65"/>
        <v>0</v>
      </c>
      <c r="P525" t="str">
        <f t="shared" si="66"/>
        <v>On Time</v>
      </c>
      <c r="Q525" s="13">
        <f t="shared" si="67"/>
        <v>0.23055555549217388</v>
      </c>
      <c r="R525" s="13">
        <f t="shared" si="68"/>
        <v>0.27002314815035788</v>
      </c>
      <c r="S525" s="13">
        <f t="shared" si="69"/>
        <v>4.7432986111089122</v>
      </c>
      <c r="T525" t="str">
        <f t="shared" si="70"/>
        <v>On Time/Early</v>
      </c>
      <c r="U525" t="str">
        <f t="shared" si="71"/>
        <v>Normal</v>
      </c>
      <c r="V525" t="s">
        <v>102</v>
      </c>
    </row>
    <row r="526" spans="1:22">
      <c r="A526" t="s">
        <v>937</v>
      </c>
      <c r="B526" s="10">
        <v>43006.857129629629</v>
      </c>
      <c r="C526" s="10">
        <v>43006.86923611111</v>
      </c>
      <c r="D526" s="10">
        <v>43007.885347222225</v>
      </c>
      <c r="E526" s="10">
        <v>43027.905914351853</v>
      </c>
      <c r="F526" s="10">
        <v>43038</v>
      </c>
      <c r="G526" t="s">
        <v>23</v>
      </c>
      <c r="H526" t="s">
        <v>938</v>
      </c>
      <c r="I526" t="s">
        <v>180</v>
      </c>
      <c r="J526" s="11">
        <v>2</v>
      </c>
      <c r="K526" s="12">
        <v>438.9</v>
      </c>
      <c r="L526" s="12">
        <v>49.68</v>
      </c>
      <c r="M526" s="13">
        <v>5</v>
      </c>
      <c r="N526" s="13">
        <f t="shared" si="64"/>
        <v>21.048784722224809</v>
      </c>
      <c r="O526" s="13">
        <f t="shared" si="65"/>
        <v>0</v>
      </c>
      <c r="P526" t="str">
        <f t="shared" si="66"/>
        <v>On Time</v>
      </c>
      <c r="Q526" s="13">
        <f t="shared" si="67"/>
        <v>0.29055555554805323</v>
      </c>
      <c r="R526" s="13">
        <f t="shared" si="68"/>
        <v>1.016111111115606</v>
      </c>
      <c r="S526" s="13">
        <f t="shared" si="69"/>
        <v>20.020567129628034</v>
      </c>
      <c r="T526" t="str">
        <f t="shared" si="70"/>
        <v>On Time/Early</v>
      </c>
      <c r="U526" t="str">
        <f t="shared" si="71"/>
        <v>Normal</v>
      </c>
      <c r="V526" t="s">
        <v>102</v>
      </c>
    </row>
    <row r="527" spans="1:22">
      <c r="A527" t="s">
        <v>939</v>
      </c>
      <c r="B527" s="10">
        <v>43006.945752314816</v>
      </c>
      <c r="C527" s="10">
        <v>43006.955682870372</v>
      </c>
      <c r="D527" s="10">
        <v>43007.759814814817</v>
      </c>
      <c r="E527" s="10">
        <v>43017.777303240742</v>
      </c>
      <c r="F527" s="10">
        <v>43034</v>
      </c>
      <c r="G527" t="s">
        <v>33</v>
      </c>
      <c r="H527" t="s">
        <v>356</v>
      </c>
      <c r="I527" t="s">
        <v>58</v>
      </c>
      <c r="J527" s="11">
        <v>1</v>
      </c>
      <c r="K527" s="12">
        <v>29.9</v>
      </c>
      <c r="L527" s="12">
        <v>15.1</v>
      </c>
      <c r="M527" s="13">
        <v>5</v>
      </c>
      <c r="N527" s="13">
        <f t="shared" si="64"/>
        <v>10.831550925926422</v>
      </c>
      <c r="O527" s="13">
        <f t="shared" si="65"/>
        <v>0</v>
      </c>
      <c r="P527" t="str">
        <f t="shared" si="66"/>
        <v>On Time</v>
      </c>
      <c r="Q527" s="13">
        <f t="shared" si="67"/>
        <v>0.23833333334187046</v>
      </c>
      <c r="R527" s="13">
        <f t="shared" si="68"/>
        <v>0.80413194444554392</v>
      </c>
      <c r="S527" s="13">
        <f t="shared" si="69"/>
        <v>10.017488425924967</v>
      </c>
      <c r="T527" t="str">
        <f t="shared" si="70"/>
        <v>On Time/Early</v>
      </c>
      <c r="U527" t="str">
        <f t="shared" si="71"/>
        <v>Normal</v>
      </c>
      <c r="V527" t="s">
        <v>102</v>
      </c>
    </row>
    <row r="528" spans="1:22">
      <c r="A528" t="s">
        <v>940</v>
      </c>
      <c r="B528" s="10">
        <v>43006.96266203704</v>
      </c>
      <c r="C528" s="10">
        <v>43006.975891203707</v>
      </c>
      <c r="D528" s="10">
        <v>43007.644537037035</v>
      </c>
      <c r="E528" s="10">
        <v>43012.782025462962</v>
      </c>
      <c r="F528" s="10">
        <v>43028</v>
      </c>
      <c r="G528" t="s">
        <v>8</v>
      </c>
      <c r="H528" t="s">
        <v>620</v>
      </c>
      <c r="I528" t="s">
        <v>221</v>
      </c>
      <c r="J528" s="11">
        <v>1</v>
      </c>
      <c r="K528" s="12">
        <v>134.9</v>
      </c>
      <c r="L528" s="12">
        <v>12.44</v>
      </c>
      <c r="M528" s="13">
        <v>5</v>
      </c>
      <c r="N528" s="13">
        <f t="shared" si="64"/>
        <v>5.8193634259223472</v>
      </c>
      <c r="O528" s="13">
        <f t="shared" si="65"/>
        <v>0</v>
      </c>
      <c r="P528" t="str">
        <f t="shared" si="66"/>
        <v>On Time</v>
      </c>
      <c r="Q528" s="13">
        <f t="shared" si="67"/>
        <v>0.31750000000465661</v>
      </c>
      <c r="R528" s="13">
        <f t="shared" si="68"/>
        <v>0.66864583332790062</v>
      </c>
      <c r="S528" s="13">
        <f t="shared" si="69"/>
        <v>5.1374884259275859</v>
      </c>
      <c r="T528" t="str">
        <f t="shared" si="70"/>
        <v>On Time/Early</v>
      </c>
      <c r="U528" t="str">
        <f t="shared" si="71"/>
        <v>Normal</v>
      </c>
      <c r="V528" t="s">
        <v>102</v>
      </c>
    </row>
    <row r="529" spans="1:22">
      <c r="A529" t="s">
        <v>941</v>
      </c>
      <c r="B529" s="10">
        <v>43007.475104166668</v>
      </c>
      <c r="C529" s="10">
        <v>43008.100497685184</v>
      </c>
      <c r="D529" s="10">
        <v>43008.630219907405</v>
      </c>
      <c r="E529" s="10">
        <v>43013.868888888886</v>
      </c>
      <c r="F529" s="10">
        <v>43032</v>
      </c>
      <c r="G529" t="s">
        <v>30</v>
      </c>
      <c r="H529" t="s">
        <v>365</v>
      </c>
      <c r="I529" t="s">
        <v>136</v>
      </c>
      <c r="J529" s="11">
        <v>1</v>
      </c>
      <c r="K529" s="12">
        <v>96.99</v>
      </c>
      <c r="L529" s="12">
        <v>16.440000000000001</v>
      </c>
      <c r="M529" s="13">
        <v>5</v>
      </c>
      <c r="N529" s="13">
        <f t="shared" si="64"/>
        <v>6.3937847222186974</v>
      </c>
      <c r="O529" s="13">
        <f t="shared" si="65"/>
        <v>0</v>
      </c>
      <c r="P529" t="str">
        <f t="shared" si="66"/>
        <v>On Time</v>
      </c>
      <c r="Q529" s="13">
        <f t="shared" si="67"/>
        <v>15.009444444382098</v>
      </c>
      <c r="R529" s="13">
        <f t="shared" si="68"/>
        <v>0.52972222222160781</v>
      </c>
      <c r="S529" s="13">
        <f t="shared" si="69"/>
        <v>5.2386689814811689</v>
      </c>
      <c r="T529" t="str">
        <f t="shared" si="70"/>
        <v>On Time/Early</v>
      </c>
      <c r="U529" t="str">
        <f t="shared" si="71"/>
        <v>Normal</v>
      </c>
      <c r="V529" t="s">
        <v>102</v>
      </c>
    </row>
    <row r="530" spans="1:22">
      <c r="A530" t="s">
        <v>942</v>
      </c>
      <c r="B530" s="10">
        <v>43007.697916666664</v>
      </c>
      <c r="C530" s="10">
        <v>43007.705833333333</v>
      </c>
      <c r="D530" s="10">
        <v>43010.575752314813</v>
      </c>
      <c r="E530" s="10">
        <v>43017.839444444442</v>
      </c>
      <c r="F530" s="10">
        <v>43032</v>
      </c>
      <c r="G530" t="s">
        <v>8</v>
      </c>
      <c r="H530" t="s">
        <v>182</v>
      </c>
      <c r="I530" t="s">
        <v>279</v>
      </c>
      <c r="J530" s="11">
        <v>1</v>
      </c>
      <c r="K530" s="12">
        <v>439</v>
      </c>
      <c r="L530" s="12">
        <v>16.82</v>
      </c>
      <c r="M530" s="13">
        <v>5</v>
      </c>
      <c r="N530" s="13">
        <f t="shared" si="64"/>
        <v>10.14152777777781</v>
      </c>
      <c r="O530" s="13">
        <f t="shared" si="65"/>
        <v>0</v>
      </c>
      <c r="P530" t="str">
        <f t="shared" si="66"/>
        <v>On Time</v>
      </c>
      <c r="Q530" s="13">
        <f t="shared" si="67"/>
        <v>0.19000000006053597</v>
      </c>
      <c r="R530" s="13">
        <f t="shared" si="68"/>
        <v>2.8699189814797137</v>
      </c>
      <c r="S530" s="13">
        <f t="shared" si="69"/>
        <v>7.2636921296289074</v>
      </c>
      <c r="T530" t="str">
        <f t="shared" si="70"/>
        <v>On Time/Early</v>
      </c>
      <c r="U530" t="str">
        <f t="shared" si="71"/>
        <v>Normal</v>
      </c>
      <c r="V530" t="s">
        <v>102</v>
      </c>
    </row>
    <row r="531" spans="1:22">
      <c r="A531" t="s">
        <v>943</v>
      </c>
      <c r="B531" s="10">
        <v>43008.272662037038</v>
      </c>
      <c r="C531" s="10">
        <v>43008.294756944444</v>
      </c>
      <c r="D531" s="10">
        <v>43010.686192129629</v>
      </c>
      <c r="E531" s="10">
        <v>43014.949189814812</v>
      </c>
      <c r="F531" s="10">
        <v>43032</v>
      </c>
      <c r="G531" t="s">
        <v>20</v>
      </c>
      <c r="H531" t="s">
        <v>187</v>
      </c>
      <c r="I531" t="s">
        <v>128</v>
      </c>
      <c r="J531" s="11">
        <v>1</v>
      </c>
      <c r="K531" s="12">
        <v>99</v>
      </c>
      <c r="L531" s="12">
        <v>21.74</v>
      </c>
      <c r="M531" s="13">
        <v>5</v>
      </c>
      <c r="N531" s="13">
        <f t="shared" si="64"/>
        <v>6.6765277777740266</v>
      </c>
      <c r="O531" s="13">
        <f t="shared" si="65"/>
        <v>0</v>
      </c>
      <c r="P531" t="str">
        <f t="shared" si="66"/>
        <v>On Time</v>
      </c>
      <c r="Q531" s="13">
        <f t="shared" si="67"/>
        <v>0.53027777775423601</v>
      </c>
      <c r="R531" s="13">
        <f t="shared" si="68"/>
        <v>2.3914351851854008</v>
      </c>
      <c r="S531" s="13">
        <f t="shared" si="69"/>
        <v>4.2629976851821993</v>
      </c>
      <c r="T531" t="str">
        <f t="shared" si="70"/>
        <v>On Time/Early</v>
      </c>
      <c r="U531" t="str">
        <f t="shared" si="71"/>
        <v>Normal</v>
      </c>
      <c r="V531" t="s">
        <v>102</v>
      </c>
    </row>
    <row r="532" spans="1:22">
      <c r="A532" t="s">
        <v>944</v>
      </c>
      <c r="B532" s="10">
        <v>43009.34915509259</v>
      </c>
      <c r="C532" s="10">
        <v>43009.357812499999</v>
      </c>
      <c r="D532" s="10">
        <v>43011.010474537034</v>
      </c>
      <c r="E532" s="10">
        <v>43013.859548611108</v>
      </c>
      <c r="F532" s="10">
        <v>43032</v>
      </c>
      <c r="G532" t="s">
        <v>8</v>
      </c>
      <c r="H532" t="s">
        <v>270</v>
      </c>
      <c r="I532" t="s">
        <v>368</v>
      </c>
      <c r="J532" s="11">
        <v>1</v>
      </c>
      <c r="K532" s="12">
        <v>169</v>
      </c>
      <c r="L532" s="12">
        <v>13.52</v>
      </c>
      <c r="M532" s="13">
        <v>5</v>
      </c>
      <c r="N532" s="13">
        <f t="shared" si="64"/>
        <v>4.510393518517958</v>
      </c>
      <c r="O532" s="13">
        <f t="shared" si="65"/>
        <v>0</v>
      </c>
      <c r="P532" t="str">
        <f t="shared" si="66"/>
        <v>On Time</v>
      </c>
      <c r="Q532" s="13">
        <f t="shared" si="67"/>
        <v>0.20777777780313045</v>
      </c>
      <c r="R532" s="13">
        <f t="shared" si="68"/>
        <v>1.6526620370350429</v>
      </c>
      <c r="S532" s="13">
        <f t="shared" si="69"/>
        <v>2.8490740740744513</v>
      </c>
      <c r="T532" t="str">
        <f t="shared" si="70"/>
        <v>On Time/Early</v>
      </c>
      <c r="U532" t="str">
        <f t="shared" si="71"/>
        <v>Normal</v>
      </c>
      <c r="V532" t="s">
        <v>102</v>
      </c>
    </row>
    <row r="533" spans="1:22">
      <c r="A533" t="s">
        <v>945</v>
      </c>
      <c r="B533" s="10">
        <v>43009.634479166663</v>
      </c>
      <c r="C533" s="10">
        <v>43009.639837962961</v>
      </c>
      <c r="D533" s="10">
        <v>43012.817164351851</v>
      </c>
      <c r="E533" s="10">
        <v>43024.675300925926</v>
      </c>
      <c r="F533" s="10">
        <v>43039</v>
      </c>
      <c r="G533" t="s">
        <v>43</v>
      </c>
      <c r="H533" t="s">
        <v>946</v>
      </c>
      <c r="I533" t="s">
        <v>112</v>
      </c>
      <c r="J533" s="11">
        <v>1</v>
      </c>
      <c r="K533" s="12">
        <v>38.89</v>
      </c>
      <c r="L533" s="12">
        <v>17.600000000000001</v>
      </c>
      <c r="M533" s="13">
        <v>4</v>
      </c>
      <c r="N533" s="13">
        <f t="shared" si="64"/>
        <v>15.040821759263054</v>
      </c>
      <c r="O533" s="13">
        <f t="shared" si="65"/>
        <v>0</v>
      </c>
      <c r="P533" t="str">
        <f t="shared" si="66"/>
        <v>On Time</v>
      </c>
      <c r="Q533" s="13">
        <f t="shared" si="67"/>
        <v>0.12861111114034429</v>
      </c>
      <c r="R533" s="13">
        <f t="shared" si="68"/>
        <v>3.1773263888899237</v>
      </c>
      <c r="S533" s="13">
        <f t="shared" si="69"/>
        <v>11.858136574075615</v>
      </c>
      <c r="T533" t="str">
        <f t="shared" si="70"/>
        <v>On Time/Early</v>
      </c>
      <c r="U533" t="str">
        <f t="shared" si="71"/>
        <v>Normal</v>
      </c>
      <c r="V533" t="s">
        <v>102</v>
      </c>
    </row>
    <row r="534" spans="1:22">
      <c r="A534" t="s">
        <v>947</v>
      </c>
      <c r="B534" s="10">
        <v>43009.79078703704</v>
      </c>
      <c r="C534" s="10">
        <v>43009.801527777781</v>
      </c>
      <c r="D534" s="10">
        <v>43012.713148148148</v>
      </c>
      <c r="E534" s="10">
        <v>43040.918726851851</v>
      </c>
      <c r="F534" s="10">
        <v>43032</v>
      </c>
      <c r="G534" t="s">
        <v>16</v>
      </c>
      <c r="H534" t="s">
        <v>138</v>
      </c>
      <c r="I534" t="s">
        <v>112</v>
      </c>
      <c r="J534" s="11">
        <v>1</v>
      </c>
      <c r="K534" s="12">
        <v>79.900000000000006</v>
      </c>
      <c r="L534" s="12">
        <v>16.809999999999999</v>
      </c>
      <c r="M534" s="13">
        <v>3</v>
      </c>
      <c r="N534" s="13">
        <f t="shared" si="64"/>
        <v>31.127939814810816</v>
      </c>
      <c r="O534" s="13">
        <f t="shared" si="65"/>
        <v>8.9187268518508063</v>
      </c>
      <c r="P534" t="str">
        <f t="shared" si="66"/>
        <v>Delayed</v>
      </c>
      <c r="Q534" s="13">
        <f t="shared" si="67"/>
        <v>0.25777777779148892</v>
      </c>
      <c r="R534" s="13">
        <f t="shared" si="68"/>
        <v>2.911620370367018</v>
      </c>
      <c r="S534" s="13">
        <f t="shared" si="69"/>
        <v>28.205578703702486</v>
      </c>
      <c r="T534" t="str">
        <f t="shared" si="70"/>
        <v>8+ Days Late</v>
      </c>
      <c r="U534" t="str">
        <f t="shared" si="71"/>
        <v>Needs Review</v>
      </c>
      <c r="V534" t="s">
        <v>102</v>
      </c>
    </row>
    <row r="535" spans="1:22">
      <c r="A535" t="s">
        <v>948</v>
      </c>
      <c r="B535" s="10">
        <v>43009.816284722219</v>
      </c>
      <c r="C535" s="10">
        <v>43009.826157407406</v>
      </c>
      <c r="D535" s="10">
        <v>43010.879537037035</v>
      </c>
      <c r="E535" s="10">
        <v>43027.805590277778</v>
      </c>
      <c r="F535" s="10">
        <v>43038</v>
      </c>
      <c r="G535" t="s">
        <v>23</v>
      </c>
      <c r="H535" t="s">
        <v>275</v>
      </c>
      <c r="I535" t="s">
        <v>154</v>
      </c>
      <c r="J535" s="11">
        <v>2</v>
      </c>
      <c r="K535" s="12">
        <v>140.85</v>
      </c>
      <c r="L535" s="12">
        <v>33.86</v>
      </c>
      <c r="M535" s="13">
        <v>1</v>
      </c>
      <c r="N535" s="13">
        <f t="shared" si="64"/>
        <v>17.989305555558531</v>
      </c>
      <c r="O535" s="13">
        <f t="shared" si="65"/>
        <v>0</v>
      </c>
      <c r="P535" t="str">
        <f t="shared" si="66"/>
        <v>On Time</v>
      </c>
      <c r="Q535" s="13">
        <f t="shared" si="67"/>
        <v>0.23694444447755814</v>
      </c>
      <c r="R535" s="13">
        <f t="shared" si="68"/>
        <v>1.0533796296294895</v>
      </c>
      <c r="S535" s="13">
        <f t="shared" si="69"/>
        <v>16.926053240742476</v>
      </c>
      <c r="T535" t="str">
        <f t="shared" si="70"/>
        <v>On Time/Early</v>
      </c>
      <c r="U535" t="str">
        <f t="shared" si="71"/>
        <v>Normal</v>
      </c>
      <c r="V535" t="s">
        <v>102</v>
      </c>
    </row>
    <row r="536" spans="1:22">
      <c r="A536" t="s">
        <v>949</v>
      </c>
      <c r="B536" s="10">
        <v>43010.708831018521</v>
      </c>
      <c r="C536" s="10">
        <v>43011.505185185182</v>
      </c>
      <c r="D536" s="10">
        <v>43012.885069444441</v>
      </c>
      <c r="E536" s="10">
        <v>43024.779166666667</v>
      </c>
      <c r="F536" s="10">
        <v>43033</v>
      </c>
      <c r="G536" t="s">
        <v>43</v>
      </c>
      <c r="H536" t="s">
        <v>318</v>
      </c>
      <c r="I536" t="s">
        <v>136</v>
      </c>
      <c r="J536" s="11">
        <v>1</v>
      </c>
      <c r="K536" s="12">
        <v>10.14</v>
      </c>
      <c r="L536" s="12">
        <v>15.1</v>
      </c>
      <c r="M536" s="13">
        <v>4</v>
      </c>
      <c r="N536" s="13">
        <f t="shared" si="64"/>
        <v>14.070335648146283</v>
      </c>
      <c r="O536" s="13">
        <f t="shared" si="65"/>
        <v>0</v>
      </c>
      <c r="P536" t="str">
        <f t="shared" si="66"/>
        <v>On Time</v>
      </c>
      <c r="Q536" s="13">
        <f t="shared" si="67"/>
        <v>19.112499999871943</v>
      </c>
      <c r="R536" s="13">
        <f t="shared" si="68"/>
        <v>1.379884259258688</v>
      </c>
      <c r="S536" s="13">
        <f t="shared" si="69"/>
        <v>11.894097222226264</v>
      </c>
      <c r="T536" t="str">
        <f t="shared" si="70"/>
        <v>On Time/Early</v>
      </c>
      <c r="U536" t="str">
        <f t="shared" si="71"/>
        <v>Normal</v>
      </c>
      <c r="V536" t="s">
        <v>102</v>
      </c>
    </row>
    <row r="537" spans="1:22">
      <c r="A537" t="s">
        <v>950</v>
      </c>
      <c r="B537" s="10">
        <v>43010.710439814815</v>
      </c>
      <c r="C537" s="10">
        <v>43010.718229166669</v>
      </c>
      <c r="D537" s="10">
        <v>43012.467812499999</v>
      </c>
      <c r="E537" s="10">
        <v>43015.720520833333</v>
      </c>
      <c r="F537" s="10">
        <v>43032</v>
      </c>
      <c r="G537" t="s">
        <v>8</v>
      </c>
      <c r="H537" t="s">
        <v>140</v>
      </c>
      <c r="I537" t="s">
        <v>180</v>
      </c>
      <c r="J537" s="11">
        <v>1</v>
      </c>
      <c r="K537" s="12">
        <v>99.9</v>
      </c>
      <c r="L537" s="12">
        <v>16.329999999999998</v>
      </c>
      <c r="M537" s="13">
        <v>3</v>
      </c>
      <c r="N537" s="13">
        <f t="shared" si="64"/>
        <v>5.010081018517667</v>
      </c>
      <c r="O537" s="13">
        <f t="shared" si="65"/>
        <v>0</v>
      </c>
      <c r="P537" t="str">
        <f t="shared" si="66"/>
        <v>On Time</v>
      </c>
      <c r="Q537" s="13">
        <f t="shared" si="67"/>
        <v>0.18694444448919967</v>
      </c>
      <c r="R537" s="13">
        <f t="shared" si="68"/>
        <v>1.74958333333052</v>
      </c>
      <c r="S537" s="13">
        <f t="shared" si="69"/>
        <v>3.2527083333334303</v>
      </c>
      <c r="T537" t="str">
        <f t="shared" si="70"/>
        <v>On Time/Early</v>
      </c>
      <c r="U537" t="str">
        <f t="shared" si="71"/>
        <v>Normal</v>
      </c>
      <c r="V537" t="s">
        <v>102</v>
      </c>
    </row>
    <row r="538" spans="1:22">
      <c r="A538" t="s">
        <v>951</v>
      </c>
      <c r="B538" s="10">
        <v>43012.405277777776</v>
      </c>
      <c r="C538" s="10">
        <v>43012.414143518516</v>
      </c>
      <c r="D538" s="10">
        <v>43012.696759259263</v>
      </c>
      <c r="E538" s="10">
        <v>43019.811689814815</v>
      </c>
      <c r="F538" s="10">
        <v>43039</v>
      </c>
      <c r="G538" t="s">
        <v>20</v>
      </c>
      <c r="H538" t="s">
        <v>952</v>
      </c>
      <c r="I538" t="s">
        <v>120</v>
      </c>
      <c r="J538" s="11">
        <v>1</v>
      </c>
      <c r="K538" s="12">
        <v>1399.99</v>
      </c>
      <c r="L538" s="12">
        <v>27.05</v>
      </c>
      <c r="M538" s="13">
        <v>5</v>
      </c>
      <c r="N538" s="13">
        <f t="shared" si="64"/>
        <v>7.4064120370385353</v>
      </c>
      <c r="O538" s="13">
        <f t="shared" si="65"/>
        <v>0</v>
      </c>
      <c r="P538" t="str">
        <f t="shared" si="66"/>
        <v>On Time</v>
      </c>
      <c r="Q538" s="13">
        <f t="shared" si="67"/>
        <v>0.2127777777495794</v>
      </c>
      <c r="R538" s="13">
        <f t="shared" si="68"/>
        <v>0.2826157407471328</v>
      </c>
      <c r="S538" s="13">
        <f t="shared" si="69"/>
        <v>7.1149305555518367</v>
      </c>
      <c r="T538" t="str">
        <f t="shared" si="70"/>
        <v>On Time/Early</v>
      </c>
      <c r="U538" t="str">
        <f t="shared" si="71"/>
        <v>Normal</v>
      </c>
      <c r="V538" t="s">
        <v>102</v>
      </c>
    </row>
    <row r="539" spans="1:22">
      <c r="A539" t="s">
        <v>953</v>
      </c>
      <c r="B539" s="10">
        <v>43012.432986111111</v>
      </c>
      <c r="C539" s="10">
        <v>43013.127916666665</v>
      </c>
      <c r="D539" s="10">
        <v>43014.901203703703</v>
      </c>
      <c r="E539" s="10">
        <v>43019.964918981481</v>
      </c>
      <c r="F539" s="10">
        <v>43034</v>
      </c>
      <c r="G539" t="s">
        <v>8</v>
      </c>
      <c r="H539" t="s">
        <v>140</v>
      </c>
      <c r="I539" t="s">
        <v>120</v>
      </c>
      <c r="J539" s="11">
        <v>1</v>
      </c>
      <c r="K539" s="12">
        <v>150</v>
      </c>
      <c r="L539" s="12">
        <v>13.39</v>
      </c>
      <c r="M539" s="13">
        <v>5</v>
      </c>
      <c r="N539" s="13">
        <f t="shared" si="64"/>
        <v>7.5319328703699284</v>
      </c>
      <c r="O539" s="13">
        <f t="shared" si="65"/>
        <v>0</v>
      </c>
      <c r="P539" t="str">
        <f t="shared" si="66"/>
        <v>On Time</v>
      </c>
      <c r="Q539" s="13">
        <f t="shared" si="67"/>
        <v>16.678333333285991</v>
      </c>
      <c r="R539" s="13">
        <f t="shared" si="68"/>
        <v>1.7732870370382443</v>
      </c>
      <c r="S539" s="13">
        <f t="shared" si="69"/>
        <v>5.0637152777781012</v>
      </c>
      <c r="T539" t="str">
        <f t="shared" si="70"/>
        <v>On Time/Early</v>
      </c>
      <c r="U539" t="str">
        <f t="shared" si="71"/>
        <v>Normal</v>
      </c>
      <c r="V539" t="s">
        <v>102</v>
      </c>
    </row>
    <row r="540" spans="1:22">
      <c r="A540" t="s">
        <v>954</v>
      </c>
      <c r="B540" s="10">
        <v>43012.492025462961</v>
      </c>
      <c r="C540" s="10">
        <v>43012.502951388888</v>
      </c>
      <c r="D540" s="10">
        <v>43013.877534722225</v>
      </c>
      <c r="E540" s="10">
        <v>43018.883136574077</v>
      </c>
      <c r="F540" s="10">
        <v>43031</v>
      </c>
      <c r="G540" t="s">
        <v>8</v>
      </c>
      <c r="H540" t="s">
        <v>140</v>
      </c>
      <c r="I540" t="s">
        <v>112</v>
      </c>
      <c r="J540" s="11">
        <v>1</v>
      </c>
      <c r="K540" s="12">
        <v>82</v>
      </c>
      <c r="L540" s="12">
        <v>11.78</v>
      </c>
      <c r="M540" s="13">
        <v>1</v>
      </c>
      <c r="N540" s="13">
        <f t="shared" si="64"/>
        <v>6.391111111115606</v>
      </c>
      <c r="O540" s="13">
        <f t="shared" si="65"/>
        <v>0</v>
      </c>
      <c r="P540" t="str">
        <f t="shared" si="66"/>
        <v>On Time</v>
      </c>
      <c r="Q540" s="13">
        <f t="shared" si="67"/>
        <v>0.26222222222713754</v>
      </c>
      <c r="R540" s="13">
        <f t="shared" si="68"/>
        <v>1.3745833333377959</v>
      </c>
      <c r="S540" s="13">
        <f t="shared" si="69"/>
        <v>5.0056018518516794</v>
      </c>
      <c r="T540" t="str">
        <f t="shared" si="70"/>
        <v>On Time/Early</v>
      </c>
      <c r="U540" t="str">
        <f t="shared" si="71"/>
        <v>Normal</v>
      </c>
      <c r="V540" t="s">
        <v>102</v>
      </c>
    </row>
    <row r="541" spans="1:22">
      <c r="A541" t="s">
        <v>955</v>
      </c>
      <c r="B541" s="10">
        <v>43012.758993055555</v>
      </c>
      <c r="C541" s="10">
        <v>43012.769699074073</v>
      </c>
      <c r="D541" s="10">
        <v>43017.891782407409</v>
      </c>
      <c r="E541" s="10">
        <v>43020.738495370373</v>
      </c>
      <c r="F541" s="10">
        <v>43035</v>
      </c>
      <c r="G541" t="s">
        <v>8</v>
      </c>
      <c r="H541" t="s">
        <v>140</v>
      </c>
      <c r="I541" t="s">
        <v>128</v>
      </c>
      <c r="J541" s="11">
        <v>2</v>
      </c>
      <c r="K541" s="12">
        <v>119.8</v>
      </c>
      <c r="L541" s="12">
        <v>26.88</v>
      </c>
      <c r="M541" s="13">
        <v>5</v>
      </c>
      <c r="N541" s="13">
        <f t="shared" si="64"/>
        <v>7.9795023148180917</v>
      </c>
      <c r="O541" s="13">
        <f t="shared" si="65"/>
        <v>0</v>
      </c>
      <c r="P541" t="str">
        <f t="shared" si="66"/>
        <v>On Time</v>
      </c>
      <c r="Q541" s="13">
        <f t="shared" si="67"/>
        <v>0.25694444443797693</v>
      </c>
      <c r="R541" s="13">
        <f t="shared" si="68"/>
        <v>5.1220833333354676</v>
      </c>
      <c r="S541" s="13">
        <f t="shared" si="69"/>
        <v>2.846712962964375</v>
      </c>
      <c r="T541" t="str">
        <f t="shared" si="70"/>
        <v>On Time/Early</v>
      </c>
      <c r="U541" t="str">
        <f t="shared" si="71"/>
        <v>Normal</v>
      </c>
      <c r="V541" t="s">
        <v>102</v>
      </c>
    </row>
    <row r="542" spans="1:22">
      <c r="A542" t="s">
        <v>956</v>
      </c>
      <c r="B542" s="10">
        <v>43012.826597222222</v>
      </c>
      <c r="C542" s="10">
        <v>43012.836689814816</v>
      </c>
      <c r="D542" s="10">
        <v>43013.672210648147</v>
      </c>
      <c r="E542" s="10">
        <v>43021.791851851849</v>
      </c>
      <c r="F542" s="10">
        <v>43040</v>
      </c>
      <c r="G542" t="s">
        <v>16</v>
      </c>
      <c r="H542" t="s">
        <v>448</v>
      </c>
      <c r="I542" t="s">
        <v>112</v>
      </c>
      <c r="J542" s="11">
        <v>1</v>
      </c>
      <c r="K542" s="12">
        <v>159.9</v>
      </c>
      <c r="L542" s="12">
        <v>19.36</v>
      </c>
      <c r="M542" s="13">
        <v>5</v>
      </c>
      <c r="N542" s="13">
        <f t="shared" si="64"/>
        <v>8.9652546296274522</v>
      </c>
      <c r="O542" s="13">
        <f t="shared" si="65"/>
        <v>0</v>
      </c>
      <c r="P542" t="str">
        <f t="shared" si="66"/>
        <v>On Time</v>
      </c>
      <c r="Q542" s="13">
        <f t="shared" si="67"/>
        <v>0.24222222226671875</v>
      </c>
      <c r="R542" s="13">
        <f t="shared" si="68"/>
        <v>0.83552083333051996</v>
      </c>
      <c r="S542" s="13">
        <f t="shared" si="69"/>
        <v>8.1196412037024857</v>
      </c>
      <c r="T542" t="str">
        <f t="shared" si="70"/>
        <v>On Time/Early</v>
      </c>
      <c r="U542" t="str">
        <f t="shared" si="71"/>
        <v>Normal</v>
      </c>
      <c r="V542" t="s">
        <v>102</v>
      </c>
    </row>
    <row r="543" spans="1:22">
      <c r="A543" t="s">
        <v>957</v>
      </c>
      <c r="B543" s="10">
        <v>43013.520543981482</v>
      </c>
      <c r="C543" s="10">
        <v>43014.524525462963</v>
      </c>
      <c r="D543" s="10">
        <v>43019.736481481479</v>
      </c>
      <c r="E543" s="10">
        <v>43032.26489583333</v>
      </c>
      <c r="F543" s="10">
        <v>43048</v>
      </c>
      <c r="G543" t="s">
        <v>57</v>
      </c>
      <c r="H543" t="s">
        <v>958</v>
      </c>
      <c r="I543" t="s">
        <v>118</v>
      </c>
      <c r="J543" s="11">
        <v>1</v>
      </c>
      <c r="K543" s="12">
        <v>324.99</v>
      </c>
      <c r="L543" s="12">
        <v>18.71</v>
      </c>
      <c r="M543" s="13">
        <v>4</v>
      </c>
      <c r="N543" s="13">
        <f t="shared" si="64"/>
        <v>18.744351851848478</v>
      </c>
      <c r="O543" s="13">
        <f t="shared" si="65"/>
        <v>0</v>
      </c>
      <c r="P543" t="str">
        <f t="shared" si="66"/>
        <v>On Time</v>
      </c>
      <c r="Q543" s="13">
        <f t="shared" si="67"/>
        <v>24.095555555541068</v>
      </c>
      <c r="R543" s="13">
        <f t="shared" si="68"/>
        <v>5.2119560185165028</v>
      </c>
      <c r="S543" s="13">
        <f t="shared" si="69"/>
        <v>12.528414351851097</v>
      </c>
      <c r="T543" t="str">
        <f t="shared" si="70"/>
        <v>On Time/Early</v>
      </c>
      <c r="U543" t="str">
        <f t="shared" si="71"/>
        <v>Normal</v>
      </c>
      <c r="V543" t="s">
        <v>102</v>
      </c>
    </row>
    <row r="544" spans="1:22">
      <c r="A544" t="s">
        <v>959</v>
      </c>
      <c r="B544" s="10">
        <v>43013.692546296297</v>
      </c>
      <c r="C544" s="10">
        <v>43013.701041666667</v>
      </c>
      <c r="D544" s="10">
        <v>43014.911168981482</v>
      </c>
      <c r="E544" s="10">
        <v>43019.822280092594</v>
      </c>
      <c r="F544" s="10">
        <v>43035</v>
      </c>
      <c r="G544" t="s">
        <v>8</v>
      </c>
      <c r="H544" t="s">
        <v>140</v>
      </c>
      <c r="I544" t="s">
        <v>368</v>
      </c>
      <c r="J544" s="11">
        <v>1</v>
      </c>
      <c r="K544" s="12">
        <v>99</v>
      </c>
      <c r="L544" s="12">
        <v>13.71</v>
      </c>
      <c r="M544" s="13">
        <v>3</v>
      </c>
      <c r="N544" s="13">
        <f t="shared" si="64"/>
        <v>6.1297337962969323</v>
      </c>
      <c r="O544" s="13">
        <f t="shared" si="65"/>
        <v>0</v>
      </c>
      <c r="P544" t="str">
        <f t="shared" si="66"/>
        <v>On Time</v>
      </c>
      <c r="Q544" s="13">
        <f t="shared" si="67"/>
        <v>0.20388888887828216</v>
      </c>
      <c r="R544" s="13">
        <f t="shared" si="68"/>
        <v>1.2101273148145992</v>
      </c>
      <c r="S544" s="13">
        <f t="shared" si="69"/>
        <v>4.9111111111124046</v>
      </c>
      <c r="T544" t="str">
        <f t="shared" si="70"/>
        <v>On Time/Early</v>
      </c>
      <c r="U544" t="str">
        <f t="shared" si="71"/>
        <v>Normal</v>
      </c>
      <c r="V544" t="s">
        <v>102</v>
      </c>
    </row>
    <row r="545" spans="1:22">
      <c r="A545" t="s">
        <v>960</v>
      </c>
      <c r="B545" s="10">
        <v>43013.782118055555</v>
      </c>
      <c r="C545" s="10">
        <v>43013.789074074077</v>
      </c>
      <c r="D545" s="10">
        <v>43014.815289351849</v>
      </c>
      <c r="E545" s="10">
        <v>43017.766689814816</v>
      </c>
      <c r="F545" s="10">
        <v>43031</v>
      </c>
      <c r="G545" t="s">
        <v>8</v>
      </c>
      <c r="H545" t="s">
        <v>455</v>
      </c>
      <c r="I545" t="s">
        <v>123</v>
      </c>
      <c r="J545" s="11">
        <v>1</v>
      </c>
      <c r="K545" s="12">
        <v>119.99</v>
      </c>
      <c r="L545" s="12">
        <v>12.04</v>
      </c>
      <c r="M545" s="13">
        <v>5</v>
      </c>
      <c r="N545" s="13">
        <f t="shared" si="64"/>
        <v>3.9845717592615983</v>
      </c>
      <c r="O545" s="13">
        <f t="shared" si="65"/>
        <v>0</v>
      </c>
      <c r="P545" t="str">
        <f t="shared" si="66"/>
        <v>On Time</v>
      </c>
      <c r="Q545" s="13">
        <f t="shared" si="67"/>
        <v>0.16694444452878088</v>
      </c>
      <c r="R545" s="13">
        <f t="shared" si="68"/>
        <v>1.0262152777722804</v>
      </c>
      <c r="S545" s="13">
        <f t="shared" si="69"/>
        <v>2.9514004629672854</v>
      </c>
      <c r="T545" t="str">
        <f t="shared" si="70"/>
        <v>On Time/Early</v>
      </c>
      <c r="U545" t="str">
        <f t="shared" si="71"/>
        <v>Normal</v>
      </c>
      <c r="V545" t="s">
        <v>102</v>
      </c>
    </row>
    <row r="546" spans="1:22">
      <c r="A546" t="s">
        <v>961</v>
      </c>
      <c r="B546" s="10">
        <v>43014.371574074074</v>
      </c>
      <c r="C546" s="10">
        <v>43015.107916666668</v>
      </c>
      <c r="D546" s="10">
        <v>43017.68409722222</v>
      </c>
      <c r="E546" s="10">
        <v>43021.746331018519</v>
      </c>
      <c r="F546" s="10">
        <v>43038</v>
      </c>
      <c r="G546" t="s">
        <v>8</v>
      </c>
      <c r="H546" t="s">
        <v>962</v>
      </c>
      <c r="I546" t="s">
        <v>963</v>
      </c>
      <c r="J546" s="11">
        <v>3</v>
      </c>
      <c r="K546" s="12">
        <v>197.7</v>
      </c>
      <c r="L546" s="12">
        <v>35.880000000000003</v>
      </c>
      <c r="M546" s="13">
        <v>5</v>
      </c>
      <c r="N546" s="13">
        <f t="shared" si="64"/>
        <v>7.374756944445835</v>
      </c>
      <c r="O546" s="13">
        <f t="shared" si="65"/>
        <v>0</v>
      </c>
      <c r="P546" t="str">
        <f t="shared" si="66"/>
        <v>On Time</v>
      </c>
      <c r="Q546" s="13">
        <f t="shared" si="67"/>
        <v>17.672222222259734</v>
      </c>
      <c r="R546" s="13">
        <f t="shared" si="68"/>
        <v>2.5761805555521278</v>
      </c>
      <c r="S546" s="13">
        <f t="shared" si="69"/>
        <v>4.0622337962995516</v>
      </c>
      <c r="T546" t="str">
        <f t="shared" si="70"/>
        <v>On Time/Early</v>
      </c>
      <c r="U546" t="str">
        <f t="shared" si="71"/>
        <v>Normal</v>
      </c>
      <c r="V546" t="s">
        <v>102</v>
      </c>
    </row>
    <row r="547" spans="1:22">
      <c r="A547" t="s">
        <v>964</v>
      </c>
      <c r="B547" s="10">
        <v>43014.436249999999</v>
      </c>
      <c r="C547" s="10">
        <v>43015.117534722223</v>
      </c>
      <c r="D547" s="10">
        <v>43018.878032407411</v>
      </c>
      <c r="E547" s="10">
        <v>43025.770462962966</v>
      </c>
      <c r="F547" s="10">
        <v>43040</v>
      </c>
      <c r="G547" t="s">
        <v>320</v>
      </c>
      <c r="H547" t="s">
        <v>321</v>
      </c>
      <c r="I547" t="s">
        <v>154</v>
      </c>
      <c r="J547" s="11">
        <v>1</v>
      </c>
      <c r="K547" s="12">
        <v>159.9</v>
      </c>
      <c r="L547" s="12">
        <v>21.61</v>
      </c>
      <c r="M547" s="13">
        <v>5</v>
      </c>
      <c r="N547" s="13">
        <f t="shared" si="64"/>
        <v>11.334212962967285</v>
      </c>
      <c r="O547" s="13">
        <f t="shared" si="65"/>
        <v>0</v>
      </c>
      <c r="P547" t="str">
        <f t="shared" si="66"/>
        <v>On Time</v>
      </c>
      <c r="Q547" s="13">
        <f t="shared" si="67"/>
        <v>16.350833333388437</v>
      </c>
      <c r="R547" s="13">
        <f t="shared" si="68"/>
        <v>3.760497685187147</v>
      </c>
      <c r="S547" s="13">
        <f t="shared" si="69"/>
        <v>6.8924305555556202</v>
      </c>
      <c r="T547" t="str">
        <f t="shared" si="70"/>
        <v>On Time/Early</v>
      </c>
      <c r="U547" t="str">
        <f t="shared" si="71"/>
        <v>Normal</v>
      </c>
      <c r="V547" t="s">
        <v>102</v>
      </c>
    </row>
    <row r="548" spans="1:22">
      <c r="A548" t="s">
        <v>965</v>
      </c>
      <c r="B548" s="10">
        <v>43014.537893518522</v>
      </c>
      <c r="C548" s="10">
        <v>43016.316412037035</v>
      </c>
      <c r="D548" s="10">
        <v>43017.905219907407</v>
      </c>
      <c r="E548" s="10">
        <v>43019.994155092594</v>
      </c>
      <c r="F548" s="10">
        <v>43038</v>
      </c>
      <c r="G548" t="s">
        <v>8</v>
      </c>
      <c r="H548" t="s">
        <v>243</v>
      </c>
      <c r="I548" t="s">
        <v>246</v>
      </c>
      <c r="J548" s="11">
        <v>1</v>
      </c>
      <c r="K548" s="12">
        <v>54.9</v>
      </c>
      <c r="L548" s="12">
        <v>14.13</v>
      </c>
      <c r="M548" s="13">
        <v>5</v>
      </c>
      <c r="N548" s="13">
        <f t="shared" si="64"/>
        <v>5.4562615740724141</v>
      </c>
      <c r="O548" s="13">
        <f t="shared" si="65"/>
        <v>0</v>
      </c>
      <c r="P548" t="str">
        <f t="shared" si="66"/>
        <v>On Time</v>
      </c>
      <c r="Q548" s="13">
        <f t="shared" si="67"/>
        <v>42.684444444312248</v>
      </c>
      <c r="R548" s="13">
        <f t="shared" si="68"/>
        <v>1.5888078703719657</v>
      </c>
      <c r="S548" s="13">
        <f t="shared" si="69"/>
        <v>2.088935185187438</v>
      </c>
      <c r="T548" t="str">
        <f t="shared" si="70"/>
        <v>On Time/Early</v>
      </c>
      <c r="U548" t="str">
        <f t="shared" si="71"/>
        <v>Normal</v>
      </c>
      <c r="V548" t="s">
        <v>102</v>
      </c>
    </row>
    <row r="549" spans="1:22">
      <c r="A549" t="s">
        <v>966</v>
      </c>
      <c r="B549" s="10">
        <v>43014.803460648145</v>
      </c>
      <c r="C549" s="10">
        <v>43018.273831018516</v>
      </c>
      <c r="D549" s="10">
        <v>43018.794386574074</v>
      </c>
      <c r="E549" s="10">
        <v>43025.8984837963</v>
      </c>
      <c r="F549" s="10">
        <v>43049</v>
      </c>
      <c r="G549" t="s">
        <v>8</v>
      </c>
      <c r="H549" t="s">
        <v>649</v>
      </c>
      <c r="I549" t="s">
        <v>120</v>
      </c>
      <c r="J549" s="11">
        <v>1</v>
      </c>
      <c r="K549" s="12">
        <v>18.899999999999999</v>
      </c>
      <c r="L549" s="12">
        <v>15.1</v>
      </c>
      <c r="M549" s="13">
        <v>5</v>
      </c>
      <c r="N549" s="13">
        <f t="shared" si="64"/>
        <v>11.095023148154723</v>
      </c>
      <c r="O549" s="13">
        <f t="shared" si="65"/>
        <v>0</v>
      </c>
      <c r="P549" t="str">
        <f t="shared" si="66"/>
        <v>On Time</v>
      </c>
      <c r="Q549" s="13">
        <f t="shared" si="67"/>
        <v>83.288888888899237</v>
      </c>
      <c r="R549" s="13">
        <f t="shared" si="68"/>
        <v>0.52055555555853061</v>
      </c>
      <c r="S549" s="13">
        <f t="shared" si="69"/>
        <v>7.1040972222253913</v>
      </c>
      <c r="T549" t="str">
        <f t="shared" si="70"/>
        <v>On Time/Early</v>
      </c>
      <c r="U549" t="str">
        <f t="shared" si="71"/>
        <v>Normal</v>
      </c>
      <c r="V549" t="s">
        <v>102</v>
      </c>
    </row>
    <row r="550" spans="1:22">
      <c r="A550" t="s">
        <v>967</v>
      </c>
      <c r="B550" s="10">
        <v>43014.911226851851</v>
      </c>
      <c r="C550" s="10">
        <v>43014.921851851854</v>
      </c>
      <c r="D550" s="10">
        <v>43017.939444444448</v>
      </c>
      <c r="E550" s="10">
        <v>43033.939328703702</v>
      </c>
      <c r="F550" s="10">
        <v>43045</v>
      </c>
      <c r="G550" t="s">
        <v>23</v>
      </c>
      <c r="H550" t="s">
        <v>968</v>
      </c>
      <c r="I550" t="s">
        <v>44</v>
      </c>
      <c r="J550" s="11">
        <v>1</v>
      </c>
      <c r="K550" s="12">
        <v>109.9</v>
      </c>
      <c r="L550" s="12">
        <v>17.21</v>
      </c>
      <c r="M550" s="13">
        <v>4</v>
      </c>
      <c r="N550" s="13">
        <f t="shared" si="64"/>
        <v>19.028101851850806</v>
      </c>
      <c r="O550" s="13">
        <f t="shared" si="65"/>
        <v>0</v>
      </c>
      <c r="P550" t="str">
        <f t="shared" si="66"/>
        <v>On Time</v>
      </c>
      <c r="Q550" s="13">
        <f t="shared" si="67"/>
        <v>0.25500000006286427</v>
      </c>
      <c r="R550" s="13">
        <f t="shared" si="68"/>
        <v>3.0175925925941556</v>
      </c>
      <c r="S550" s="13">
        <f t="shared" si="69"/>
        <v>15.999884259254031</v>
      </c>
      <c r="T550" t="str">
        <f t="shared" si="70"/>
        <v>On Time/Early</v>
      </c>
      <c r="U550" t="str">
        <f t="shared" si="71"/>
        <v>Normal</v>
      </c>
      <c r="V550" t="s">
        <v>102</v>
      </c>
    </row>
    <row r="551" spans="1:22">
      <c r="A551" t="s">
        <v>969</v>
      </c>
      <c r="B551" s="10">
        <v>43015.382615740738</v>
      </c>
      <c r="C551" s="10">
        <v>43015.392083333332</v>
      </c>
      <c r="D551" s="10">
        <v>43018.658506944441</v>
      </c>
      <c r="E551" s="10">
        <v>43033.747291666667</v>
      </c>
      <c r="F551" s="10">
        <v>43042</v>
      </c>
      <c r="G551" t="s">
        <v>30</v>
      </c>
      <c r="H551" t="s">
        <v>365</v>
      </c>
      <c r="I551" t="s">
        <v>31</v>
      </c>
      <c r="J551" s="11">
        <v>1</v>
      </c>
      <c r="K551" s="12">
        <v>18.899999999999999</v>
      </c>
      <c r="L551" s="12">
        <v>15.1</v>
      </c>
      <c r="M551" s="13">
        <v>2</v>
      </c>
      <c r="N551" s="13">
        <f t="shared" si="64"/>
        <v>18.364675925928168</v>
      </c>
      <c r="O551" s="13">
        <f t="shared" si="65"/>
        <v>0</v>
      </c>
      <c r="P551" t="str">
        <f t="shared" si="66"/>
        <v>On Time</v>
      </c>
      <c r="Q551" s="13">
        <f t="shared" si="67"/>
        <v>0.22722222225274891</v>
      </c>
      <c r="R551" s="13">
        <f t="shared" si="68"/>
        <v>3.2664236111086211</v>
      </c>
      <c r="S551" s="13">
        <f t="shared" si="69"/>
        <v>15.088784722225682</v>
      </c>
      <c r="T551" t="str">
        <f t="shared" si="70"/>
        <v>On Time/Early</v>
      </c>
      <c r="U551" t="str">
        <f t="shared" si="71"/>
        <v>Normal</v>
      </c>
      <c r="V551" t="s">
        <v>102</v>
      </c>
    </row>
    <row r="552" spans="1:22">
      <c r="A552" t="s">
        <v>970</v>
      </c>
      <c r="B552" s="10">
        <v>43016.865266203706</v>
      </c>
      <c r="C552" s="10">
        <v>43016.872557870367</v>
      </c>
      <c r="D552" s="10">
        <v>43021.853506944448</v>
      </c>
      <c r="E552" s="10">
        <v>43032.940069444441</v>
      </c>
      <c r="F552" s="10">
        <v>43047</v>
      </c>
      <c r="G552" t="s">
        <v>16</v>
      </c>
      <c r="H552" t="s">
        <v>971</v>
      </c>
      <c r="I552" t="s">
        <v>972</v>
      </c>
      <c r="J552" s="11">
        <v>1</v>
      </c>
      <c r="K552" s="12">
        <v>189.05</v>
      </c>
      <c r="L552" s="12">
        <v>18.89</v>
      </c>
      <c r="M552" s="13">
        <v>4</v>
      </c>
      <c r="N552" s="13">
        <f t="shared" si="64"/>
        <v>16.074803240735491</v>
      </c>
      <c r="O552" s="13">
        <f t="shared" si="65"/>
        <v>0</v>
      </c>
      <c r="P552" t="str">
        <f t="shared" si="66"/>
        <v>On Time</v>
      </c>
      <c r="Q552" s="13">
        <f t="shared" si="67"/>
        <v>0.17499999987194315</v>
      </c>
      <c r="R552" s="13">
        <f t="shared" si="68"/>
        <v>4.9809490740808542</v>
      </c>
      <c r="S552" s="13">
        <f t="shared" si="69"/>
        <v>11.086562499993306</v>
      </c>
      <c r="T552" t="str">
        <f t="shared" si="70"/>
        <v>On Time/Early</v>
      </c>
      <c r="U552" t="str">
        <f t="shared" si="71"/>
        <v>Normal</v>
      </c>
      <c r="V552" t="s">
        <v>102</v>
      </c>
    </row>
    <row r="553" spans="1:22">
      <c r="A553" t="s">
        <v>973</v>
      </c>
      <c r="B553" s="10">
        <v>43017.570115740738</v>
      </c>
      <c r="C553" s="10">
        <v>43018.27375</v>
      </c>
      <c r="D553" s="10">
        <v>43019.735381944447</v>
      </c>
      <c r="E553" s="10">
        <v>43024.908854166664</v>
      </c>
      <c r="F553" s="10">
        <v>43039</v>
      </c>
      <c r="G553" t="s">
        <v>8</v>
      </c>
      <c r="H553" t="s">
        <v>974</v>
      </c>
      <c r="I553" t="s">
        <v>58</v>
      </c>
      <c r="J553" s="11">
        <v>1</v>
      </c>
      <c r="K553" s="12">
        <v>14.99</v>
      </c>
      <c r="L553" s="12">
        <v>15.1</v>
      </c>
      <c r="M553" s="13">
        <v>5</v>
      </c>
      <c r="N553" s="13">
        <f t="shared" si="64"/>
        <v>7.3387384259258397</v>
      </c>
      <c r="O553" s="13">
        <f t="shared" si="65"/>
        <v>0</v>
      </c>
      <c r="P553" t="str">
        <f t="shared" si="66"/>
        <v>On Time</v>
      </c>
      <c r="Q553" s="13">
        <f t="shared" si="67"/>
        <v>16.887222222285345</v>
      </c>
      <c r="R553" s="13">
        <f t="shared" si="68"/>
        <v>1.4616319444467081</v>
      </c>
      <c r="S553" s="13">
        <f t="shared" si="69"/>
        <v>5.1734722222172422</v>
      </c>
      <c r="T553" t="str">
        <f t="shared" si="70"/>
        <v>On Time/Early</v>
      </c>
      <c r="U553" t="str">
        <f t="shared" si="71"/>
        <v>Normal</v>
      </c>
      <c r="V553" t="s">
        <v>102</v>
      </c>
    </row>
    <row r="554" spans="1:22">
      <c r="A554" t="s">
        <v>975</v>
      </c>
      <c r="B554" s="10">
        <v>43017.582627314812</v>
      </c>
      <c r="C554" s="10">
        <v>43017.602222222224</v>
      </c>
      <c r="D554" s="10">
        <v>43017.949837962966</v>
      </c>
      <c r="E554" s="10">
        <v>43025.867986111109</v>
      </c>
      <c r="F554" s="10">
        <v>43042</v>
      </c>
      <c r="G554" t="s">
        <v>23</v>
      </c>
      <c r="H554" t="s">
        <v>968</v>
      </c>
      <c r="I554" t="s">
        <v>177</v>
      </c>
      <c r="J554" s="11">
        <v>1</v>
      </c>
      <c r="K554" s="12">
        <v>565</v>
      </c>
      <c r="L554" s="12">
        <v>53.82</v>
      </c>
      <c r="M554" s="13">
        <v>5</v>
      </c>
      <c r="N554" s="13">
        <f t="shared" si="64"/>
        <v>8.2853587962963502</v>
      </c>
      <c r="O554" s="13">
        <f t="shared" si="65"/>
        <v>0</v>
      </c>
      <c r="P554" t="str">
        <f t="shared" si="66"/>
        <v>On Time</v>
      </c>
      <c r="Q554" s="13">
        <f t="shared" si="67"/>
        <v>0.47027777787297964</v>
      </c>
      <c r="R554" s="13">
        <f t="shared" si="68"/>
        <v>0.34761574074218515</v>
      </c>
      <c r="S554" s="13">
        <f t="shared" si="69"/>
        <v>7.9181481481427909</v>
      </c>
      <c r="T554" t="str">
        <f t="shared" si="70"/>
        <v>On Time/Early</v>
      </c>
      <c r="U554" t="str">
        <f t="shared" si="71"/>
        <v>Normal</v>
      </c>
      <c r="V554" t="s">
        <v>102</v>
      </c>
    </row>
    <row r="555" spans="1:22">
      <c r="A555" t="s">
        <v>976</v>
      </c>
      <c r="B555" s="10">
        <v>43017.630509259259</v>
      </c>
      <c r="C555" s="10">
        <v>43017.647303240738</v>
      </c>
      <c r="D555" s="10">
        <v>43021.589386574073</v>
      </c>
      <c r="E555" s="10">
        <v>43028.735023148147</v>
      </c>
      <c r="F555" s="10">
        <v>43035</v>
      </c>
      <c r="G555" t="s">
        <v>16</v>
      </c>
      <c r="H555" t="s">
        <v>138</v>
      </c>
      <c r="I555" t="s">
        <v>128</v>
      </c>
      <c r="J555" s="11">
        <v>1</v>
      </c>
      <c r="K555" s="12">
        <v>59.9</v>
      </c>
      <c r="L555" s="12">
        <v>17.670000000000002</v>
      </c>
      <c r="M555" s="13">
        <v>5</v>
      </c>
      <c r="N555" s="13">
        <f t="shared" si="64"/>
        <v>11.104513888887595</v>
      </c>
      <c r="O555" s="13">
        <f t="shared" si="65"/>
        <v>0</v>
      </c>
      <c r="P555" t="str">
        <f t="shared" si="66"/>
        <v>On Time</v>
      </c>
      <c r="Q555" s="13">
        <f t="shared" si="67"/>
        <v>0.40305555547820404</v>
      </c>
      <c r="R555" s="13">
        <f t="shared" si="68"/>
        <v>3.9420833333351766</v>
      </c>
      <c r="S555" s="13">
        <f t="shared" si="69"/>
        <v>7.1456365740741603</v>
      </c>
      <c r="T555" t="str">
        <f t="shared" si="70"/>
        <v>On Time/Early</v>
      </c>
      <c r="U555" t="str">
        <f t="shared" si="71"/>
        <v>Normal</v>
      </c>
      <c r="V555" t="s">
        <v>102</v>
      </c>
    </row>
    <row r="556" spans="1:22">
      <c r="A556" t="s">
        <v>977</v>
      </c>
      <c r="B556" s="10">
        <v>43017.673842592594</v>
      </c>
      <c r="C556" s="10">
        <v>43018.880011574074</v>
      </c>
      <c r="D556" s="10">
        <v>43019.901909722219</v>
      </c>
      <c r="E556" s="10">
        <v>43025.906805555554</v>
      </c>
      <c r="F556" s="10">
        <v>43039</v>
      </c>
      <c r="G556" t="s">
        <v>20</v>
      </c>
      <c r="H556" t="s">
        <v>978</v>
      </c>
      <c r="I556" t="s">
        <v>118</v>
      </c>
      <c r="J556" s="11">
        <v>1</v>
      </c>
      <c r="K556" s="12">
        <v>25.99</v>
      </c>
      <c r="L556" s="12">
        <v>15.1</v>
      </c>
      <c r="M556" s="13">
        <v>5</v>
      </c>
      <c r="N556" s="13">
        <f t="shared" si="64"/>
        <v>8.2329629629603005</v>
      </c>
      <c r="O556" s="13">
        <f t="shared" si="65"/>
        <v>0</v>
      </c>
      <c r="P556" t="str">
        <f t="shared" si="66"/>
        <v>On Time</v>
      </c>
      <c r="Q556" s="13">
        <f t="shared" si="67"/>
        <v>28.948055555520114</v>
      </c>
      <c r="R556" s="13">
        <f t="shared" si="68"/>
        <v>1.0218981481448282</v>
      </c>
      <c r="S556" s="13">
        <f t="shared" si="69"/>
        <v>6.0048958333354676</v>
      </c>
      <c r="T556" t="str">
        <f t="shared" si="70"/>
        <v>On Time/Early</v>
      </c>
      <c r="U556" t="str">
        <f t="shared" si="71"/>
        <v>Normal</v>
      </c>
      <c r="V556" t="s">
        <v>102</v>
      </c>
    </row>
    <row r="557" spans="1:22">
      <c r="A557" t="s">
        <v>979</v>
      </c>
      <c r="B557" s="10">
        <v>43018.666365740741</v>
      </c>
      <c r="C557" s="10">
        <v>43018.676666666666</v>
      </c>
      <c r="D557" s="10">
        <v>43019.839432870373</v>
      </c>
      <c r="E557" s="10">
        <v>43027.874965277777</v>
      </c>
      <c r="F557" s="10">
        <v>43039</v>
      </c>
      <c r="G557" t="s">
        <v>8</v>
      </c>
      <c r="H557" t="s">
        <v>980</v>
      </c>
      <c r="I557" t="s">
        <v>136</v>
      </c>
      <c r="J557" s="11">
        <v>2</v>
      </c>
      <c r="K557" s="12">
        <v>279.8</v>
      </c>
      <c r="L557" s="12">
        <v>31.46</v>
      </c>
      <c r="M557" s="13">
        <v>5</v>
      </c>
      <c r="N557" s="13">
        <f t="shared" si="64"/>
        <v>9.208599537036207</v>
      </c>
      <c r="O557" s="13">
        <f t="shared" si="65"/>
        <v>0</v>
      </c>
      <c r="P557" t="str">
        <f t="shared" si="66"/>
        <v>On Time</v>
      </c>
      <c r="Q557" s="13">
        <f t="shared" si="67"/>
        <v>0.2472222222131677</v>
      </c>
      <c r="R557" s="13">
        <f t="shared" si="68"/>
        <v>1.1627662037062692</v>
      </c>
      <c r="S557" s="13">
        <f t="shared" si="69"/>
        <v>8.0355324074043892</v>
      </c>
      <c r="T557" t="str">
        <f t="shared" si="70"/>
        <v>On Time/Early</v>
      </c>
      <c r="U557" t="str">
        <f t="shared" si="71"/>
        <v>Normal</v>
      </c>
      <c r="V557" t="s">
        <v>102</v>
      </c>
    </row>
    <row r="558" spans="1:22">
      <c r="A558" t="s">
        <v>981</v>
      </c>
      <c r="B558" s="10">
        <v>43019.314351851855</v>
      </c>
      <c r="C558" s="10">
        <v>43022.774386574078</v>
      </c>
      <c r="D558" s="10">
        <v>43024.62358796296</v>
      </c>
      <c r="E558" s="10">
        <v>43031.790891203702</v>
      </c>
      <c r="F558" s="10">
        <v>43042</v>
      </c>
      <c r="G558" t="s">
        <v>33</v>
      </c>
      <c r="H558" t="s">
        <v>356</v>
      </c>
      <c r="I558" t="s">
        <v>180</v>
      </c>
      <c r="J558" s="11">
        <v>1</v>
      </c>
      <c r="K558" s="12">
        <v>48.9</v>
      </c>
      <c r="L558" s="12">
        <v>31.1</v>
      </c>
      <c r="M558" s="13">
        <v>5</v>
      </c>
      <c r="N558" s="13">
        <f t="shared" si="64"/>
        <v>12.476539351846441</v>
      </c>
      <c r="O558" s="13">
        <f t="shared" si="65"/>
        <v>0</v>
      </c>
      <c r="P558" t="str">
        <f t="shared" si="66"/>
        <v>On Time</v>
      </c>
      <c r="Q558" s="13">
        <f t="shared" si="67"/>
        <v>83.040833333332557</v>
      </c>
      <c r="R558" s="13">
        <f t="shared" si="68"/>
        <v>1.8492013888826477</v>
      </c>
      <c r="S558" s="13">
        <f t="shared" si="69"/>
        <v>7.1673032407416031</v>
      </c>
      <c r="T558" t="str">
        <f t="shared" si="70"/>
        <v>On Time/Early</v>
      </c>
      <c r="U558" t="str">
        <f t="shared" si="71"/>
        <v>Normal</v>
      </c>
      <c r="V558" t="s">
        <v>102</v>
      </c>
    </row>
    <row r="559" spans="1:22">
      <c r="A559" t="s">
        <v>982</v>
      </c>
      <c r="B559" s="10">
        <v>43019.589780092596</v>
      </c>
      <c r="C559" s="10">
        <v>43019.60361111111</v>
      </c>
      <c r="D559" s="10">
        <v>43019.863344907404</v>
      </c>
      <c r="E559" s="10">
        <v>43028.729259259257</v>
      </c>
      <c r="F559" s="10">
        <v>43038</v>
      </c>
      <c r="G559" t="s">
        <v>16</v>
      </c>
      <c r="H559" t="s">
        <v>138</v>
      </c>
      <c r="I559" t="s">
        <v>136</v>
      </c>
      <c r="J559" s="11">
        <v>1</v>
      </c>
      <c r="K559" s="12">
        <v>200</v>
      </c>
      <c r="L559" s="12">
        <v>20.89</v>
      </c>
      <c r="M559" s="13">
        <v>5</v>
      </c>
      <c r="N559" s="13">
        <f t="shared" si="64"/>
        <v>9.1394791666607489</v>
      </c>
      <c r="O559" s="13">
        <f t="shared" si="65"/>
        <v>0</v>
      </c>
      <c r="P559" t="str">
        <f t="shared" si="66"/>
        <v>On Time</v>
      </c>
      <c r="Q559" s="13">
        <f t="shared" si="67"/>
        <v>0.33194444433320314</v>
      </c>
      <c r="R559" s="13">
        <f t="shared" si="68"/>
        <v>0.25973379629431292</v>
      </c>
      <c r="S559" s="13">
        <f t="shared" si="69"/>
        <v>8.8659143518525525</v>
      </c>
      <c r="T559" t="str">
        <f t="shared" si="70"/>
        <v>On Time/Early</v>
      </c>
      <c r="U559" t="str">
        <f t="shared" si="71"/>
        <v>Normal</v>
      </c>
      <c r="V559" t="s">
        <v>102</v>
      </c>
    </row>
    <row r="560" spans="1:22">
      <c r="A560" t="s">
        <v>983</v>
      </c>
      <c r="B560" s="10">
        <v>43019.902511574073</v>
      </c>
      <c r="C560" s="10">
        <v>43019.914074074077</v>
      </c>
      <c r="D560" s="10">
        <v>43021.680983796294</v>
      </c>
      <c r="E560" s="10">
        <v>43028.707025462965</v>
      </c>
      <c r="F560" s="10">
        <v>43045</v>
      </c>
      <c r="G560" t="s">
        <v>8</v>
      </c>
      <c r="H560" t="s">
        <v>696</v>
      </c>
      <c r="I560" t="s">
        <v>246</v>
      </c>
      <c r="J560" s="11">
        <v>1</v>
      </c>
      <c r="K560" s="12">
        <v>83.9</v>
      </c>
      <c r="L560" s="12">
        <v>14.32</v>
      </c>
      <c r="M560" s="13">
        <v>4</v>
      </c>
      <c r="N560" s="13">
        <f t="shared" si="64"/>
        <v>8.804513888891961</v>
      </c>
      <c r="O560" s="13">
        <f t="shared" si="65"/>
        <v>0</v>
      </c>
      <c r="P560" t="str">
        <f t="shared" si="66"/>
        <v>On Time</v>
      </c>
      <c r="Q560" s="13">
        <f t="shared" si="67"/>
        <v>0.27750000008381903</v>
      </c>
      <c r="R560" s="13">
        <f t="shared" si="68"/>
        <v>1.7669097222169512</v>
      </c>
      <c r="S560" s="13">
        <f t="shared" si="69"/>
        <v>7.0260416666715173</v>
      </c>
      <c r="T560" t="str">
        <f t="shared" si="70"/>
        <v>On Time/Early</v>
      </c>
      <c r="U560" t="str">
        <f t="shared" si="71"/>
        <v>Normal</v>
      </c>
      <c r="V560" t="s">
        <v>102</v>
      </c>
    </row>
    <row r="561" spans="1:22">
      <c r="A561" t="s">
        <v>984</v>
      </c>
      <c r="B561" s="10">
        <v>43020.372418981482</v>
      </c>
      <c r="C561" s="10">
        <v>43020.38484953704</v>
      </c>
      <c r="D561" s="10">
        <v>43026.926180555558</v>
      </c>
      <c r="E561" s="10">
        <v>43032.915150462963</v>
      </c>
      <c r="F561" s="10">
        <v>43048</v>
      </c>
      <c r="G561" t="s">
        <v>33</v>
      </c>
      <c r="H561" t="s">
        <v>356</v>
      </c>
      <c r="I561" t="s">
        <v>37</v>
      </c>
      <c r="J561" s="11">
        <v>1</v>
      </c>
      <c r="K561" s="12">
        <v>169.99</v>
      </c>
      <c r="L561" s="12">
        <v>36.85</v>
      </c>
      <c r="M561" s="13">
        <v>5</v>
      </c>
      <c r="N561" s="13">
        <f t="shared" si="64"/>
        <v>12.542731481480587</v>
      </c>
      <c r="O561" s="13">
        <f t="shared" si="65"/>
        <v>0</v>
      </c>
      <c r="P561" t="str">
        <f t="shared" si="66"/>
        <v>On Time</v>
      </c>
      <c r="Q561" s="13">
        <f t="shared" si="67"/>
        <v>0.29833333339774981</v>
      </c>
      <c r="R561" s="13">
        <f t="shared" si="68"/>
        <v>6.541331018517667</v>
      </c>
      <c r="S561" s="13">
        <f t="shared" si="69"/>
        <v>5.9889699074046803</v>
      </c>
      <c r="T561" t="str">
        <f t="shared" si="70"/>
        <v>On Time/Early</v>
      </c>
      <c r="U561" t="str">
        <f t="shared" si="71"/>
        <v>Normal</v>
      </c>
      <c r="V561" t="s">
        <v>102</v>
      </c>
    </row>
    <row r="562" spans="1:22">
      <c r="A562" t="s">
        <v>985</v>
      </c>
      <c r="B562" s="10">
        <v>43020.498032407406</v>
      </c>
      <c r="C562" s="10">
        <v>43020.510034722225</v>
      </c>
      <c r="D562" s="10">
        <v>43021.769189814811</v>
      </c>
      <c r="E562" s="10">
        <v>43031.883518518516</v>
      </c>
      <c r="F562" s="10">
        <v>43048</v>
      </c>
      <c r="G562" t="s">
        <v>164</v>
      </c>
      <c r="H562" t="s">
        <v>986</v>
      </c>
      <c r="I562" t="s">
        <v>221</v>
      </c>
      <c r="J562" s="11">
        <v>1</v>
      </c>
      <c r="K562" s="12">
        <v>136.9</v>
      </c>
      <c r="L562" s="12">
        <v>15.71</v>
      </c>
      <c r="M562" s="13">
        <v>5</v>
      </c>
      <c r="N562" s="13">
        <f t="shared" si="64"/>
        <v>11.385486111110367</v>
      </c>
      <c r="O562" s="13">
        <f t="shared" si="65"/>
        <v>0</v>
      </c>
      <c r="P562" t="str">
        <f t="shared" si="66"/>
        <v>On Time</v>
      </c>
      <c r="Q562" s="13">
        <f t="shared" si="67"/>
        <v>0.28805555566214025</v>
      </c>
      <c r="R562" s="13">
        <f t="shared" si="68"/>
        <v>1.2591550925862975</v>
      </c>
      <c r="S562" s="13">
        <f t="shared" si="69"/>
        <v>10.114328703704814</v>
      </c>
      <c r="T562" t="str">
        <f t="shared" si="70"/>
        <v>On Time/Early</v>
      </c>
      <c r="U562" t="str">
        <f t="shared" si="71"/>
        <v>Normal</v>
      </c>
      <c r="V562" t="s">
        <v>102</v>
      </c>
    </row>
    <row r="563" spans="1:22">
      <c r="A563" t="s">
        <v>987</v>
      </c>
      <c r="B563" s="10">
        <v>43020.601840277777</v>
      </c>
      <c r="C563" s="10">
        <v>43020.60869212963</v>
      </c>
      <c r="D563" s="10">
        <v>43021.832187499997</v>
      </c>
      <c r="E563" s="10">
        <v>43034.946296296293</v>
      </c>
      <c r="F563" s="10">
        <v>43047</v>
      </c>
      <c r="G563" t="s">
        <v>206</v>
      </c>
      <c r="H563" t="s">
        <v>207</v>
      </c>
      <c r="I563" t="s">
        <v>246</v>
      </c>
      <c r="J563" s="11">
        <v>1</v>
      </c>
      <c r="K563" s="12">
        <v>118.9</v>
      </c>
      <c r="L563" s="12">
        <v>23.15</v>
      </c>
      <c r="M563" s="13">
        <v>5</v>
      </c>
      <c r="N563" s="13">
        <f t="shared" si="64"/>
        <v>14.344456018516212</v>
      </c>
      <c r="O563" s="13">
        <f t="shared" si="65"/>
        <v>0</v>
      </c>
      <c r="P563" t="str">
        <f t="shared" si="66"/>
        <v>On Time</v>
      </c>
      <c r="Q563" s="13">
        <f t="shared" si="67"/>
        <v>0.16444444446824491</v>
      </c>
      <c r="R563" s="13">
        <f t="shared" si="68"/>
        <v>1.223495370366436</v>
      </c>
      <c r="S563" s="13">
        <f t="shared" si="69"/>
        <v>13.114108796296932</v>
      </c>
      <c r="T563" t="str">
        <f t="shared" si="70"/>
        <v>On Time/Early</v>
      </c>
      <c r="U563" t="str">
        <f t="shared" si="71"/>
        <v>Normal</v>
      </c>
      <c r="V563" t="s">
        <v>102</v>
      </c>
    </row>
    <row r="564" spans="1:22">
      <c r="A564" t="s">
        <v>988</v>
      </c>
      <c r="B564" s="10">
        <v>43020.646377314813</v>
      </c>
      <c r="C564" s="10">
        <v>43020.659317129626</v>
      </c>
      <c r="D564" s="10">
        <v>43029.497731481482</v>
      </c>
      <c r="E564" s="10">
        <v>43048.85597222222</v>
      </c>
      <c r="F564" s="10">
        <v>43040</v>
      </c>
      <c r="G564" t="s">
        <v>16</v>
      </c>
      <c r="H564" t="s">
        <v>138</v>
      </c>
      <c r="I564" t="s">
        <v>34</v>
      </c>
      <c r="J564" s="11">
        <v>1</v>
      </c>
      <c r="K564" s="12">
        <v>159.99</v>
      </c>
      <c r="L564" s="12">
        <v>57.79</v>
      </c>
      <c r="M564" s="13">
        <v>3</v>
      </c>
      <c r="N564" s="13">
        <f t="shared" si="64"/>
        <v>28.209594907406427</v>
      </c>
      <c r="O564" s="13">
        <f t="shared" si="65"/>
        <v>8.8559722222198616</v>
      </c>
      <c r="P564" t="str">
        <f t="shared" si="66"/>
        <v>Delayed</v>
      </c>
      <c r="Q564" s="13">
        <f t="shared" si="67"/>
        <v>0.31055555550847203</v>
      </c>
      <c r="R564" s="13">
        <f t="shared" si="68"/>
        <v>8.838414351856045</v>
      </c>
      <c r="S564" s="13">
        <f t="shared" si="69"/>
        <v>19.358240740737529</v>
      </c>
      <c r="T564" t="str">
        <f t="shared" si="70"/>
        <v>8+ Days Late</v>
      </c>
      <c r="U564" t="str">
        <f t="shared" si="71"/>
        <v>Needs Review</v>
      </c>
      <c r="V564" t="s">
        <v>102</v>
      </c>
    </row>
    <row r="565" spans="1:22">
      <c r="A565" t="s">
        <v>989</v>
      </c>
      <c r="B565" s="10">
        <v>43021.503807870373</v>
      </c>
      <c r="C565" s="10">
        <v>43022.156886574077</v>
      </c>
      <c r="D565" s="10">
        <v>43024.887407407405</v>
      </c>
      <c r="E565" s="10">
        <v>43035.862303240741</v>
      </c>
      <c r="F565" s="10">
        <v>43033</v>
      </c>
      <c r="G565" t="s">
        <v>8</v>
      </c>
      <c r="H565" t="s">
        <v>140</v>
      </c>
      <c r="I565" t="s">
        <v>123</v>
      </c>
      <c r="J565" s="11">
        <v>1</v>
      </c>
      <c r="K565" s="12">
        <v>119.99</v>
      </c>
      <c r="L565" s="12">
        <v>12.04</v>
      </c>
      <c r="M565" s="13">
        <v>4</v>
      </c>
      <c r="N565" s="13">
        <f t="shared" si="64"/>
        <v>14.358495370368473</v>
      </c>
      <c r="O565" s="13">
        <f t="shared" si="65"/>
        <v>2.862303240741312</v>
      </c>
      <c r="P565" t="str">
        <f t="shared" si="66"/>
        <v>Delayed</v>
      </c>
      <c r="Q565" s="13">
        <f t="shared" si="67"/>
        <v>15.67388888890855</v>
      </c>
      <c r="R565" s="13">
        <f t="shared" si="68"/>
        <v>2.7305208333273185</v>
      </c>
      <c r="S565" s="13">
        <f t="shared" si="69"/>
        <v>10.974895833336632</v>
      </c>
      <c r="T565" t="str">
        <f t="shared" si="70"/>
        <v>1-3 Days Late</v>
      </c>
      <c r="U565" t="str">
        <f t="shared" si="71"/>
        <v>Needs Review</v>
      </c>
      <c r="V565" t="s">
        <v>102</v>
      </c>
    </row>
    <row r="566" spans="1:22">
      <c r="A566" t="s">
        <v>990</v>
      </c>
      <c r="B566" s="10">
        <v>43021.647766203707</v>
      </c>
      <c r="C566" s="10">
        <v>43025.164259259262</v>
      </c>
      <c r="D566" s="10">
        <v>43027.658993055556</v>
      </c>
      <c r="E566" s="10">
        <v>43033.878252314818</v>
      </c>
      <c r="F566" s="10">
        <v>43039</v>
      </c>
      <c r="G566" t="s">
        <v>20</v>
      </c>
      <c r="H566" t="s">
        <v>594</v>
      </c>
      <c r="I566" t="s">
        <v>120</v>
      </c>
      <c r="J566" s="11">
        <v>1</v>
      </c>
      <c r="K566" s="12">
        <v>137.9</v>
      </c>
      <c r="L566" s="12">
        <v>23.11</v>
      </c>
      <c r="M566" s="13">
        <v>4</v>
      </c>
      <c r="N566" s="13">
        <f t="shared" si="64"/>
        <v>12.230486111111531</v>
      </c>
      <c r="O566" s="13">
        <f t="shared" si="65"/>
        <v>0</v>
      </c>
      <c r="P566" t="str">
        <f t="shared" si="66"/>
        <v>On Time</v>
      </c>
      <c r="Q566" s="13">
        <f t="shared" si="67"/>
        <v>84.395833333313931</v>
      </c>
      <c r="R566" s="13">
        <f t="shared" si="68"/>
        <v>2.494733796294895</v>
      </c>
      <c r="S566" s="13">
        <f t="shared" si="69"/>
        <v>6.2192592592618894</v>
      </c>
      <c r="T566" t="str">
        <f t="shared" si="70"/>
        <v>On Time/Early</v>
      </c>
      <c r="U566" t="str">
        <f t="shared" si="71"/>
        <v>Normal</v>
      </c>
      <c r="V566" t="s">
        <v>102</v>
      </c>
    </row>
    <row r="567" spans="1:22">
      <c r="A567" t="s">
        <v>991</v>
      </c>
      <c r="B567" s="10">
        <v>43021.669027777774</v>
      </c>
      <c r="C567" s="10">
        <v>43021.687951388885</v>
      </c>
      <c r="D567" s="10">
        <v>43026.843090277776</v>
      </c>
      <c r="E567" s="10">
        <v>43028.87972222222</v>
      </c>
      <c r="F567" s="10">
        <v>43042</v>
      </c>
      <c r="G567" t="s">
        <v>16</v>
      </c>
      <c r="H567" t="s">
        <v>992</v>
      </c>
      <c r="I567" t="s">
        <v>34</v>
      </c>
      <c r="J567" s="11">
        <v>1</v>
      </c>
      <c r="K567" s="12">
        <v>224.9</v>
      </c>
      <c r="L567" s="12">
        <v>50.1</v>
      </c>
      <c r="M567" s="13">
        <v>5</v>
      </c>
      <c r="N567" s="13">
        <f t="shared" si="64"/>
        <v>7.210694444445835</v>
      </c>
      <c r="O567" s="13">
        <f t="shared" si="65"/>
        <v>0</v>
      </c>
      <c r="P567" t="str">
        <f t="shared" si="66"/>
        <v>On Time</v>
      </c>
      <c r="Q567" s="13">
        <f t="shared" si="67"/>
        <v>0.45416666666278616</v>
      </c>
      <c r="R567" s="13">
        <f t="shared" si="68"/>
        <v>5.1551388888910878</v>
      </c>
      <c r="S567" s="13">
        <f t="shared" si="69"/>
        <v>2.0366319444437977</v>
      </c>
      <c r="T567" t="str">
        <f t="shared" si="70"/>
        <v>On Time/Early</v>
      </c>
      <c r="U567" t="str">
        <f t="shared" si="71"/>
        <v>Normal</v>
      </c>
      <c r="V567" t="s">
        <v>102</v>
      </c>
    </row>
    <row r="568" spans="1:22">
      <c r="A568" t="s">
        <v>993</v>
      </c>
      <c r="B568" s="10">
        <v>43021.797106481485</v>
      </c>
      <c r="C568" s="10">
        <v>43021.81050925926</v>
      </c>
      <c r="D568" s="10">
        <v>43024.843124999999</v>
      </c>
      <c r="E568" s="10">
        <v>43035.805324074077</v>
      </c>
      <c r="F568" s="10">
        <v>43052</v>
      </c>
      <c r="G568" t="s">
        <v>30</v>
      </c>
      <c r="H568" t="s">
        <v>994</v>
      </c>
      <c r="I568" t="s">
        <v>221</v>
      </c>
      <c r="J568" s="11">
        <v>1</v>
      </c>
      <c r="K568" s="12">
        <v>145</v>
      </c>
      <c r="L568" s="12">
        <v>15.76</v>
      </c>
      <c r="M568" s="13">
        <v>4</v>
      </c>
      <c r="N568" s="13">
        <f t="shared" si="64"/>
        <v>14.0082175925927</v>
      </c>
      <c r="O568" s="13">
        <f t="shared" si="65"/>
        <v>0</v>
      </c>
      <c r="P568" t="str">
        <f t="shared" si="66"/>
        <v>On Time</v>
      </c>
      <c r="Q568" s="13">
        <f t="shared" si="67"/>
        <v>0.32166666659759358</v>
      </c>
      <c r="R568" s="13">
        <f t="shared" si="68"/>
        <v>3.0326157407398568</v>
      </c>
      <c r="S568" s="13">
        <f t="shared" si="69"/>
        <v>10.962199074077944</v>
      </c>
      <c r="T568" t="str">
        <f t="shared" si="70"/>
        <v>On Time/Early</v>
      </c>
      <c r="U568" t="str">
        <f t="shared" si="71"/>
        <v>Normal</v>
      </c>
      <c r="V568" t="s">
        <v>102</v>
      </c>
    </row>
    <row r="569" spans="1:22">
      <c r="A569" t="s">
        <v>995</v>
      </c>
      <c r="B569" s="10">
        <v>43022.09952546296</v>
      </c>
      <c r="C569" s="10">
        <v>43022.107731481483</v>
      </c>
      <c r="D569" s="10">
        <v>43025.592268518521</v>
      </c>
      <c r="E569" s="10">
        <v>43026.814375000002</v>
      </c>
      <c r="F569" s="10">
        <v>43039</v>
      </c>
      <c r="G569" t="s">
        <v>8</v>
      </c>
      <c r="H569" t="s">
        <v>309</v>
      </c>
      <c r="I569" t="s">
        <v>143</v>
      </c>
      <c r="J569" s="11">
        <v>1</v>
      </c>
      <c r="K569" s="12">
        <v>56.99</v>
      </c>
      <c r="L569" s="12">
        <v>8.7200000000000006</v>
      </c>
      <c r="M569" s="13">
        <v>5</v>
      </c>
      <c r="N569" s="13">
        <f t="shared" si="64"/>
        <v>4.7148495370420278</v>
      </c>
      <c r="O569" s="13">
        <f t="shared" si="65"/>
        <v>0</v>
      </c>
      <c r="P569" t="str">
        <f t="shared" si="66"/>
        <v>On Time</v>
      </c>
      <c r="Q569" s="13">
        <f t="shared" si="67"/>
        <v>0.19694444455672055</v>
      </c>
      <c r="R569" s="13">
        <f t="shared" si="68"/>
        <v>3.4845370370385353</v>
      </c>
      <c r="S569" s="13">
        <f t="shared" si="69"/>
        <v>1.2221064814802958</v>
      </c>
      <c r="T569" t="str">
        <f t="shared" si="70"/>
        <v>On Time/Early</v>
      </c>
      <c r="U569" t="str">
        <f t="shared" si="71"/>
        <v>Normal</v>
      </c>
      <c r="V569" t="s">
        <v>102</v>
      </c>
    </row>
    <row r="570" spans="1:22">
      <c r="A570" t="s">
        <v>996</v>
      </c>
      <c r="B570" s="10">
        <v>43022.531307870369</v>
      </c>
      <c r="C570" s="10">
        <v>43022.547118055554</v>
      </c>
      <c r="D570" s="10">
        <v>43027.874340277776</v>
      </c>
      <c r="E570" s="10">
        <v>43068.730868055558</v>
      </c>
      <c r="F570" s="10">
        <v>43049</v>
      </c>
      <c r="G570" t="s">
        <v>474</v>
      </c>
      <c r="H570" t="s">
        <v>997</v>
      </c>
      <c r="I570" t="s">
        <v>115</v>
      </c>
      <c r="J570" s="11">
        <v>1</v>
      </c>
      <c r="K570" s="12">
        <v>19.899999999999999</v>
      </c>
      <c r="L570" s="12">
        <v>34.15</v>
      </c>
      <c r="M570" s="13">
        <v>1</v>
      </c>
      <c r="N570" s="13">
        <f t="shared" si="64"/>
        <v>46.199560185188602</v>
      </c>
      <c r="O570" s="13">
        <f t="shared" si="65"/>
        <v>19.730868055557949</v>
      </c>
      <c r="P570" t="str">
        <f t="shared" si="66"/>
        <v>Delayed</v>
      </c>
      <c r="Q570" s="13">
        <f t="shared" si="67"/>
        <v>0.37944444443564862</v>
      </c>
      <c r="R570" s="13">
        <f t="shared" si="68"/>
        <v>5.3272222222221899</v>
      </c>
      <c r="S570" s="13">
        <f t="shared" si="69"/>
        <v>40.856527777781594</v>
      </c>
      <c r="T570" t="str">
        <f t="shared" si="70"/>
        <v>8+ Days Late</v>
      </c>
      <c r="U570" t="str">
        <f t="shared" si="71"/>
        <v>Needs Review</v>
      </c>
      <c r="V570" t="s">
        <v>102</v>
      </c>
    </row>
    <row r="571" spans="1:22">
      <c r="A571" t="s">
        <v>998</v>
      </c>
      <c r="B571" s="10">
        <v>43023.565185185187</v>
      </c>
      <c r="C571" s="10">
        <v>43023.575937499998</v>
      </c>
      <c r="D571" s="10">
        <v>43024.952951388892</v>
      </c>
      <c r="E571" s="10">
        <v>43027.682500000003</v>
      </c>
      <c r="F571" s="10">
        <v>43047</v>
      </c>
      <c r="G571" t="s">
        <v>8</v>
      </c>
      <c r="H571" t="s">
        <v>140</v>
      </c>
      <c r="I571" t="s">
        <v>58</v>
      </c>
      <c r="J571" s="11">
        <v>1</v>
      </c>
      <c r="K571" s="12">
        <v>349.9</v>
      </c>
      <c r="L571" s="12">
        <v>17.21</v>
      </c>
      <c r="M571" s="13">
        <v>5</v>
      </c>
      <c r="N571" s="13">
        <f t="shared" si="64"/>
        <v>4.1173148148154723</v>
      </c>
      <c r="O571" s="13">
        <f t="shared" si="65"/>
        <v>0</v>
      </c>
      <c r="P571" t="str">
        <f t="shared" si="66"/>
        <v>On Time</v>
      </c>
      <c r="Q571" s="13">
        <f t="shared" si="67"/>
        <v>0.25805555545957759</v>
      </c>
      <c r="R571" s="13">
        <f t="shared" si="68"/>
        <v>1.3770138888939982</v>
      </c>
      <c r="S571" s="13">
        <f t="shared" si="69"/>
        <v>2.7295486111106584</v>
      </c>
      <c r="T571" t="str">
        <f t="shared" si="70"/>
        <v>On Time/Early</v>
      </c>
      <c r="U571" t="str">
        <f t="shared" si="71"/>
        <v>Normal</v>
      </c>
      <c r="V571" t="s">
        <v>102</v>
      </c>
    </row>
    <row r="572" spans="1:22">
      <c r="A572" t="s">
        <v>999</v>
      </c>
      <c r="B572" s="10">
        <v>43023.798981481479</v>
      </c>
      <c r="C572" s="10">
        <v>43026.143807870372</v>
      </c>
      <c r="D572" s="10">
        <v>43027.729201388887</v>
      </c>
      <c r="E572" s="10">
        <v>43046.941458333335</v>
      </c>
      <c r="F572" s="10">
        <v>43048</v>
      </c>
      <c r="G572" t="s">
        <v>33</v>
      </c>
      <c r="H572" t="s">
        <v>1000</v>
      </c>
      <c r="I572" t="s">
        <v>58</v>
      </c>
      <c r="J572" s="11">
        <v>1</v>
      </c>
      <c r="K572" s="12">
        <v>59.9</v>
      </c>
      <c r="L572" s="12">
        <v>17.670000000000002</v>
      </c>
      <c r="M572" s="13">
        <v>3</v>
      </c>
      <c r="N572" s="13">
        <f t="shared" si="64"/>
        <v>23.142476851855463</v>
      </c>
      <c r="O572" s="13">
        <f t="shared" si="65"/>
        <v>0</v>
      </c>
      <c r="P572" t="str">
        <f t="shared" si="66"/>
        <v>On Time</v>
      </c>
      <c r="Q572" s="13">
        <f t="shared" si="67"/>
        <v>56.275833333435003</v>
      </c>
      <c r="R572" s="13">
        <f t="shared" si="68"/>
        <v>1.5853935185150476</v>
      </c>
      <c r="S572" s="13">
        <f t="shared" si="69"/>
        <v>19.21225694444729</v>
      </c>
      <c r="T572" t="str">
        <f t="shared" si="70"/>
        <v>On Time/Early</v>
      </c>
      <c r="U572" t="str">
        <f t="shared" si="71"/>
        <v>Normal</v>
      </c>
      <c r="V572" t="s">
        <v>102</v>
      </c>
    </row>
    <row r="573" spans="1:22">
      <c r="A573" t="s">
        <v>1001</v>
      </c>
      <c r="B573" s="10">
        <v>43024.671215277776</v>
      </c>
      <c r="C573" s="10">
        <v>43024.69258101852</v>
      </c>
      <c r="D573" s="10">
        <v>43025.720775462964</v>
      </c>
      <c r="E573" s="10">
        <v>43029.547118055554</v>
      </c>
      <c r="F573" s="10">
        <v>43047</v>
      </c>
      <c r="G573" t="s">
        <v>8</v>
      </c>
      <c r="H573" t="s">
        <v>140</v>
      </c>
      <c r="I573" t="s">
        <v>101</v>
      </c>
      <c r="J573" s="11">
        <v>4</v>
      </c>
      <c r="K573" s="12">
        <v>67.599999999999994</v>
      </c>
      <c r="L573" s="12">
        <v>60.4</v>
      </c>
      <c r="M573" s="13">
        <v>5</v>
      </c>
      <c r="N573" s="13">
        <f t="shared" si="64"/>
        <v>4.8759027777778101</v>
      </c>
      <c r="O573" s="13">
        <f t="shared" si="65"/>
        <v>0</v>
      </c>
      <c r="P573" t="str">
        <f t="shared" si="66"/>
        <v>On Time</v>
      </c>
      <c r="Q573" s="13">
        <f t="shared" si="67"/>
        <v>0.51277777785435319</v>
      </c>
      <c r="R573" s="13">
        <f t="shared" si="68"/>
        <v>1.0281944444432156</v>
      </c>
      <c r="S573" s="13">
        <f t="shared" si="69"/>
        <v>3.8263425925906631</v>
      </c>
      <c r="T573" t="str">
        <f t="shared" si="70"/>
        <v>On Time/Early</v>
      </c>
      <c r="U573" t="str">
        <f t="shared" si="71"/>
        <v>Normal</v>
      </c>
      <c r="V573" t="s">
        <v>102</v>
      </c>
    </row>
    <row r="574" spans="1:22">
      <c r="A574" t="s">
        <v>1002</v>
      </c>
      <c r="B574" s="10">
        <v>43024.751226851855</v>
      </c>
      <c r="C574" s="10">
        <v>43024.766736111109</v>
      </c>
      <c r="D574" s="10">
        <v>43025.692939814813</v>
      </c>
      <c r="E574" s="10">
        <v>43040.79378472222</v>
      </c>
      <c r="F574" s="10">
        <v>43052</v>
      </c>
      <c r="G574" t="s">
        <v>464</v>
      </c>
      <c r="H574" t="s">
        <v>883</v>
      </c>
      <c r="I574" t="s">
        <v>58</v>
      </c>
      <c r="J574" s="11">
        <v>1</v>
      </c>
      <c r="K574" s="12">
        <v>42.9</v>
      </c>
      <c r="L574" s="12">
        <v>42.76</v>
      </c>
      <c r="M574" s="13">
        <v>5</v>
      </c>
      <c r="N574" s="13">
        <f t="shared" si="64"/>
        <v>16.042557870365272</v>
      </c>
      <c r="O574" s="13">
        <f t="shared" si="65"/>
        <v>0</v>
      </c>
      <c r="P574" t="str">
        <f t="shared" si="66"/>
        <v>On Time</v>
      </c>
      <c r="Q574" s="13">
        <f t="shared" si="67"/>
        <v>0.37222222209675238</v>
      </c>
      <c r="R574" s="13">
        <f t="shared" si="68"/>
        <v>0.92620370370423188</v>
      </c>
      <c r="S574" s="13">
        <f t="shared" si="69"/>
        <v>15.100844907407009</v>
      </c>
      <c r="T574" t="str">
        <f t="shared" si="70"/>
        <v>On Time/Early</v>
      </c>
      <c r="U574" t="str">
        <f t="shared" si="71"/>
        <v>Normal</v>
      </c>
      <c r="V574" t="s">
        <v>102</v>
      </c>
    </row>
    <row r="575" spans="1:22">
      <c r="A575" t="s">
        <v>1003</v>
      </c>
      <c r="B575" s="10">
        <v>43024.766817129632</v>
      </c>
      <c r="C575" s="10">
        <v>43024.781759259262</v>
      </c>
      <c r="D575" s="10">
        <v>43026.920787037037</v>
      </c>
      <c r="E575" s="10">
        <v>43028.735659722224</v>
      </c>
      <c r="F575" s="10">
        <v>43042</v>
      </c>
      <c r="G575" t="s">
        <v>8</v>
      </c>
      <c r="H575" t="s">
        <v>649</v>
      </c>
      <c r="I575" t="s">
        <v>101</v>
      </c>
      <c r="J575" s="11">
        <v>2</v>
      </c>
      <c r="K575" s="12">
        <v>99.94</v>
      </c>
      <c r="L575" s="12">
        <v>32.22</v>
      </c>
      <c r="M575" s="13">
        <v>5</v>
      </c>
      <c r="N575" s="13">
        <f t="shared" si="64"/>
        <v>3.9688425925924093</v>
      </c>
      <c r="O575" s="13">
        <f t="shared" si="65"/>
        <v>0</v>
      </c>
      <c r="P575" t="str">
        <f t="shared" si="66"/>
        <v>On Time</v>
      </c>
      <c r="Q575" s="13">
        <f t="shared" si="67"/>
        <v>0.35861111112171784</v>
      </c>
      <c r="R575" s="13">
        <f t="shared" si="68"/>
        <v>2.1390277777754818</v>
      </c>
      <c r="S575" s="13">
        <f t="shared" si="69"/>
        <v>1.814872685186856</v>
      </c>
      <c r="T575" t="str">
        <f t="shared" si="70"/>
        <v>On Time/Early</v>
      </c>
      <c r="U575" t="str">
        <f t="shared" si="71"/>
        <v>Normal</v>
      </c>
      <c r="V575" t="s">
        <v>102</v>
      </c>
    </row>
    <row r="576" spans="1:22">
      <c r="A576" t="s">
        <v>1004</v>
      </c>
      <c r="B576" s="10">
        <v>43024.929988425924</v>
      </c>
      <c r="C576" s="10">
        <v>43024.942164351851</v>
      </c>
      <c r="D576" s="10">
        <v>43026.931875000002</v>
      </c>
      <c r="E576" s="10">
        <v>43034.789837962962</v>
      </c>
      <c r="F576" s="10">
        <v>43052</v>
      </c>
      <c r="G576" t="s">
        <v>30</v>
      </c>
      <c r="H576" t="s">
        <v>585</v>
      </c>
      <c r="I576" t="s">
        <v>128</v>
      </c>
      <c r="J576" s="11">
        <v>2</v>
      </c>
      <c r="K576" s="12">
        <v>119.8</v>
      </c>
      <c r="L576" s="12">
        <v>35.340000000000003</v>
      </c>
      <c r="M576" s="13">
        <v>5</v>
      </c>
      <c r="N576" s="13">
        <f t="shared" si="64"/>
        <v>9.8598495370388264</v>
      </c>
      <c r="O576" s="13">
        <f t="shared" si="65"/>
        <v>0</v>
      </c>
      <c r="P576" t="str">
        <f t="shared" si="66"/>
        <v>On Time</v>
      </c>
      <c r="Q576" s="13">
        <f t="shared" si="67"/>
        <v>0.29222222225507721</v>
      </c>
      <c r="R576" s="13">
        <f t="shared" si="68"/>
        <v>1.989710648151231</v>
      </c>
      <c r="S576" s="13">
        <f t="shared" si="69"/>
        <v>7.8579629629603005</v>
      </c>
      <c r="T576" t="str">
        <f t="shared" si="70"/>
        <v>On Time/Early</v>
      </c>
      <c r="U576" t="str">
        <f t="shared" si="71"/>
        <v>Normal</v>
      </c>
      <c r="V576" t="s">
        <v>102</v>
      </c>
    </row>
    <row r="577" spans="1:22">
      <c r="A577" t="s">
        <v>1005</v>
      </c>
      <c r="B577" s="10">
        <v>43024.997349537036</v>
      </c>
      <c r="C577" s="10">
        <v>43025.005173611113</v>
      </c>
      <c r="D577" s="10">
        <v>43029.519282407404</v>
      </c>
      <c r="E577" s="10">
        <v>43041.010983796295</v>
      </c>
      <c r="F577" s="10">
        <v>43052</v>
      </c>
      <c r="G577" t="s">
        <v>218</v>
      </c>
      <c r="H577" t="s">
        <v>219</v>
      </c>
      <c r="I577" t="s">
        <v>221</v>
      </c>
      <c r="J577" s="11">
        <v>1</v>
      </c>
      <c r="K577" s="12">
        <v>55</v>
      </c>
      <c r="L577" s="12">
        <v>21.19</v>
      </c>
      <c r="M577" s="13">
        <v>5</v>
      </c>
      <c r="N577" s="13">
        <f t="shared" si="64"/>
        <v>16.013634259259561</v>
      </c>
      <c r="O577" s="13">
        <f t="shared" si="65"/>
        <v>0</v>
      </c>
      <c r="P577" t="str">
        <f t="shared" si="66"/>
        <v>On Time</v>
      </c>
      <c r="Q577" s="13">
        <f t="shared" si="67"/>
        <v>0.18777777784271166</v>
      </c>
      <c r="R577" s="13">
        <f t="shared" si="68"/>
        <v>4.5141087962911115</v>
      </c>
      <c r="S577" s="13">
        <f t="shared" si="69"/>
        <v>11.49170138889167</v>
      </c>
      <c r="T577" t="str">
        <f t="shared" si="70"/>
        <v>On Time/Early</v>
      </c>
      <c r="U577" t="str">
        <f t="shared" si="71"/>
        <v>Normal</v>
      </c>
      <c r="V577" t="s">
        <v>102</v>
      </c>
    </row>
    <row r="578" spans="1:22">
      <c r="A578" t="s">
        <v>1006</v>
      </c>
      <c r="B578" s="10">
        <v>43025.49591435185</v>
      </c>
      <c r="C578" s="10">
        <v>43025.505266203705</v>
      </c>
      <c r="D578" s="10">
        <v>43025.779826388891</v>
      </c>
      <c r="E578" s="10">
        <v>43028.59511574074</v>
      </c>
      <c r="F578" s="10">
        <v>43042</v>
      </c>
      <c r="G578" t="s">
        <v>8</v>
      </c>
      <c r="H578" t="s">
        <v>140</v>
      </c>
      <c r="I578" t="s">
        <v>180</v>
      </c>
      <c r="J578" s="11">
        <v>1</v>
      </c>
      <c r="K578" s="12">
        <v>74.900000000000006</v>
      </c>
      <c r="L578" s="12">
        <v>12.86</v>
      </c>
      <c r="M578" s="13">
        <v>5</v>
      </c>
      <c r="N578" s="13">
        <f t="shared" ref="N578:N641" si="72">IFERROR(E578-B578,"")</f>
        <v>3.0992013888899237</v>
      </c>
      <c r="O578" s="13">
        <f t="shared" ref="O578:O641" si="73">IFERROR(MAX(0,E578-F578),"")</f>
        <v>0</v>
      </c>
      <c r="P578" t="str">
        <f t="shared" ref="P578:P641" si="74">IF(O578&gt;0,"Delayed","On Time")</f>
        <v>On Time</v>
      </c>
      <c r="Q578" s="13">
        <f t="shared" ref="Q578:Q641" si="75">IFERROR((C578-B578)*24,"")</f>
        <v>0.22444444452412426</v>
      </c>
      <c r="R578" s="13">
        <f t="shared" ref="R578:R641" si="76">IFERROR(D578-C578,"")</f>
        <v>0.27456018518569181</v>
      </c>
      <c r="S578" s="13">
        <f t="shared" ref="S578:S641" si="77">IFERROR(E578-D578,"")</f>
        <v>2.81528935184906</v>
      </c>
      <c r="T578" t="str">
        <f t="shared" ref="T578:T641" si="78">IF(O578=0,"On Time/Early",IF(O578&lt;=3,"1-3 Days Late",IF(O578&lt;=7,"4-7 Days Late","8+ Days Late")))</f>
        <v>On Time/Early</v>
      </c>
      <c r="U578" t="str">
        <f t="shared" ref="U578:U641" si="79">IF(P578="Delayed","Needs Review","Normal")</f>
        <v>Normal</v>
      </c>
      <c r="V578" t="s">
        <v>102</v>
      </c>
    </row>
    <row r="579" spans="1:22">
      <c r="A579" t="s">
        <v>1007</v>
      </c>
      <c r="B579" s="10">
        <v>43025.533553240741</v>
      </c>
      <c r="C579" s="10">
        <v>43025.546134259261</v>
      </c>
      <c r="D579" s="10">
        <v>43025.820729166669</v>
      </c>
      <c r="E579" s="10">
        <v>43034.950324074074</v>
      </c>
      <c r="F579" s="10">
        <v>43047</v>
      </c>
      <c r="G579" t="s">
        <v>16</v>
      </c>
      <c r="H579" t="s">
        <v>1008</v>
      </c>
      <c r="I579" t="s">
        <v>123</v>
      </c>
      <c r="J579" s="11">
        <v>1</v>
      </c>
      <c r="K579" s="12">
        <v>139.9</v>
      </c>
      <c r="L579" s="12">
        <v>16.739999999999998</v>
      </c>
      <c r="M579" s="13">
        <v>4</v>
      </c>
      <c r="N579" s="13">
        <f t="shared" si="72"/>
        <v>9.4167708333334303</v>
      </c>
      <c r="O579" s="13">
        <f t="shared" si="73"/>
        <v>0</v>
      </c>
      <c r="P579" t="str">
        <f t="shared" si="74"/>
        <v>On Time</v>
      </c>
      <c r="Q579" s="13">
        <f t="shared" si="75"/>
        <v>0.30194444447988644</v>
      </c>
      <c r="R579" s="13">
        <f t="shared" si="76"/>
        <v>0.27459490740875481</v>
      </c>
      <c r="S579" s="13">
        <f t="shared" si="77"/>
        <v>9.1295949074046803</v>
      </c>
      <c r="T579" t="str">
        <f t="shared" si="78"/>
        <v>On Time/Early</v>
      </c>
      <c r="U579" t="str">
        <f t="shared" si="79"/>
        <v>Normal</v>
      </c>
      <c r="V579" t="s">
        <v>102</v>
      </c>
    </row>
    <row r="580" spans="1:22">
      <c r="A580" t="s">
        <v>1009</v>
      </c>
      <c r="B580" s="10">
        <v>43025.578703703701</v>
      </c>
      <c r="C580" s="10">
        <v>43026.136053240742</v>
      </c>
      <c r="D580" s="10">
        <v>43026.788194444445</v>
      </c>
      <c r="E580" s="10">
        <v>43031.824791666666</v>
      </c>
      <c r="F580" s="10">
        <v>43042</v>
      </c>
      <c r="G580" t="s">
        <v>8</v>
      </c>
      <c r="H580" t="s">
        <v>472</v>
      </c>
      <c r="I580" t="s">
        <v>221</v>
      </c>
      <c r="J580" s="11">
        <v>1</v>
      </c>
      <c r="K580" s="12">
        <v>49</v>
      </c>
      <c r="L580" s="12">
        <v>11.85</v>
      </c>
      <c r="M580" s="13">
        <v>1</v>
      </c>
      <c r="N580" s="13">
        <f t="shared" si="72"/>
        <v>6.2460879629652482</v>
      </c>
      <c r="O580" s="13">
        <f t="shared" si="73"/>
        <v>0</v>
      </c>
      <c r="P580" t="str">
        <f t="shared" si="74"/>
        <v>On Time</v>
      </c>
      <c r="Q580" s="13">
        <f t="shared" si="75"/>
        <v>13.376388888980728</v>
      </c>
      <c r="R580" s="13">
        <f t="shared" si="76"/>
        <v>0.65214120370364981</v>
      </c>
      <c r="S580" s="13">
        <f t="shared" si="77"/>
        <v>5.0365972222207347</v>
      </c>
      <c r="T580" t="str">
        <f t="shared" si="78"/>
        <v>On Time/Early</v>
      </c>
      <c r="U580" t="str">
        <f t="shared" si="79"/>
        <v>Normal</v>
      </c>
      <c r="V580" t="s">
        <v>102</v>
      </c>
    </row>
    <row r="581" spans="1:22">
      <c r="A581" t="s">
        <v>1010</v>
      </c>
      <c r="B581" s="10">
        <v>43025.579780092594</v>
      </c>
      <c r="C581" s="10">
        <v>43026.123969907407</v>
      </c>
      <c r="D581" s="10">
        <v>43028.940810185188</v>
      </c>
      <c r="E581" s="10">
        <v>43042.744340277779</v>
      </c>
      <c r="F581" s="10">
        <v>43045</v>
      </c>
      <c r="G581" t="s">
        <v>16</v>
      </c>
      <c r="H581" t="s">
        <v>138</v>
      </c>
      <c r="I581" t="s">
        <v>128</v>
      </c>
      <c r="J581" s="11">
        <v>3</v>
      </c>
      <c r="K581" s="12">
        <v>179.7</v>
      </c>
      <c r="L581" s="12">
        <v>53.01</v>
      </c>
      <c r="M581" s="13">
        <v>5</v>
      </c>
      <c r="N581" s="13">
        <f t="shared" si="72"/>
        <v>17.16456018518511</v>
      </c>
      <c r="O581" s="13">
        <f t="shared" si="73"/>
        <v>0</v>
      </c>
      <c r="P581" t="str">
        <f t="shared" si="74"/>
        <v>On Time</v>
      </c>
      <c r="Q581" s="13">
        <f t="shared" si="75"/>
        <v>13.060555555508472</v>
      </c>
      <c r="R581" s="13">
        <f t="shared" si="76"/>
        <v>2.8168402777810115</v>
      </c>
      <c r="S581" s="13">
        <f t="shared" si="77"/>
        <v>13.803530092591245</v>
      </c>
      <c r="T581" t="str">
        <f t="shared" si="78"/>
        <v>On Time/Early</v>
      </c>
      <c r="U581" t="str">
        <f t="shared" si="79"/>
        <v>Normal</v>
      </c>
      <c r="V581" t="s">
        <v>102</v>
      </c>
    </row>
    <row r="582" spans="1:22">
      <c r="A582" t="s">
        <v>1011</v>
      </c>
      <c r="B582" s="10">
        <v>43025.679837962962</v>
      </c>
      <c r="C582" s="10">
        <v>43025.740868055553</v>
      </c>
      <c r="D582" s="10">
        <v>43032.905428240738</v>
      </c>
      <c r="E582" s="10">
        <v>43033.740752314814</v>
      </c>
      <c r="F582" s="10">
        <v>43045</v>
      </c>
      <c r="G582" t="s">
        <v>8</v>
      </c>
      <c r="H582" t="s">
        <v>227</v>
      </c>
      <c r="I582" t="s">
        <v>136</v>
      </c>
      <c r="J582" s="11">
        <v>1</v>
      </c>
      <c r="K582" s="12">
        <v>79.489999999999995</v>
      </c>
      <c r="L582" s="12">
        <v>12.06</v>
      </c>
      <c r="M582" s="13">
        <v>5</v>
      </c>
      <c r="N582" s="13">
        <f t="shared" si="72"/>
        <v>8.0609143518522615</v>
      </c>
      <c r="O582" s="13">
        <f t="shared" si="73"/>
        <v>0</v>
      </c>
      <c r="P582" t="str">
        <f t="shared" si="74"/>
        <v>On Time</v>
      </c>
      <c r="Q582" s="13">
        <f t="shared" si="75"/>
        <v>1.4647222221828997</v>
      </c>
      <c r="R582" s="13">
        <f t="shared" si="76"/>
        <v>7.1645601851851097</v>
      </c>
      <c r="S582" s="13">
        <f t="shared" si="77"/>
        <v>0.83532407407619758</v>
      </c>
      <c r="T582" t="str">
        <f t="shared" si="78"/>
        <v>On Time/Early</v>
      </c>
      <c r="U582" t="str">
        <f t="shared" si="79"/>
        <v>Normal</v>
      </c>
      <c r="V582" t="s">
        <v>102</v>
      </c>
    </row>
    <row r="583" spans="1:22">
      <c r="A583" t="s">
        <v>1012</v>
      </c>
      <c r="B583" s="10">
        <v>43025.809814814813</v>
      </c>
      <c r="C583" s="10">
        <v>43025.823530092595</v>
      </c>
      <c r="D583" s="10">
        <v>43028.710787037038</v>
      </c>
      <c r="E583" s="10">
        <v>43033.717743055553</v>
      </c>
      <c r="F583" s="10">
        <v>43068</v>
      </c>
      <c r="G583" t="s">
        <v>175</v>
      </c>
      <c r="H583" t="s">
        <v>338</v>
      </c>
      <c r="I583" t="s">
        <v>185</v>
      </c>
      <c r="J583" s="11">
        <v>1</v>
      </c>
      <c r="K583" s="12">
        <v>15.9</v>
      </c>
      <c r="L583" s="12">
        <v>21.15</v>
      </c>
      <c r="M583" s="13">
        <v>5</v>
      </c>
      <c r="N583" s="13">
        <f t="shared" si="72"/>
        <v>7.9079282407401479</v>
      </c>
      <c r="O583" s="13">
        <f t="shared" si="73"/>
        <v>0</v>
      </c>
      <c r="P583" t="str">
        <f t="shared" si="74"/>
        <v>On Time</v>
      </c>
      <c r="Q583" s="13">
        <f t="shared" si="75"/>
        <v>0.32916666677920148</v>
      </c>
      <c r="R583" s="13">
        <f t="shared" si="76"/>
        <v>2.8872569444429246</v>
      </c>
      <c r="S583" s="13">
        <f t="shared" si="77"/>
        <v>5.0069560185147566</v>
      </c>
      <c r="T583" t="str">
        <f t="shared" si="78"/>
        <v>On Time/Early</v>
      </c>
      <c r="U583" t="str">
        <f t="shared" si="79"/>
        <v>Normal</v>
      </c>
      <c r="V583" t="s">
        <v>102</v>
      </c>
    </row>
    <row r="584" spans="1:22">
      <c r="A584" t="s">
        <v>1013</v>
      </c>
      <c r="B584" s="10">
        <v>43025.813333333332</v>
      </c>
      <c r="C584" s="10">
        <v>43025.823750000003</v>
      </c>
      <c r="D584" s="10">
        <v>43026.635370370372</v>
      </c>
      <c r="E584" s="10">
        <v>43038.969571759262</v>
      </c>
      <c r="F584" s="10">
        <v>43047</v>
      </c>
      <c r="G584" t="s">
        <v>110</v>
      </c>
      <c r="H584" t="s">
        <v>1014</v>
      </c>
      <c r="I584" t="s">
        <v>1015</v>
      </c>
      <c r="J584" s="11">
        <v>1</v>
      </c>
      <c r="K584" s="12">
        <v>12.9</v>
      </c>
      <c r="L584" s="12">
        <v>15.1</v>
      </c>
      <c r="M584" s="13">
        <v>5</v>
      </c>
      <c r="N584" s="13">
        <f t="shared" si="72"/>
        <v>13.156238425930496</v>
      </c>
      <c r="O584" s="13">
        <f t="shared" si="73"/>
        <v>0</v>
      </c>
      <c r="P584" t="str">
        <f t="shared" si="74"/>
        <v>On Time</v>
      </c>
      <c r="Q584" s="13">
        <f t="shared" si="75"/>
        <v>0.25000000011641532</v>
      </c>
      <c r="R584" s="13">
        <f t="shared" si="76"/>
        <v>0.81162037036847323</v>
      </c>
      <c r="S584" s="13">
        <f t="shared" si="77"/>
        <v>12.334201388890506</v>
      </c>
      <c r="T584" t="str">
        <f t="shared" si="78"/>
        <v>On Time/Early</v>
      </c>
      <c r="U584" t="str">
        <f t="shared" si="79"/>
        <v>Normal</v>
      </c>
      <c r="V584" t="s">
        <v>102</v>
      </c>
    </row>
    <row r="585" spans="1:22">
      <c r="A585" t="s">
        <v>1016</v>
      </c>
      <c r="B585" s="10">
        <v>43025.970520833333</v>
      </c>
      <c r="C585" s="10">
        <v>43026.992858796293</v>
      </c>
      <c r="D585" s="10">
        <v>43028.715289351851</v>
      </c>
      <c r="E585" s="10">
        <v>43031.721435185187</v>
      </c>
      <c r="F585" s="10">
        <v>43035</v>
      </c>
      <c r="G585" t="s">
        <v>8</v>
      </c>
      <c r="H585" t="s">
        <v>140</v>
      </c>
      <c r="I585" t="s">
        <v>177</v>
      </c>
      <c r="J585" s="11">
        <v>1</v>
      </c>
      <c r="K585" s="12">
        <v>79.900000000000006</v>
      </c>
      <c r="L585" s="12">
        <v>9.3699999999999992</v>
      </c>
      <c r="M585" s="13">
        <v>5</v>
      </c>
      <c r="N585" s="13">
        <f t="shared" si="72"/>
        <v>5.7509143518545898</v>
      </c>
      <c r="O585" s="13">
        <f t="shared" si="73"/>
        <v>0</v>
      </c>
      <c r="P585" t="str">
        <f t="shared" si="74"/>
        <v>On Time</v>
      </c>
      <c r="Q585" s="13">
        <f t="shared" si="75"/>
        <v>24.536111111054197</v>
      </c>
      <c r="R585" s="13">
        <f t="shared" si="76"/>
        <v>1.7224305555573665</v>
      </c>
      <c r="S585" s="13">
        <f t="shared" si="77"/>
        <v>3.0061458333366318</v>
      </c>
      <c r="T585" t="str">
        <f t="shared" si="78"/>
        <v>On Time/Early</v>
      </c>
      <c r="U585" t="str">
        <f t="shared" si="79"/>
        <v>Normal</v>
      </c>
      <c r="V585" t="s">
        <v>102</v>
      </c>
    </row>
    <row r="586" spans="1:22">
      <c r="A586" t="s">
        <v>1017</v>
      </c>
      <c r="B586" s="10">
        <v>43025.986493055556</v>
      </c>
      <c r="C586" s="10">
        <v>43025.992847222224</v>
      </c>
      <c r="D586" s="10">
        <v>43027.967731481483</v>
      </c>
      <c r="E586" s="10">
        <v>43052.820925925924</v>
      </c>
      <c r="F586" s="10">
        <v>43060</v>
      </c>
      <c r="G586" t="s">
        <v>175</v>
      </c>
      <c r="H586" t="s">
        <v>338</v>
      </c>
      <c r="I586" t="s">
        <v>154</v>
      </c>
      <c r="J586" s="11">
        <v>1</v>
      </c>
      <c r="K586" s="12">
        <v>249.9</v>
      </c>
      <c r="L586" s="12">
        <v>87.37</v>
      </c>
      <c r="M586" s="13">
        <v>5</v>
      </c>
      <c r="N586" s="13">
        <f t="shared" si="72"/>
        <v>26.834432870367891</v>
      </c>
      <c r="O586" s="13">
        <f t="shared" si="73"/>
        <v>0</v>
      </c>
      <c r="P586" t="str">
        <f t="shared" si="74"/>
        <v>On Time</v>
      </c>
      <c r="Q586" s="13">
        <f t="shared" si="75"/>
        <v>0.15250000002561137</v>
      </c>
      <c r="R586" s="13">
        <f t="shared" si="76"/>
        <v>1.9748842592598521</v>
      </c>
      <c r="S586" s="13">
        <f t="shared" si="77"/>
        <v>24.853194444440305</v>
      </c>
      <c r="T586" t="str">
        <f t="shared" si="78"/>
        <v>On Time/Early</v>
      </c>
      <c r="U586" t="str">
        <f t="shared" si="79"/>
        <v>Normal</v>
      </c>
      <c r="V586" t="s">
        <v>102</v>
      </c>
    </row>
    <row r="587" spans="1:22">
      <c r="A587" t="s">
        <v>1018</v>
      </c>
      <c r="B587" s="10">
        <v>43026.843090277776</v>
      </c>
      <c r="C587" s="10">
        <v>43028.409525462965</v>
      </c>
      <c r="D587" s="10">
        <v>43032.991620370369</v>
      </c>
      <c r="E587" s="10">
        <v>43042.84884259259</v>
      </c>
      <c r="F587" s="10">
        <v>43061</v>
      </c>
      <c r="G587" t="s">
        <v>134</v>
      </c>
      <c r="H587" t="s">
        <v>1019</v>
      </c>
      <c r="I587" t="s">
        <v>141</v>
      </c>
      <c r="J587" s="11">
        <v>1</v>
      </c>
      <c r="K587" s="12">
        <v>25</v>
      </c>
      <c r="L587" s="12">
        <v>16.79</v>
      </c>
      <c r="M587" s="13">
        <v>5</v>
      </c>
      <c r="N587" s="13">
        <f t="shared" si="72"/>
        <v>16.005752314813435</v>
      </c>
      <c r="O587" s="13">
        <f t="shared" si="73"/>
        <v>0</v>
      </c>
      <c r="P587" t="str">
        <f t="shared" si="74"/>
        <v>On Time</v>
      </c>
      <c r="Q587" s="13">
        <f t="shared" si="75"/>
        <v>37.594444444519468</v>
      </c>
      <c r="R587" s="13">
        <f t="shared" si="76"/>
        <v>4.5820949074040982</v>
      </c>
      <c r="S587" s="13">
        <f t="shared" si="77"/>
        <v>9.8572222222210257</v>
      </c>
      <c r="T587" t="str">
        <f t="shared" si="78"/>
        <v>On Time/Early</v>
      </c>
      <c r="U587" t="str">
        <f t="shared" si="79"/>
        <v>Normal</v>
      </c>
      <c r="V587" t="s">
        <v>102</v>
      </c>
    </row>
    <row r="588" spans="1:22">
      <c r="A588" t="s">
        <v>1020</v>
      </c>
      <c r="B588" s="10">
        <v>43027.630960648145</v>
      </c>
      <c r="C588" s="10">
        <v>43027.645914351851</v>
      </c>
      <c r="D588" s="10">
        <v>43031.744988425926</v>
      </c>
      <c r="E588" s="10">
        <v>43032.865833333337</v>
      </c>
      <c r="F588" s="10">
        <v>43039</v>
      </c>
      <c r="G588" t="s">
        <v>8</v>
      </c>
      <c r="H588" t="s">
        <v>1021</v>
      </c>
      <c r="I588" t="s">
        <v>136</v>
      </c>
      <c r="J588" s="11">
        <v>1</v>
      </c>
      <c r="K588" s="12">
        <v>39.9</v>
      </c>
      <c r="L588" s="12">
        <v>9.34</v>
      </c>
      <c r="M588" s="13">
        <v>3</v>
      </c>
      <c r="N588" s="13">
        <f t="shared" si="72"/>
        <v>5.2348726851923857</v>
      </c>
      <c r="O588" s="13">
        <f t="shared" si="73"/>
        <v>0</v>
      </c>
      <c r="P588" t="str">
        <f t="shared" si="74"/>
        <v>On Time</v>
      </c>
      <c r="Q588" s="13">
        <f t="shared" si="75"/>
        <v>0.3588888889644295</v>
      </c>
      <c r="R588" s="13">
        <f t="shared" si="76"/>
        <v>4.0990740740744513</v>
      </c>
      <c r="S588" s="13">
        <f t="shared" si="77"/>
        <v>1.1208449074110831</v>
      </c>
      <c r="T588" t="str">
        <f t="shared" si="78"/>
        <v>On Time/Early</v>
      </c>
      <c r="U588" t="str">
        <f t="shared" si="79"/>
        <v>Normal</v>
      </c>
      <c r="V588" t="s">
        <v>102</v>
      </c>
    </row>
    <row r="589" spans="1:22">
      <c r="A589" t="s">
        <v>1022</v>
      </c>
      <c r="B589" s="10">
        <v>43027.81040509259</v>
      </c>
      <c r="C589" s="10">
        <v>43027.81627314815</v>
      </c>
      <c r="D589" s="10">
        <v>43028.900925925926</v>
      </c>
      <c r="E589" s="10">
        <v>43034.960740740738</v>
      </c>
      <c r="F589" s="10">
        <v>43049</v>
      </c>
      <c r="G589" t="s">
        <v>16</v>
      </c>
      <c r="H589" t="s">
        <v>448</v>
      </c>
      <c r="I589" t="s">
        <v>118</v>
      </c>
      <c r="J589" s="11">
        <v>1</v>
      </c>
      <c r="K589" s="12">
        <v>329.22</v>
      </c>
      <c r="L589" s="12">
        <v>19.579999999999998</v>
      </c>
      <c r="M589" s="13">
        <v>5</v>
      </c>
      <c r="N589" s="13">
        <f t="shared" si="72"/>
        <v>7.1503356481480296</v>
      </c>
      <c r="O589" s="13">
        <f t="shared" si="73"/>
        <v>0</v>
      </c>
      <c r="P589" t="str">
        <f t="shared" si="74"/>
        <v>On Time</v>
      </c>
      <c r="Q589" s="13">
        <f t="shared" si="75"/>
        <v>0.14083333342568949</v>
      </c>
      <c r="R589" s="13">
        <f t="shared" si="76"/>
        <v>1.0846527777757728</v>
      </c>
      <c r="S589" s="13">
        <f t="shared" si="77"/>
        <v>6.059814814812853</v>
      </c>
      <c r="T589" t="str">
        <f t="shared" si="78"/>
        <v>On Time/Early</v>
      </c>
      <c r="U589" t="str">
        <f t="shared" si="79"/>
        <v>Normal</v>
      </c>
      <c r="V589" t="s">
        <v>102</v>
      </c>
    </row>
    <row r="590" spans="1:22">
      <c r="A590" t="s">
        <v>1023</v>
      </c>
      <c r="B590" s="10">
        <v>43028.565138888887</v>
      </c>
      <c r="C590" s="10">
        <v>43028.576238425929</v>
      </c>
      <c r="D590" s="10">
        <v>43028.856180555558</v>
      </c>
      <c r="E590" s="10">
        <v>43035.831805555557</v>
      </c>
      <c r="F590" s="10">
        <v>43048</v>
      </c>
      <c r="G590" t="s">
        <v>36</v>
      </c>
      <c r="H590" t="s">
        <v>467</v>
      </c>
      <c r="I590" t="s">
        <v>112</v>
      </c>
      <c r="J590" s="11">
        <v>1</v>
      </c>
      <c r="K590" s="12">
        <v>579</v>
      </c>
      <c r="L590" s="12">
        <v>20.3</v>
      </c>
      <c r="M590" s="13">
        <v>4</v>
      </c>
      <c r="N590" s="13">
        <f t="shared" si="72"/>
        <v>7.2666666666700621</v>
      </c>
      <c r="O590" s="13">
        <f t="shared" si="73"/>
        <v>0</v>
      </c>
      <c r="P590" t="str">
        <f t="shared" si="74"/>
        <v>On Time</v>
      </c>
      <c r="Q590" s="13">
        <f t="shared" si="75"/>
        <v>0.26638888899469748</v>
      </c>
      <c r="R590" s="13">
        <f t="shared" si="76"/>
        <v>0.2799421296294895</v>
      </c>
      <c r="S590" s="13">
        <f t="shared" si="77"/>
        <v>6.9756249999991269</v>
      </c>
      <c r="T590" t="str">
        <f t="shared" si="78"/>
        <v>On Time/Early</v>
      </c>
      <c r="U590" t="str">
        <f t="shared" si="79"/>
        <v>Normal</v>
      </c>
      <c r="V590" t="s">
        <v>102</v>
      </c>
    </row>
    <row r="591" spans="1:22">
      <c r="A591" t="s">
        <v>1024</v>
      </c>
      <c r="B591" s="10">
        <v>43028.589062500003</v>
      </c>
      <c r="C591" s="10">
        <v>43029.122546296298</v>
      </c>
      <c r="D591" s="10">
        <v>43032.262141203704</v>
      </c>
      <c r="E591" s="10">
        <v>43033.787222222221</v>
      </c>
      <c r="F591" s="10">
        <v>43040</v>
      </c>
      <c r="G591" t="s">
        <v>8</v>
      </c>
      <c r="H591" t="s">
        <v>314</v>
      </c>
      <c r="I591" t="s">
        <v>34</v>
      </c>
      <c r="J591" s="11">
        <v>1</v>
      </c>
      <c r="K591" s="12">
        <v>388</v>
      </c>
      <c r="L591" s="12">
        <v>15.27</v>
      </c>
      <c r="M591" s="13">
        <v>1</v>
      </c>
      <c r="N591" s="13">
        <f t="shared" si="72"/>
        <v>5.1981597222184064</v>
      </c>
      <c r="O591" s="13">
        <f t="shared" si="73"/>
        <v>0</v>
      </c>
      <c r="P591" t="str">
        <f t="shared" si="74"/>
        <v>On Time</v>
      </c>
      <c r="Q591" s="13">
        <f t="shared" si="75"/>
        <v>12.803611111070495</v>
      </c>
      <c r="R591" s="13">
        <f t="shared" si="76"/>
        <v>3.1395949074067175</v>
      </c>
      <c r="S591" s="13">
        <f t="shared" si="77"/>
        <v>1.5250810185170849</v>
      </c>
      <c r="T591" t="str">
        <f t="shared" si="78"/>
        <v>On Time/Early</v>
      </c>
      <c r="U591" t="str">
        <f t="shared" si="79"/>
        <v>Normal</v>
      </c>
      <c r="V591" t="s">
        <v>102</v>
      </c>
    </row>
    <row r="592" spans="1:22">
      <c r="A592" t="s">
        <v>1025</v>
      </c>
      <c r="B592" s="10">
        <v>43028.618946759256</v>
      </c>
      <c r="C592" s="10">
        <v>43028.629224537035</v>
      </c>
      <c r="D592" s="10">
        <v>43031.893148148149</v>
      </c>
      <c r="E592" s="10">
        <v>43035.588958333334</v>
      </c>
      <c r="F592" s="10">
        <v>43047</v>
      </c>
      <c r="G592" t="s">
        <v>8</v>
      </c>
      <c r="H592" t="s">
        <v>140</v>
      </c>
      <c r="I592" t="s">
        <v>180</v>
      </c>
      <c r="J592" s="11">
        <v>1</v>
      </c>
      <c r="K592" s="12">
        <v>69.900000000000006</v>
      </c>
      <c r="L592" s="12">
        <v>12.83</v>
      </c>
      <c r="M592" s="13">
        <v>5</v>
      </c>
      <c r="N592" s="13">
        <f t="shared" si="72"/>
        <v>6.9700115740779438</v>
      </c>
      <c r="O592" s="13">
        <f t="shared" si="73"/>
        <v>0</v>
      </c>
      <c r="P592" t="str">
        <f t="shared" si="74"/>
        <v>On Time</v>
      </c>
      <c r="Q592" s="13">
        <f t="shared" si="75"/>
        <v>0.24666666670236737</v>
      </c>
      <c r="R592" s="13">
        <f t="shared" si="76"/>
        <v>3.2639236111135688</v>
      </c>
      <c r="S592" s="13">
        <f t="shared" si="77"/>
        <v>3.6958101851851097</v>
      </c>
      <c r="T592" t="str">
        <f t="shared" si="78"/>
        <v>On Time/Early</v>
      </c>
      <c r="U592" t="str">
        <f t="shared" si="79"/>
        <v>Normal</v>
      </c>
      <c r="V592" t="s">
        <v>102</v>
      </c>
    </row>
    <row r="593" spans="1:22">
      <c r="A593" t="s">
        <v>1026</v>
      </c>
      <c r="B593" s="10">
        <v>43028.693807870368</v>
      </c>
      <c r="C593" s="10">
        <v>43028.742719907408</v>
      </c>
      <c r="D593" s="10">
        <v>43032.832615740743</v>
      </c>
      <c r="E593" s="10">
        <v>43038.897581018522</v>
      </c>
      <c r="F593" s="10">
        <v>43049</v>
      </c>
      <c r="G593" t="s">
        <v>20</v>
      </c>
      <c r="H593" t="s">
        <v>470</v>
      </c>
      <c r="I593" t="s">
        <v>112</v>
      </c>
      <c r="J593" s="11">
        <v>1</v>
      </c>
      <c r="K593" s="12">
        <v>44.9</v>
      </c>
      <c r="L593" s="12">
        <v>12.69</v>
      </c>
      <c r="M593" s="13">
        <v>5</v>
      </c>
      <c r="N593" s="13">
        <f t="shared" si="72"/>
        <v>10.203773148154141</v>
      </c>
      <c r="O593" s="13">
        <f t="shared" si="73"/>
        <v>0</v>
      </c>
      <c r="P593" t="str">
        <f t="shared" si="74"/>
        <v>On Time</v>
      </c>
      <c r="Q593" s="13">
        <f t="shared" si="75"/>
        <v>1.1738888889667578</v>
      </c>
      <c r="R593" s="13">
        <f t="shared" si="76"/>
        <v>4.0898958333345945</v>
      </c>
      <c r="S593" s="13">
        <f t="shared" si="77"/>
        <v>6.0649652777792653</v>
      </c>
      <c r="T593" t="str">
        <f t="shared" si="78"/>
        <v>On Time/Early</v>
      </c>
      <c r="U593" t="str">
        <f t="shared" si="79"/>
        <v>Normal</v>
      </c>
      <c r="V593" t="s">
        <v>102</v>
      </c>
    </row>
    <row r="594" spans="1:22">
      <c r="A594" t="s">
        <v>1027</v>
      </c>
      <c r="B594" s="10">
        <v>43029.007569444446</v>
      </c>
      <c r="C594" s="10">
        <v>43029.024398148147</v>
      </c>
      <c r="D594" s="10">
        <v>43031.800196759257</v>
      </c>
      <c r="E594" s="10">
        <v>43042.731307870374</v>
      </c>
      <c r="F594" s="10">
        <v>43056</v>
      </c>
      <c r="G594" t="s">
        <v>218</v>
      </c>
      <c r="H594" t="s">
        <v>219</v>
      </c>
      <c r="I594" t="s">
        <v>221</v>
      </c>
      <c r="J594" s="11">
        <v>1</v>
      </c>
      <c r="K594" s="12">
        <v>489</v>
      </c>
      <c r="L594" s="12">
        <v>27.97</v>
      </c>
      <c r="M594" s="13">
        <v>5</v>
      </c>
      <c r="N594" s="13">
        <f t="shared" si="72"/>
        <v>13.723738425927877</v>
      </c>
      <c r="O594" s="13">
        <f t="shared" si="73"/>
        <v>0</v>
      </c>
      <c r="P594" t="str">
        <f t="shared" si="74"/>
        <v>On Time</v>
      </c>
      <c r="Q594" s="13">
        <f t="shared" si="75"/>
        <v>0.40388888883171603</v>
      </c>
      <c r="R594" s="13">
        <f t="shared" si="76"/>
        <v>2.7757986111100763</v>
      </c>
      <c r="S594" s="13">
        <f t="shared" si="77"/>
        <v>10.931111111116479</v>
      </c>
      <c r="T594" t="str">
        <f t="shared" si="78"/>
        <v>On Time/Early</v>
      </c>
      <c r="U594" t="str">
        <f t="shared" si="79"/>
        <v>Normal</v>
      </c>
      <c r="V594" t="s">
        <v>102</v>
      </c>
    </row>
    <row r="595" spans="1:22">
      <c r="A595" t="s">
        <v>1028</v>
      </c>
      <c r="B595" s="10">
        <v>43029.913495370369</v>
      </c>
      <c r="C595" s="10">
        <v>43032.273715277777</v>
      </c>
      <c r="D595" s="10">
        <v>43032.689282407409</v>
      </c>
      <c r="E595" s="10">
        <v>43045.690717592595</v>
      </c>
      <c r="F595" s="10">
        <v>43061</v>
      </c>
      <c r="G595" t="s">
        <v>30</v>
      </c>
      <c r="H595" t="s">
        <v>729</v>
      </c>
      <c r="I595" t="s">
        <v>101</v>
      </c>
      <c r="J595" s="11">
        <v>1</v>
      </c>
      <c r="K595" s="12">
        <v>49.9</v>
      </c>
      <c r="L595" s="12">
        <v>28.75</v>
      </c>
      <c r="M595" s="13">
        <v>5</v>
      </c>
      <c r="N595" s="13">
        <f t="shared" si="72"/>
        <v>15.777222222226555</v>
      </c>
      <c r="O595" s="13">
        <f t="shared" si="73"/>
        <v>0</v>
      </c>
      <c r="P595" t="str">
        <f t="shared" si="74"/>
        <v>On Time</v>
      </c>
      <c r="Q595" s="13">
        <f t="shared" si="75"/>
        <v>56.64527777780313</v>
      </c>
      <c r="R595" s="13">
        <f t="shared" si="76"/>
        <v>0.41556712963210884</v>
      </c>
      <c r="S595" s="13">
        <f t="shared" si="77"/>
        <v>13.001435185185983</v>
      </c>
      <c r="T595" t="str">
        <f t="shared" si="78"/>
        <v>On Time/Early</v>
      </c>
      <c r="U595" t="str">
        <f t="shared" si="79"/>
        <v>Normal</v>
      </c>
      <c r="V595" t="s">
        <v>102</v>
      </c>
    </row>
    <row r="596" spans="1:22">
      <c r="A596" t="s">
        <v>1029</v>
      </c>
      <c r="B596" s="10">
        <v>43030.053726851853</v>
      </c>
      <c r="C596" s="10">
        <v>43030.534201388888</v>
      </c>
      <c r="D596" s="10">
        <v>43031.796365740738</v>
      </c>
      <c r="E596" s="10">
        <v>43042.949849537035</v>
      </c>
      <c r="F596" s="10">
        <v>43056</v>
      </c>
      <c r="G596" t="s">
        <v>23</v>
      </c>
      <c r="H596" t="s">
        <v>332</v>
      </c>
      <c r="I596" t="s">
        <v>384</v>
      </c>
      <c r="J596" s="11">
        <v>1</v>
      </c>
      <c r="K596" s="12">
        <v>199.7</v>
      </c>
      <c r="L596" s="12">
        <v>20.64</v>
      </c>
      <c r="M596" s="13">
        <v>5</v>
      </c>
      <c r="N596" s="13">
        <f t="shared" si="72"/>
        <v>12.89612268518249</v>
      </c>
      <c r="O596" s="13">
        <f t="shared" si="73"/>
        <v>0</v>
      </c>
      <c r="P596" t="str">
        <f t="shared" si="74"/>
        <v>On Time</v>
      </c>
      <c r="Q596" s="13">
        <f t="shared" si="75"/>
        <v>11.531388888834044</v>
      </c>
      <c r="R596" s="13">
        <f t="shared" si="76"/>
        <v>1.2621643518505152</v>
      </c>
      <c r="S596" s="13">
        <f t="shared" si="77"/>
        <v>11.153483796297223</v>
      </c>
      <c r="T596" t="str">
        <f t="shared" si="78"/>
        <v>On Time/Early</v>
      </c>
      <c r="U596" t="str">
        <f t="shared" si="79"/>
        <v>Normal</v>
      </c>
      <c r="V596" t="s">
        <v>102</v>
      </c>
    </row>
    <row r="597" spans="1:22">
      <c r="A597" t="s">
        <v>1030</v>
      </c>
      <c r="B597" s="10">
        <v>43030.435428240744</v>
      </c>
      <c r="C597" s="10">
        <v>43030.450914351852</v>
      </c>
      <c r="D597" s="10">
        <v>43031.599259259259</v>
      </c>
      <c r="E597" s="10">
        <v>43035.693981481483</v>
      </c>
      <c r="F597" s="10">
        <v>43048</v>
      </c>
      <c r="G597" t="s">
        <v>8</v>
      </c>
      <c r="H597" t="s">
        <v>309</v>
      </c>
      <c r="I597" t="s">
        <v>115</v>
      </c>
      <c r="J597" s="11">
        <v>1</v>
      </c>
      <c r="K597" s="12">
        <v>19.899999999999999</v>
      </c>
      <c r="L597" s="12">
        <v>14.1</v>
      </c>
      <c r="M597" s="13">
        <v>5</v>
      </c>
      <c r="N597" s="13">
        <f t="shared" si="72"/>
        <v>5.2585532407392748</v>
      </c>
      <c r="O597" s="13">
        <f t="shared" si="73"/>
        <v>0</v>
      </c>
      <c r="P597" t="str">
        <f t="shared" si="74"/>
        <v>On Time</v>
      </c>
      <c r="Q597" s="13">
        <f t="shared" si="75"/>
        <v>0.37166666658595204</v>
      </c>
      <c r="R597" s="13">
        <f t="shared" si="76"/>
        <v>1.1483449074075907</v>
      </c>
      <c r="S597" s="13">
        <f t="shared" si="77"/>
        <v>4.0947222222239361</v>
      </c>
      <c r="T597" t="str">
        <f t="shared" si="78"/>
        <v>On Time/Early</v>
      </c>
      <c r="U597" t="str">
        <f t="shared" si="79"/>
        <v>Normal</v>
      </c>
      <c r="V597" t="s">
        <v>102</v>
      </c>
    </row>
    <row r="598" spans="1:22">
      <c r="A598" t="s">
        <v>1031</v>
      </c>
      <c r="B598" s="10">
        <v>43030.500023148146</v>
      </c>
      <c r="C598" s="10">
        <v>43031.50984953704</v>
      </c>
      <c r="D598" s="10">
        <v>43038.84883101852</v>
      </c>
      <c r="E598" s="10">
        <v>43042.765798611108</v>
      </c>
      <c r="F598" s="10">
        <v>43048</v>
      </c>
      <c r="G598" t="s">
        <v>8</v>
      </c>
      <c r="H598" t="s">
        <v>309</v>
      </c>
      <c r="I598" t="s">
        <v>34</v>
      </c>
      <c r="J598" s="11">
        <v>1</v>
      </c>
      <c r="K598" s="12">
        <v>174.9</v>
      </c>
      <c r="L598" s="12">
        <v>20.100000000000001</v>
      </c>
      <c r="M598" s="13">
        <v>5</v>
      </c>
      <c r="N598" s="13">
        <f t="shared" si="72"/>
        <v>12.265775462961756</v>
      </c>
      <c r="O598" s="13">
        <f t="shared" si="73"/>
        <v>0</v>
      </c>
      <c r="P598" t="str">
        <f t="shared" si="74"/>
        <v>On Time</v>
      </c>
      <c r="Q598" s="13">
        <f t="shared" si="75"/>
        <v>24.235833333455957</v>
      </c>
      <c r="R598" s="13">
        <f t="shared" si="76"/>
        <v>7.3389814814800047</v>
      </c>
      <c r="S598" s="13">
        <f t="shared" si="77"/>
        <v>3.9169675925877527</v>
      </c>
      <c r="T598" t="str">
        <f t="shared" si="78"/>
        <v>On Time/Early</v>
      </c>
      <c r="U598" t="str">
        <f t="shared" si="79"/>
        <v>Normal</v>
      </c>
      <c r="V598" t="s">
        <v>102</v>
      </c>
    </row>
    <row r="599" spans="1:22">
      <c r="A599" t="s">
        <v>1032</v>
      </c>
      <c r="B599" s="10">
        <v>43030.715682870374</v>
      </c>
      <c r="C599" s="10">
        <v>43030.726388888892</v>
      </c>
      <c r="D599" s="10">
        <v>43031.589421296296</v>
      </c>
      <c r="E599" s="10">
        <v>43035.702303240738</v>
      </c>
      <c r="F599" s="10">
        <v>43048</v>
      </c>
      <c r="G599" t="s">
        <v>33</v>
      </c>
      <c r="H599" t="s">
        <v>592</v>
      </c>
      <c r="I599" t="s">
        <v>34</v>
      </c>
      <c r="J599" s="11">
        <v>1</v>
      </c>
      <c r="K599" s="12">
        <v>59.9</v>
      </c>
      <c r="L599" s="12">
        <v>13.57</v>
      </c>
      <c r="M599" s="13">
        <v>5</v>
      </c>
      <c r="N599" s="13">
        <f t="shared" si="72"/>
        <v>4.9866203703641077</v>
      </c>
      <c r="O599" s="13">
        <f t="shared" si="73"/>
        <v>0</v>
      </c>
      <c r="P599" t="str">
        <f t="shared" si="74"/>
        <v>On Time</v>
      </c>
      <c r="Q599" s="13">
        <f t="shared" si="75"/>
        <v>0.25694444443797693</v>
      </c>
      <c r="R599" s="13">
        <f t="shared" si="76"/>
        <v>0.86303240740380716</v>
      </c>
      <c r="S599" s="13">
        <f t="shared" si="77"/>
        <v>4.1128819444420515</v>
      </c>
      <c r="T599" t="str">
        <f t="shared" si="78"/>
        <v>On Time/Early</v>
      </c>
      <c r="U599" t="str">
        <f t="shared" si="79"/>
        <v>Normal</v>
      </c>
      <c r="V599" t="s">
        <v>102</v>
      </c>
    </row>
    <row r="600" spans="1:22">
      <c r="A600" t="s">
        <v>1033</v>
      </c>
      <c r="B600" s="10">
        <v>43030.882337962961</v>
      </c>
      <c r="C600" s="10">
        <v>43030.889837962961</v>
      </c>
      <c r="D600" s="10">
        <v>43032.77753472222</v>
      </c>
      <c r="E600" s="10">
        <v>43034.913831018515</v>
      </c>
      <c r="F600" s="10">
        <v>43042</v>
      </c>
      <c r="G600" t="s">
        <v>8</v>
      </c>
      <c r="H600" t="s">
        <v>140</v>
      </c>
      <c r="I600" t="s">
        <v>143</v>
      </c>
      <c r="J600" s="11">
        <v>1</v>
      </c>
      <c r="K600" s="12">
        <v>13.99</v>
      </c>
      <c r="L600" s="12">
        <v>7.78</v>
      </c>
      <c r="M600" s="13">
        <v>5</v>
      </c>
      <c r="N600" s="13">
        <f t="shared" si="72"/>
        <v>4.031493055554165</v>
      </c>
      <c r="O600" s="13">
        <f t="shared" si="73"/>
        <v>0</v>
      </c>
      <c r="P600" t="str">
        <f t="shared" si="74"/>
        <v>On Time</v>
      </c>
      <c r="Q600" s="13">
        <f t="shared" si="75"/>
        <v>0.17999999999301508</v>
      </c>
      <c r="R600" s="13">
        <f t="shared" si="76"/>
        <v>1.887696759258688</v>
      </c>
      <c r="S600" s="13">
        <f t="shared" si="77"/>
        <v>2.1362962962957681</v>
      </c>
      <c r="T600" t="str">
        <f t="shared" si="78"/>
        <v>On Time/Early</v>
      </c>
      <c r="U600" t="str">
        <f t="shared" si="79"/>
        <v>Normal</v>
      </c>
      <c r="V600" t="s">
        <v>102</v>
      </c>
    </row>
    <row r="601" spans="1:22">
      <c r="A601" t="s">
        <v>1034</v>
      </c>
      <c r="B601" s="10">
        <v>43030.916296296295</v>
      </c>
      <c r="C601" s="10">
        <v>43030.926550925928</v>
      </c>
      <c r="D601" s="10">
        <v>43039.711030092592</v>
      </c>
      <c r="E601" s="10">
        <v>43046.852384259262</v>
      </c>
      <c r="F601" s="10">
        <v>43066</v>
      </c>
      <c r="G601" t="s">
        <v>20</v>
      </c>
      <c r="H601" t="s">
        <v>1035</v>
      </c>
      <c r="I601" t="s">
        <v>58</v>
      </c>
      <c r="J601" s="11">
        <v>1</v>
      </c>
      <c r="K601" s="12">
        <v>990</v>
      </c>
      <c r="L601" s="12">
        <v>143.96</v>
      </c>
      <c r="M601" s="13">
        <v>5</v>
      </c>
      <c r="N601" s="13">
        <f t="shared" si="72"/>
        <v>15.936087962967576</v>
      </c>
      <c r="O601" s="13">
        <f t="shared" si="73"/>
        <v>0</v>
      </c>
      <c r="P601" t="str">
        <f t="shared" si="74"/>
        <v>On Time</v>
      </c>
      <c r="Q601" s="13">
        <f t="shared" si="75"/>
        <v>0.24611111119156703</v>
      </c>
      <c r="R601" s="13">
        <f t="shared" si="76"/>
        <v>8.7844791666648234</v>
      </c>
      <c r="S601" s="13">
        <f t="shared" si="77"/>
        <v>7.1413541666697711</v>
      </c>
      <c r="T601" t="str">
        <f t="shared" si="78"/>
        <v>On Time/Early</v>
      </c>
      <c r="U601" t="str">
        <f t="shared" si="79"/>
        <v>Normal</v>
      </c>
      <c r="V601" t="s">
        <v>102</v>
      </c>
    </row>
    <row r="602" spans="1:22">
      <c r="A602" t="s">
        <v>1036</v>
      </c>
      <c r="B602" s="10">
        <v>43031.827256944445</v>
      </c>
      <c r="C602" s="10">
        <v>43033.101527777777</v>
      </c>
      <c r="D602" s="10">
        <v>43033.856226851851</v>
      </c>
      <c r="E602" s="10">
        <v>43035.6875</v>
      </c>
      <c r="F602" s="10">
        <v>43049</v>
      </c>
      <c r="G602" t="s">
        <v>8</v>
      </c>
      <c r="H602" t="s">
        <v>309</v>
      </c>
      <c r="I602" t="s">
        <v>136</v>
      </c>
      <c r="J602" s="11">
        <v>3</v>
      </c>
      <c r="K602" s="12">
        <v>129.69999999999999</v>
      </c>
      <c r="L602" s="12">
        <v>32.29</v>
      </c>
      <c r="M602" s="13">
        <v>2</v>
      </c>
      <c r="N602" s="13">
        <f t="shared" si="72"/>
        <v>3.8602430555547471</v>
      </c>
      <c r="O602" s="13">
        <f t="shared" si="73"/>
        <v>0</v>
      </c>
      <c r="P602" t="str">
        <f t="shared" si="74"/>
        <v>On Time</v>
      </c>
      <c r="Q602" s="13">
        <f t="shared" si="75"/>
        <v>30.582499999960419</v>
      </c>
      <c r="R602" s="13">
        <f t="shared" si="76"/>
        <v>0.75469907407386927</v>
      </c>
      <c r="S602" s="13">
        <f t="shared" si="77"/>
        <v>1.8312731481491937</v>
      </c>
      <c r="T602" t="str">
        <f t="shared" si="78"/>
        <v>On Time/Early</v>
      </c>
      <c r="U602" t="str">
        <f t="shared" si="79"/>
        <v>Normal</v>
      </c>
      <c r="V602" t="s">
        <v>102</v>
      </c>
    </row>
    <row r="603" spans="1:22">
      <c r="A603" t="s">
        <v>1037</v>
      </c>
      <c r="B603" s="10">
        <v>43032.468807870369</v>
      </c>
      <c r="C603" s="10">
        <v>43032.478819444441</v>
      </c>
      <c r="D603" s="10">
        <v>43034.869988425926</v>
      </c>
      <c r="E603" s="10">
        <v>43042.790092592593</v>
      </c>
      <c r="F603" s="10">
        <v>43068</v>
      </c>
      <c r="G603" t="s">
        <v>30</v>
      </c>
      <c r="H603" t="s">
        <v>1038</v>
      </c>
      <c r="I603" t="s">
        <v>1039</v>
      </c>
      <c r="J603" s="11">
        <v>1</v>
      </c>
      <c r="K603" s="12">
        <v>45</v>
      </c>
      <c r="L603" s="12">
        <v>16.11</v>
      </c>
      <c r="M603" s="13">
        <v>5</v>
      </c>
      <c r="N603" s="13">
        <f t="shared" si="72"/>
        <v>10.321284722223936</v>
      </c>
      <c r="O603" s="13">
        <f t="shared" si="73"/>
        <v>0</v>
      </c>
      <c r="P603" t="str">
        <f t="shared" si="74"/>
        <v>On Time</v>
      </c>
      <c r="Q603" s="13">
        <f t="shared" si="75"/>
        <v>0.24027777771698311</v>
      </c>
      <c r="R603" s="13">
        <f t="shared" si="76"/>
        <v>2.3911689814849524</v>
      </c>
      <c r="S603" s="13">
        <f t="shared" si="77"/>
        <v>7.9201041666674428</v>
      </c>
      <c r="T603" t="str">
        <f t="shared" si="78"/>
        <v>On Time/Early</v>
      </c>
      <c r="U603" t="str">
        <f t="shared" si="79"/>
        <v>Normal</v>
      </c>
      <c r="V603" t="s">
        <v>102</v>
      </c>
    </row>
    <row r="604" spans="1:22">
      <c r="A604" t="s">
        <v>1040</v>
      </c>
      <c r="B604" s="10">
        <v>43033.610844907409</v>
      </c>
      <c r="C604" s="10">
        <v>43035.130196759259</v>
      </c>
      <c r="D604" s="10">
        <v>43035.757152777776</v>
      </c>
      <c r="E604" s="10">
        <v>43042.778993055559</v>
      </c>
      <c r="F604" s="10">
        <v>43052</v>
      </c>
      <c r="G604" t="s">
        <v>16</v>
      </c>
      <c r="H604" t="s">
        <v>138</v>
      </c>
      <c r="I604" t="s">
        <v>9</v>
      </c>
      <c r="J604" s="11">
        <v>1</v>
      </c>
      <c r="K604" s="12">
        <v>89</v>
      </c>
      <c r="L604" s="12">
        <v>14.37</v>
      </c>
      <c r="M604" s="13">
        <v>5</v>
      </c>
      <c r="N604" s="13">
        <f t="shared" si="72"/>
        <v>9.1681481481500668</v>
      </c>
      <c r="O604" s="13">
        <f t="shared" si="73"/>
        <v>0</v>
      </c>
      <c r="P604" t="str">
        <f t="shared" si="74"/>
        <v>On Time</v>
      </c>
      <c r="Q604" s="13">
        <f t="shared" si="75"/>
        <v>36.464444444398396</v>
      </c>
      <c r="R604" s="13">
        <f t="shared" si="76"/>
        <v>0.62695601851737592</v>
      </c>
      <c r="S604" s="13">
        <f t="shared" si="77"/>
        <v>7.0218402777827578</v>
      </c>
      <c r="T604" t="str">
        <f t="shared" si="78"/>
        <v>On Time/Early</v>
      </c>
      <c r="U604" t="str">
        <f t="shared" si="79"/>
        <v>Normal</v>
      </c>
      <c r="V604" t="s">
        <v>102</v>
      </c>
    </row>
    <row r="605" spans="1:22">
      <c r="A605" t="s">
        <v>1041</v>
      </c>
      <c r="B605" s="10">
        <v>43033.624166666668</v>
      </c>
      <c r="C605" s="10">
        <v>43033.634942129633</v>
      </c>
      <c r="D605" s="10">
        <v>43034.700624999998</v>
      </c>
      <c r="E605" s="10">
        <v>43035.768599537034</v>
      </c>
      <c r="F605" s="10">
        <v>43046</v>
      </c>
      <c r="G605" t="s">
        <v>8</v>
      </c>
      <c r="H605" t="s">
        <v>140</v>
      </c>
      <c r="I605" t="s">
        <v>136</v>
      </c>
      <c r="J605" s="11">
        <v>1</v>
      </c>
      <c r="K605" s="12">
        <v>339</v>
      </c>
      <c r="L605" s="12">
        <v>10.57</v>
      </c>
      <c r="M605" s="13">
        <v>4</v>
      </c>
      <c r="N605" s="13">
        <f t="shared" si="72"/>
        <v>2.1444328703655628</v>
      </c>
      <c r="O605" s="13">
        <f t="shared" si="73"/>
        <v>0</v>
      </c>
      <c r="P605" t="str">
        <f t="shared" si="74"/>
        <v>On Time</v>
      </c>
      <c r="Q605" s="13">
        <f t="shared" si="75"/>
        <v>0.2586111111450009</v>
      </c>
      <c r="R605" s="13">
        <f t="shared" si="76"/>
        <v>1.0656828703649808</v>
      </c>
      <c r="S605" s="13">
        <f t="shared" si="77"/>
        <v>1.067974537036207</v>
      </c>
      <c r="T605" t="str">
        <f t="shared" si="78"/>
        <v>On Time/Early</v>
      </c>
      <c r="U605" t="str">
        <f t="shared" si="79"/>
        <v>Normal</v>
      </c>
      <c r="V605" t="s">
        <v>102</v>
      </c>
    </row>
    <row r="606" spans="1:22">
      <c r="A606" t="s">
        <v>1042</v>
      </c>
      <c r="B606" s="10">
        <v>43033.671793981484</v>
      </c>
      <c r="C606" s="10">
        <v>43033.690405092595</v>
      </c>
      <c r="D606" s="10">
        <v>43035.798506944448</v>
      </c>
      <c r="E606" s="10">
        <v>43040.947766203702</v>
      </c>
      <c r="F606" s="10">
        <v>43052</v>
      </c>
      <c r="G606" t="s">
        <v>16</v>
      </c>
      <c r="H606" t="s">
        <v>138</v>
      </c>
      <c r="I606" t="s">
        <v>154</v>
      </c>
      <c r="J606" s="11">
        <v>1</v>
      </c>
      <c r="K606" s="12">
        <v>69.900000000000006</v>
      </c>
      <c r="L606" s="12">
        <v>16.739999999999998</v>
      </c>
      <c r="M606" s="13">
        <v>5</v>
      </c>
      <c r="N606" s="13">
        <f t="shared" si="72"/>
        <v>7.2759722222181153</v>
      </c>
      <c r="O606" s="13">
        <f t="shared" si="73"/>
        <v>0</v>
      </c>
      <c r="P606" t="str">
        <f t="shared" si="74"/>
        <v>On Time</v>
      </c>
      <c r="Q606" s="13">
        <f t="shared" si="75"/>
        <v>0.44666666665580124</v>
      </c>
      <c r="R606" s="13">
        <f t="shared" si="76"/>
        <v>2.1081018518525525</v>
      </c>
      <c r="S606" s="13">
        <f t="shared" si="77"/>
        <v>5.1492592592549045</v>
      </c>
      <c r="T606" t="str">
        <f t="shared" si="78"/>
        <v>On Time/Early</v>
      </c>
      <c r="U606" t="str">
        <f t="shared" si="79"/>
        <v>Normal</v>
      </c>
      <c r="V606" t="s">
        <v>102</v>
      </c>
    </row>
    <row r="607" spans="1:22">
      <c r="A607" t="s">
        <v>1043</v>
      </c>
      <c r="B607" s="10">
        <v>43033.72047453704</v>
      </c>
      <c r="C607" s="10">
        <v>43033.732835648145</v>
      </c>
      <c r="D607" s="10">
        <v>43035.741759259261</v>
      </c>
      <c r="E607" s="10">
        <v>43039.81523148148</v>
      </c>
      <c r="F607" s="10">
        <v>43046</v>
      </c>
      <c r="G607" t="s">
        <v>8</v>
      </c>
      <c r="H607" t="s">
        <v>887</v>
      </c>
      <c r="I607" t="s">
        <v>112</v>
      </c>
      <c r="J607" s="11">
        <v>1</v>
      </c>
      <c r="K607" s="12">
        <v>34.9</v>
      </c>
      <c r="L607" s="12">
        <v>7.78</v>
      </c>
      <c r="M607" s="13">
        <v>5</v>
      </c>
      <c r="N607" s="13">
        <f t="shared" si="72"/>
        <v>6.0947569444397232</v>
      </c>
      <c r="O607" s="13">
        <f t="shared" si="73"/>
        <v>0</v>
      </c>
      <c r="P607" t="str">
        <f t="shared" si="74"/>
        <v>On Time</v>
      </c>
      <c r="Q607" s="13">
        <f t="shared" si="75"/>
        <v>0.29666666651610285</v>
      </c>
      <c r="R607" s="13">
        <f t="shared" si="76"/>
        <v>2.0089236111161881</v>
      </c>
      <c r="S607" s="13">
        <f t="shared" si="77"/>
        <v>4.0734722222186974</v>
      </c>
      <c r="T607" t="str">
        <f t="shared" si="78"/>
        <v>On Time/Early</v>
      </c>
      <c r="U607" t="str">
        <f t="shared" si="79"/>
        <v>Normal</v>
      </c>
      <c r="V607" t="s">
        <v>102</v>
      </c>
    </row>
    <row r="608" spans="1:22">
      <c r="A608" t="s">
        <v>1044</v>
      </c>
      <c r="B608" s="10">
        <v>43034.932569444441</v>
      </c>
      <c r="C608" s="10">
        <v>43034.941145833334</v>
      </c>
      <c r="D608" s="10">
        <v>43039.683206018519</v>
      </c>
      <c r="E608" s="10">
        <v>43047.954062500001</v>
      </c>
      <c r="F608" s="10">
        <v>43061</v>
      </c>
      <c r="G608" t="s">
        <v>16</v>
      </c>
      <c r="H608" t="s">
        <v>559</v>
      </c>
      <c r="I608" t="s">
        <v>221</v>
      </c>
      <c r="J608" s="11">
        <v>1</v>
      </c>
      <c r="K608" s="12">
        <v>689</v>
      </c>
      <c r="L608" s="12">
        <v>22.07</v>
      </c>
      <c r="M608" s="13">
        <v>4</v>
      </c>
      <c r="N608" s="13">
        <f t="shared" si="72"/>
        <v>13.021493055559404</v>
      </c>
      <c r="O608" s="13">
        <f t="shared" si="73"/>
        <v>0</v>
      </c>
      <c r="P608" t="str">
        <f t="shared" si="74"/>
        <v>On Time</v>
      </c>
      <c r="Q608" s="13">
        <f t="shared" si="75"/>
        <v>0.2058333334280178</v>
      </c>
      <c r="R608" s="13">
        <f t="shared" si="76"/>
        <v>4.7420601851845277</v>
      </c>
      <c r="S608" s="13">
        <f t="shared" si="77"/>
        <v>8.270856481482042</v>
      </c>
      <c r="T608" t="str">
        <f t="shared" si="78"/>
        <v>On Time/Early</v>
      </c>
      <c r="U608" t="str">
        <f t="shared" si="79"/>
        <v>Normal</v>
      </c>
      <c r="V608" t="s">
        <v>102</v>
      </c>
    </row>
    <row r="609" spans="1:22">
      <c r="A609" t="s">
        <v>1045</v>
      </c>
      <c r="B609" s="10">
        <v>43035.669722222221</v>
      </c>
      <c r="C609" s="10">
        <v>43035.688472222224</v>
      </c>
      <c r="D609" s="10">
        <v>43038.850416666668</v>
      </c>
      <c r="E609" s="10">
        <v>43048.777118055557</v>
      </c>
      <c r="F609" s="10">
        <v>43062</v>
      </c>
      <c r="G609" t="s">
        <v>43</v>
      </c>
      <c r="H609" t="s">
        <v>167</v>
      </c>
      <c r="I609" t="s">
        <v>58</v>
      </c>
      <c r="J609" s="11">
        <v>1</v>
      </c>
      <c r="K609" s="12">
        <v>23.99</v>
      </c>
      <c r="L609" s="12">
        <v>14.1</v>
      </c>
      <c r="M609" s="13">
        <v>5</v>
      </c>
      <c r="N609" s="13">
        <f t="shared" si="72"/>
        <v>13.107395833336341</v>
      </c>
      <c r="O609" s="13">
        <f t="shared" si="73"/>
        <v>0</v>
      </c>
      <c r="P609" t="str">
        <f t="shared" si="74"/>
        <v>On Time</v>
      </c>
      <c r="Q609" s="13">
        <f t="shared" si="75"/>
        <v>0.45000000006984919</v>
      </c>
      <c r="R609" s="13">
        <f t="shared" si="76"/>
        <v>3.1619444444440887</v>
      </c>
      <c r="S609" s="13">
        <f t="shared" si="77"/>
        <v>9.9267013888893416</v>
      </c>
      <c r="T609" t="str">
        <f t="shared" si="78"/>
        <v>On Time/Early</v>
      </c>
      <c r="U609" t="str">
        <f t="shared" si="79"/>
        <v>Normal</v>
      </c>
      <c r="V609" t="s">
        <v>102</v>
      </c>
    </row>
    <row r="610" spans="1:22">
      <c r="A610" t="s">
        <v>1046</v>
      </c>
      <c r="B610" s="10">
        <v>43035.672650462962</v>
      </c>
      <c r="C610" s="10">
        <v>43035.688564814816</v>
      </c>
      <c r="D610" s="10">
        <v>43039.83865740741</v>
      </c>
      <c r="E610" s="10">
        <v>43045.933761574073</v>
      </c>
      <c r="F610" s="10">
        <v>43066</v>
      </c>
      <c r="G610" t="s">
        <v>20</v>
      </c>
      <c r="H610" t="s">
        <v>1047</v>
      </c>
      <c r="I610" t="s">
        <v>221</v>
      </c>
      <c r="J610" s="11">
        <v>1</v>
      </c>
      <c r="K610" s="12">
        <v>29.8</v>
      </c>
      <c r="L610" s="12">
        <v>16.79</v>
      </c>
      <c r="M610" s="13">
        <v>2</v>
      </c>
      <c r="N610" s="13">
        <f t="shared" si="72"/>
        <v>10.261111111110949</v>
      </c>
      <c r="O610" s="13">
        <f t="shared" si="73"/>
        <v>0</v>
      </c>
      <c r="P610" t="str">
        <f t="shared" si="74"/>
        <v>On Time</v>
      </c>
      <c r="Q610" s="13">
        <f t="shared" si="75"/>
        <v>0.38194444449618459</v>
      </c>
      <c r="R610" s="13">
        <f t="shared" si="76"/>
        <v>4.1500925925938645</v>
      </c>
      <c r="S610" s="13">
        <f t="shared" si="77"/>
        <v>6.0951041666630772</v>
      </c>
      <c r="T610" t="str">
        <f t="shared" si="78"/>
        <v>On Time/Early</v>
      </c>
      <c r="U610" t="str">
        <f t="shared" si="79"/>
        <v>Normal</v>
      </c>
      <c r="V610" t="s">
        <v>102</v>
      </c>
    </row>
    <row r="611" spans="1:22">
      <c r="A611" t="s">
        <v>1048</v>
      </c>
      <c r="B611" s="10">
        <v>43036.016898148147</v>
      </c>
      <c r="C611" s="10">
        <v>43038.605532407404</v>
      </c>
      <c r="D611" s="10">
        <v>43038.850844907407</v>
      </c>
      <c r="E611" s="10">
        <v>43048.832650462966</v>
      </c>
      <c r="F611" s="10">
        <v>43074</v>
      </c>
      <c r="G611" t="s">
        <v>192</v>
      </c>
      <c r="H611" t="s">
        <v>1049</v>
      </c>
      <c r="I611" t="s">
        <v>58</v>
      </c>
      <c r="J611" s="11">
        <v>1</v>
      </c>
      <c r="K611" s="12">
        <v>349.9</v>
      </c>
      <c r="L611" s="12">
        <v>31.98</v>
      </c>
      <c r="M611" s="13">
        <v>5</v>
      </c>
      <c r="N611" s="13">
        <f t="shared" si="72"/>
        <v>12.815752314818383</v>
      </c>
      <c r="O611" s="13">
        <f t="shared" si="73"/>
        <v>0</v>
      </c>
      <c r="P611" t="str">
        <f t="shared" si="74"/>
        <v>On Time</v>
      </c>
      <c r="Q611" s="13">
        <f t="shared" si="75"/>
        <v>62.127222222159617</v>
      </c>
      <c r="R611" s="13">
        <f t="shared" si="76"/>
        <v>0.24531250000291038</v>
      </c>
      <c r="S611" s="13">
        <f t="shared" si="77"/>
        <v>9.9818055555588217</v>
      </c>
      <c r="T611" t="str">
        <f t="shared" si="78"/>
        <v>On Time/Early</v>
      </c>
      <c r="U611" t="str">
        <f t="shared" si="79"/>
        <v>Normal</v>
      </c>
      <c r="V611" t="s">
        <v>102</v>
      </c>
    </row>
    <row r="612" spans="1:22">
      <c r="A612" t="s">
        <v>1050</v>
      </c>
      <c r="B612" s="10">
        <v>43036.899456018517</v>
      </c>
      <c r="C612" s="10">
        <v>43036.907256944447</v>
      </c>
      <c r="D612" s="10">
        <v>43038.866990740738</v>
      </c>
      <c r="E612" s="10">
        <v>43053.84375</v>
      </c>
      <c r="F612" s="10">
        <v>43066</v>
      </c>
      <c r="G612" t="s">
        <v>30</v>
      </c>
      <c r="H612" t="s">
        <v>329</v>
      </c>
      <c r="I612" t="s">
        <v>221</v>
      </c>
      <c r="J612" s="11">
        <v>1</v>
      </c>
      <c r="K612" s="12">
        <v>599.99</v>
      </c>
      <c r="L612" s="12">
        <v>18.96</v>
      </c>
      <c r="M612" s="13">
        <v>5</v>
      </c>
      <c r="N612" s="13">
        <f t="shared" si="72"/>
        <v>16.944293981483497</v>
      </c>
      <c r="O612" s="13">
        <f t="shared" si="73"/>
        <v>0</v>
      </c>
      <c r="P612" t="str">
        <f t="shared" si="74"/>
        <v>On Time</v>
      </c>
      <c r="Q612" s="13">
        <f t="shared" si="75"/>
        <v>0.18722222233191133</v>
      </c>
      <c r="R612" s="13">
        <f t="shared" si="76"/>
        <v>1.9597337962914025</v>
      </c>
      <c r="S612" s="13">
        <f t="shared" si="77"/>
        <v>14.976759259261598</v>
      </c>
      <c r="T612" t="str">
        <f t="shared" si="78"/>
        <v>On Time/Early</v>
      </c>
      <c r="U612" t="str">
        <f t="shared" si="79"/>
        <v>Normal</v>
      </c>
      <c r="V612" t="s">
        <v>102</v>
      </c>
    </row>
    <row r="613" spans="1:22">
      <c r="A613" t="s">
        <v>1051</v>
      </c>
      <c r="B613" s="10">
        <v>43037.321585648147</v>
      </c>
      <c r="C613" s="10">
        <v>43037.326481481483</v>
      </c>
      <c r="D613" s="10">
        <v>43038.745798611111</v>
      </c>
      <c r="E613" s="10">
        <v>43052.7965625</v>
      </c>
      <c r="F613" s="10">
        <v>43066</v>
      </c>
      <c r="G613" t="s">
        <v>36</v>
      </c>
      <c r="H613" t="s">
        <v>1052</v>
      </c>
      <c r="I613" t="s">
        <v>128</v>
      </c>
      <c r="J613" s="11">
        <v>1</v>
      </c>
      <c r="K613" s="12">
        <v>126.99</v>
      </c>
      <c r="L613" s="12">
        <v>15.64</v>
      </c>
      <c r="M613" s="13">
        <v>5</v>
      </c>
      <c r="N613" s="13">
        <f t="shared" si="72"/>
        <v>15.474976851852261</v>
      </c>
      <c r="O613" s="13">
        <f t="shared" si="73"/>
        <v>0</v>
      </c>
      <c r="P613" t="str">
        <f t="shared" si="74"/>
        <v>On Time</v>
      </c>
      <c r="Q613" s="13">
        <f t="shared" si="75"/>
        <v>0.11750000005122274</v>
      </c>
      <c r="R613" s="13">
        <f t="shared" si="76"/>
        <v>1.4193171296283253</v>
      </c>
      <c r="S613" s="13">
        <f t="shared" si="77"/>
        <v>14.050763888888469</v>
      </c>
      <c r="T613" t="str">
        <f t="shared" si="78"/>
        <v>On Time/Early</v>
      </c>
      <c r="U613" t="str">
        <f t="shared" si="79"/>
        <v>Normal</v>
      </c>
      <c r="V613" t="s">
        <v>102</v>
      </c>
    </row>
    <row r="614" spans="1:22">
      <c r="A614" t="s">
        <v>1053</v>
      </c>
      <c r="B614" s="10">
        <v>43037.420636574076</v>
      </c>
      <c r="C614" s="10">
        <v>43037.427581018521</v>
      </c>
      <c r="D614" s="10">
        <v>43038.788240740738</v>
      </c>
      <c r="E614" s="10">
        <v>43039.7658912037</v>
      </c>
      <c r="F614" s="10">
        <v>43049</v>
      </c>
      <c r="G614" t="s">
        <v>8</v>
      </c>
      <c r="H614" t="s">
        <v>171</v>
      </c>
      <c r="I614" t="s">
        <v>112</v>
      </c>
      <c r="J614" s="11">
        <v>1</v>
      </c>
      <c r="K614" s="12">
        <v>49.9</v>
      </c>
      <c r="L614" s="12">
        <v>7.78</v>
      </c>
      <c r="M614" s="13">
        <v>5</v>
      </c>
      <c r="N614" s="13">
        <f t="shared" si="72"/>
        <v>2.3452546296248329</v>
      </c>
      <c r="O614" s="13">
        <f t="shared" si="73"/>
        <v>0</v>
      </c>
      <c r="P614" t="str">
        <f t="shared" si="74"/>
        <v>On Time</v>
      </c>
      <c r="Q614" s="13">
        <f t="shared" si="75"/>
        <v>0.16666666668606922</v>
      </c>
      <c r="R614" s="13">
        <f t="shared" si="76"/>
        <v>1.3606597222169512</v>
      </c>
      <c r="S614" s="13">
        <f t="shared" si="77"/>
        <v>0.97765046296262881</v>
      </c>
      <c r="T614" t="str">
        <f t="shared" si="78"/>
        <v>On Time/Early</v>
      </c>
      <c r="U614" t="str">
        <f t="shared" si="79"/>
        <v>Normal</v>
      </c>
      <c r="V614" t="s">
        <v>102</v>
      </c>
    </row>
    <row r="615" spans="1:22">
      <c r="A615" t="s">
        <v>1054</v>
      </c>
      <c r="B615" s="10">
        <v>43037.481550925928</v>
      </c>
      <c r="C615" s="10">
        <v>43037.493298611109</v>
      </c>
      <c r="D615" s="10">
        <v>43040.794872685183</v>
      </c>
      <c r="E615" s="10">
        <v>43048.654247685183</v>
      </c>
      <c r="F615" s="10">
        <v>43056</v>
      </c>
      <c r="G615" t="s">
        <v>8</v>
      </c>
      <c r="H615" t="s">
        <v>140</v>
      </c>
      <c r="I615" t="s">
        <v>128</v>
      </c>
      <c r="J615" s="11">
        <v>1</v>
      </c>
      <c r="K615" s="12">
        <v>59.9</v>
      </c>
      <c r="L615" s="12">
        <v>13.44</v>
      </c>
      <c r="M615" s="13">
        <v>4</v>
      </c>
      <c r="N615" s="13">
        <f t="shared" si="72"/>
        <v>11.172696759254904</v>
      </c>
      <c r="O615" s="13">
        <f t="shared" si="73"/>
        <v>0</v>
      </c>
      <c r="P615" t="str">
        <f t="shared" si="74"/>
        <v>On Time</v>
      </c>
      <c r="Q615" s="13">
        <f t="shared" si="75"/>
        <v>0.28194444434484467</v>
      </c>
      <c r="R615" s="13">
        <f t="shared" si="76"/>
        <v>3.3015740740738693</v>
      </c>
      <c r="S615" s="13">
        <f t="shared" si="77"/>
        <v>7.859375</v>
      </c>
      <c r="T615" t="str">
        <f t="shared" si="78"/>
        <v>On Time/Early</v>
      </c>
      <c r="U615" t="str">
        <f t="shared" si="79"/>
        <v>Normal</v>
      </c>
      <c r="V615" t="s">
        <v>102</v>
      </c>
    </row>
    <row r="616" spans="1:22">
      <c r="A616" t="s">
        <v>1055</v>
      </c>
      <c r="B616" s="10">
        <v>43037.726064814815</v>
      </c>
      <c r="C616" s="10">
        <v>43037.732766203706</v>
      </c>
      <c r="D616" s="10">
        <v>43039.885335648149</v>
      </c>
      <c r="E616" s="10">
        <v>43045.806759259256</v>
      </c>
      <c r="F616" s="10">
        <v>43062</v>
      </c>
      <c r="G616" t="s">
        <v>164</v>
      </c>
      <c r="H616" t="s">
        <v>986</v>
      </c>
      <c r="I616" t="s">
        <v>101</v>
      </c>
      <c r="J616" s="11">
        <v>3</v>
      </c>
      <c r="K616" s="12">
        <v>115.2</v>
      </c>
      <c r="L616" s="12">
        <v>45.33</v>
      </c>
      <c r="M616" s="13">
        <v>5</v>
      </c>
      <c r="N616" s="13">
        <f t="shared" si="72"/>
        <v>8.0806944444411783</v>
      </c>
      <c r="O616" s="13">
        <f t="shared" si="73"/>
        <v>0</v>
      </c>
      <c r="P616" t="str">
        <f t="shared" si="74"/>
        <v>On Time</v>
      </c>
      <c r="Q616" s="13">
        <f t="shared" si="75"/>
        <v>0.16083333338610828</v>
      </c>
      <c r="R616" s="13">
        <f t="shared" si="76"/>
        <v>2.1525694444426335</v>
      </c>
      <c r="S616" s="13">
        <f t="shared" si="77"/>
        <v>5.921423611107457</v>
      </c>
      <c r="T616" t="str">
        <f t="shared" si="78"/>
        <v>On Time/Early</v>
      </c>
      <c r="U616" t="str">
        <f t="shared" si="79"/>
        <v>Normal</v>
      </c>
      <c r="V616" t="s">
        <v>102</v>
      </c>
    </row>
    <row r="617" spans="1:22">
      <c r="A617" t="s">
        <v>1056</v>
      </c>
      <c r="B617" s="10">
        <v>43039.477152777778</v>
      </c>
      <c r="C617" s="10">
        <v>43039.491041666668</v>
      </c>
      <c r="D617" s="10">
        <v>43042.643888888888</v>
      </c>
      <c r="E617" s="10">
        <v>43052.85900462963</v>
      </c>
      <c r="F617" s="10">
        <v>43062</v>
      </c>
      <c r="G617" t="s">
        <v>36</v>
      </c>
      <c r="H617" t="s">
        <v>1057</v>
      </c>
      <c r="I617" t="s">
        <v>21</v>
      </c>
      <c r="J617" s="11">
        <v>1</v>
      </c>
      <c r="K617" s="12">
        <v>89.9</v>
      </c>
      <c r="L617" s="12">
        <v>17.88</v>
      </c>
      <c r="M617" s="13">
        <v>5</v>
      </c>
      <c r="N617" s="13">
        <f t="shared" si="72"/>
        <v>13.381851851852844</v>
      </c>
      <c r="O617" s="13">
        <f t="shared" si="73"/>
        <v>0</v>
      </c>
      <c r="P617" t="str">
        <f t="shared" si="74"/>
        <v>On Time</v>
      </c>
      <c r="Q617" s="13">
        <f t="shared" si="75"/>
        <v>0.33333333337213844</v>
      </c>
      <c r="R617" s="13">
        <f t="shared" si="76"/>
        <v>3.1528472222198616</v>
      </c>
      <c r="S617" s="13">
        <f t="shared" si="77"/>
        <v>10.215115740742476</v>
      </c>
      <c r="T617" t="str">
        <f t="shared" si="78"/>
        <v>On Time/Early</v>
      </c>
      <c r="U617" t="str">
        <f t="shared" si="79"/>
        <v>Normal</v>
      </c>
      <c r="V617" t="s">
        <v>102</v>
      </c>
    </row>
    <row r="618" spans="1:22">
      <c r="A618" t="s">
        <v>1058</v>
      </c>
      <c r="B618" s="10">
        <v>43039.708437499998</v>
      </c>
      <c r="C618" s="10">
        <v>43039.730717592596</v>
      </c>
      <c r="D618" s="10">
        <v>43046.796886574077</v>
      </c>
      <c r="E618" s="10">
        <v>43059.941979166666</v>
      </c>
      <c r="F618" s="10">
        <v>43060</v>
      </c>
      <c r="G618" t="s">
        <v>164</v>
      </c>
      <c r="H618" t="s">
        <v>986</v>
      </c>
      <c r="I618" t="s">
        <v>136</v>
      </c>
      <c r="J618" s="11">
        <v>1</v>
      </c>
      <c r="K618" s="12">
        <v>59.9</v>
      </c>
      <c r="L618" s="12">
        <v>17.989999999999998</v>
      </c>
      <c r="M618" s="13">
        <v>4</v>
      </c>
      <c r="N618" s="13">
        <f t="shared" si="72"/>
        <v>20.233541666668316</v>
      </c>
      <c r="O618" s="13">
        <f t="shared" si="73"/>
        <v>0</v>
      </c>
      <c r="P618" t="str">
        <f t="shared" si="74"/>
        <v>On Time</v>
      </c>
      <c r="Q618" s="13">
        <f t="shared" si="75"/>
        <v>0.53472222236450762</v>
      </c>
      <c r="R618" s="13">
        <f t="shared" si="76"/>
        <v>7.0661689814805868</v>
      </c>
      <c r="S618" s="13">
        <f t="shared" si="77"/>
        <v>13.145092592589208</v>
      </c>
      <c r="T618" t="str">
        <f t="shared" si="78"/>
        <v>On Time/Early</v>
      </c>
      <c r="U618" t="str">
        <f t="shared" si="79"/>
        <v>Normal</v>
      </c>
      <c r="V618" t="s">
        <v>102</v>
      </c>
    </row>
    <row r="619" spans="1:22">
      <c r="A619" t="s">
        <v>1059</v>
      </c>
      <c r="B619" s="10">
        <v>43040.501145833332</v>
      </c>
      <c r="C619" s="10">
        <v>43040.552361111113</v>
      </c>
      <c r="D619" s="10">
        <v>43042.963750000003</v>
      </c>
      <c r="E619" s="10">
        <v>43045.914189814815</v>
      </c>
      <c r="F619" s="10">
        <v>43053</v>
      </c>
      <c r="G619" t="s">
        <v>8</v>
      </c>
      <c r="H619" t="s">
        <v>140</v>
      </c>
      <c r="I619" t="s">
        <v>221</v>
      </c>
      <c r="J619" s="11">
        <v>1</v>
      </c>
      <c r="K619" s="12">
        <v>699.99</v>
      </c>
      <c r="L619" s="12">
        <v>13.71</v>
      </c>
      <c r="M619" s="13">
        <v>5</v>
      </c>
      <c r="N619" s="13">
        <f t="shared" si="72"/>
        <v>5.4130439814834972</v>
      </c>
      <c r="O619" s="13">
        <f t="shared" si="73"/>
        <v>0</v>
      </c>
      <c r="P619" t="str">
        <f t="shared" si="74"/>
        <v>On Time</v>
      </c>
      <c r="Q619" s="13">
        <f t="shared" si="75"/>
        <v>1.2291666667442769</v>
      </c>
      <c r="R619" s="13">
        <f t="shared" si="76"/>
        <v>2.4113888888896327</v>
      </c>
      <c r="S619" s="13">
        <f t="shared" si="77"/>
        <v>2.950439814812853</v>
      </c>
      <c r="T619" t="str">
        <f t="shared" si="78"/>
        <v>On Time/Early</v>
      </c>
      <c r="U619" t="str">
        <f t="shared" si="79"/>
        <v>Normal</v>
      </c>
      <c r="V619" t="s">
        <v>102</v>
      </c>
    </row>
    <row r="620" spans="1:22">
      <c r="A620" t="s">
        <v>1060</v>
      </c>
      <c r="B620" s="10">
        <v>43041.602071759262</v>
      </c>
      <c r="C620" s="10">
        <v>43041.61546296296</v>
      </c>
      <c r="D620" s="10">
        <v>43042.585127314815</v>
      </c>
      <c r="E620" s="10">
        <v>43046.817210648151</v>
      </c>
      <c r="F620" s="10">
        <v>43062</v>
      </c>
      <c r="G620" t="s">
        <v>16</v>
      </c>
      <c r="H620" t="s">
        <v>138</v>
      </c>
      <c r="I620" t="s">
        <v>180</v>
      </c>
      <c r="J620" s="11">
        <v>1</v>
      </c>
      <c r="K620" s="12">
        <v>49.8</v>
      </c>
      <c r="L620" s="12">
        <v>14.1</v>
      </c>
      <c r="M620" s="13">
        <v>4</v>
      </c>
      <c r="N620" s="13">
        <f t="shared" si="72"/>
        <v>5.2151388888887595</v>
      </c>
      <c r="O620" s="13">
        <f t="shared" si="73"/>
        <v>0</v>
      </c>
      <c r="P620" t="str">
        <f t="shared" si="74"/>
        <v>On Time</v>
      </c>
      <c r="Q620" s="13">
        <f t="shared" si="75"/>
        <v>0.32138888875488192</v>
      </c>
      <c r="R620" s="13">
        <f t="shared" si="76"/>
        <v>0.96966435185458977</v>
      </c>
      <c r="S620" s="13">
        <f t="shared" si="77"/>
        <v>4.2320833333360497</v>
      </c>
      <c r="T620" t="str">
        <f t="shared" si="78"/>
        <v>On Time/Early</v>
      </c>
      <c r="U620" t="str">
        <f t="shared" si="79"/>
        <v>Normal</v>
      </c>
      <c r="V620" t="s">
        <v>102</v>
      </c>
    </row>
    <row r="621" spans="1:22">
      <c r="A621" t="s">
        <v>1061</v>
      </c>
      <c r="B621" s="10">
        <v>43041.787118055552</v>
      </c>
      <c r="C621" s="10">
        <v>43042.854768518519</v>
      </c>
      <c r="D621" s="10">
        <v>43046.839398148149</v>
      </c>
      <c r="E621" s="10">
        <v>43070.845706018517</v>
      </c>
      <c r="F621" s="10">
        <v>43070</v>
      </c>
      <c r="G621" t="s">
        <v>474</v>
      </c>
      <c r="H621" t="s">
        <v>997</v>
      </c>
      <c r="I621" t="s">
        <v>101</v>
      </c>
      <c r="J621" s="11">
        <v>1</v>
      </c>
      <c r="K621" s="12">
        <v>119</v>
      </c>
      <c r="L621" s="12">
        <v>30.36</v>
      </c>
      <c r="M621" s="13">
        <v>5</v>
      </c>
      <c r="N621" s="13">
        <f t="shared" si="72"/>
        <v>29.058587962965248</v>
      </c>
      <c r="O621" s="13">
        <f t="shared" si="73"/>
        <v>0.84570601851737592</v>
      </c>
      <c r="P621" t="str">
        <f t="shared" si="74"/>
        <v>Delayed</v>
      </c>
      <c r="Q621" s="13">
        <f t="shared" si="75"/>
        <v>25.623611111193895</v>
      </c>
      <c r="R621" s="13">
        <f t="shared" si="76"/>
        <v>3.9846296296309447</v>
      </c>
      <c r="S621" s="13">
        <f t="shared" si="77"/>
        <v>24.006307870367891</v>
      </c>
      <c r="T621" t="str">
        <f t="shared" si="78"/>
        <v>1-3 Days Late</v>
      </c>
      <c r="U621" t="str">
        <f t="shared" si="79"/>
        <v>Needs Review</v>
      </c>
      <c r="V621" t="s">
        <v>102</v>
      </c>
    </row>
    <row r="622" spans="1:22">
      <c r="A622" t="s">
        <v>1062</v>
      </c>
      <c r="B622" s="10">
        <v>43041.885081018518</v>
      </c>
      <c r="C622" s="10">
        <v>43042.896782407406</v>
      </c>
      <c r="D622" s="10">
        <v>43045.910925925928</v>
      </c>
      <c r="E622" s="10">
        <v>43049.631076388891</v>
      </c>
      <c r="F622" s="10">
        <v>43061</v>
      </c>
      <c r="G622" t="s">
        <v>8</v>
      </c>
      <c r="H622" t="s">
        <v>227</v>
      </c>
      <c r="I622" t="s">
        <v>58</v>
      </c>
      <c r="J622" s="11">
        <v>1</v>
      </c>
      <c r="K622" s="12">
        <v>89.99</v>
      </c>
      <c r="L622" s="12">
        <v>9.44</v>
      </c>
      <c r="M622" s="13">
        <v>5</v>
      </c>
      <c r="N622" s="13">
        <f t="shared" si="72"/>
        <v>7.7459953703728388</v>
      </c>
      <c r="O622" s="13">
        <f t="shared" si="73"/>
        <v>0</v>
      </c>
      <c r="P622" t="str">
        <f t="shared" si="74"/>
        <v>On Time</v>
      </c>
      <c r="Q622" s="13">
        <f t="shared" si="75"/>
        <v>24.280833333323244</v>
      </c>
      <c r="R622" s="13">
        <f t="shared" si="76"/>
        <v>3.0141435185214505</v>
      </c>
      <c r="S622" s="13">
        <f t="shared" si="77"/>
        <v>3.7201504629629198</v>
      </c>
      <c r="T622" t="str">
        <f t="shared" si="78"/>
        <v>On Time/Early</v>
      </c>
      <c r="U622" t="str">
        <f t="shared" si="79"/>
        <v>Normal</v>
      </c>
      <c r="V622" t="s">
        <v>102</v>
      </c>
    </row>
    <row r="623" spans="1:22">
      <c r="A623" t="s">
        <v>1063</v>
      </c>
      <c r="B623" s="10">
        <v>43042.083124999997</v>
      </c>
      <c r="C623" s="10">
        <v>43042.090532407405</v>
      </c>
      <c r="D623" s="10">
        <v>43045.546180555553</v>
      </c>
      <c r="E623" s="10">
        <v>43052.794421296298</v>
      </c>
      <c r="F623" s="10">
        <v>43069</v>
      </c>
      <c r="G623" t="s">
        <v>57</v>
      </c>
      <c r="H623" t="s">
        <v>1064</v>
      </c>
      <c r="I623" t="s">
        <v>185</v>
      </c>
      <c r="J623" s="11">
        <v>3</v>
      </c>
      <c r="K623" s="12">
        <v>373.6</v>
      </c>
      <c r="L623" s="12">
        <v>55.92</v>
      </c>
      <c r="M623" s="13">
        <v>1</v>
      </c>
      <c r="N623" s="13">
        <f t="shared" si="72"/>
        <v>10.711296296300134</v>
      </c>
      <c r="O623" s="13">
        <f t="shared" si="73"/>
        <v>0</v>
      </c>
      <c r="P623" t="str">
        <f t="shared" si="74"/>
        <v>On Time</v>
      </c>
      <c r="Q623" s="13">
        <f t="shared" si="75"/>
        <v>0.17777777777519077</v>
      </c>
      <c r="R623" s="13">
        <f t="shared" si="76"/>
        <v>3.4556481481486117</v>
      </c>
      <c r="S623" s="13">
        <f t="shared" si="77"/>
        <v>7.2482407407442224</v>
      </c>
      <c r="T623" t="str">
        <f t="shared" si="78"/>
        <v>On Time/Early</v>
      </c>
      <c r="U623" t="str">
        <f t="shared" si="79"/>
        <v>Normal</v>
      </c>
      <c r="V623" t="s">
        <v>102</v>
      </c>
    </row>
    <row r="624" spans="1:22">
      <c r="A624" t="s">
        <v>1065</v>
      </c>
      <c r="B624" s="10">
        <v>43042.513425925928</v>
      </c>
      <c r="C624" s="10">
        <v>43043.212199074071</v>
      </c>
      <c r="D624" s="10">
        <v>43045.812002314815</v>
      </c>
      <c r="E624" s="10">
        <v>43046.915196759262</v>
      </c>
      <c r="F624" s="10">
        <v>43055</v>
      </c>
      <c r="G624" t="s">
        <v>8</v>
      </c>
      <c r="H624" t="s">
        <v>204</v>
      </c>
      <c r="I624" t="s">
        <v>221</v>
      </c>
      <c r="J624" s="11">
        <v>2</v>
      </c>
      <c r="K624" s="12">
        <v>164</v>
      </c>
      <c r="L624" s="12">
        <v>15.66</v>
      </c>
      <c r="M624" s="13">
        <v>5</v>
      </c>
      <c r="N624" s="13">
        <f t="shared" si="72"/>
        <v>4.4017708333340124</v>
      </c>
      <c r="O624" s="13">
        <f t="shared" si="73"/>
        <v>0</v>
      </c>
      <c r="P624" t="str">
        <f t="shared" si="74"/>
        <v>On Time</v>
      </c>
      <c r="Q624" s="13">
        <f t="shared" si="75"/>
        <v>16.770555555413011</v>
      </c>
      <c r="R624" s="13">
        <f t="shared" si="76"/>
        <v>2.5998032407442224</v>
      </c>
      <c r="S624" s="13">
        <f t="shared" si="77"/>
        <v>1.1031944444475812</v>
      </c>
      <c r="T624" t="str">
        <f t="shared" si="78"/>
        <v>On Time/Early</v>
      </c>
      <c r="U624" t="str">
        <f t="shared" si="79"/>
        <v>Normal</v>
      </c>
      <c r="V624" t="s">
        <v>102</v>
      </c>
    </row>
    <row r="625" spans="1:22">
      <c r="A625" t="s">
        <v>1066</v>
      </c>
      <c r="B625" s="10">
        <v>43042.773796296293</v>
      </c>
      <c r="C625" s="10">
        <v>43042.812962962962</v>
      </c>
      <c r="D625" s="10">
        <v>43045.86923611111</v>
      </c>
      <c r="E625" s="10">
        <v>43048.742210648146</v>
      </c>
      <c r="F625" s="10">
        <v>43055</v>
      </c>
      <c r="G625" t="s">
        <v>8</v>
      </c>
      <c r="H625" t="s">
        <v>140</v>
      </c>
      <c r="I625" t="s">
        <v>136</v>
      </c>
      <c r="J625" s="11">
        <v>1</v>
      </c>
      <c r="K625" s="12">
        <v>284.89999999999998</v>
      </c>
      <c r="L625" s="12">
        <v>9.25</v>
      </c>
      <c r="M625" s="13">
        <v>5</v>
      </c>
      <c r="N625" s="13">
        <f t="shared" si="72"/>
        <v>5.9684143518534256</v>
      </c>
      <c r="O625" s="13">
        <f t="shared" si="73"/>
        <v>0</v>
      </c>
      <c r="P625" t="str">
        <f t="shared" si="74"/>
        <v>On Time</v>
      </c>
      <c r="Q625" s="13">
        <f t="shared" si="75"/>
        <v>0.94000000006053597</v>
      </c>
      <c r="R625" s="13">
        <f t="shared" si="76"/>
        <v>3.0562731481477385</v>
      </c>
      <c r="S625" s="13">
        <f t="shared" si="77"/>
        <v>2.8729745370364981</v>
      </c>
      <c r="T625" t="str">
        <f t="shared" si="78"/>
        <v>On Time/Early</v>
      </c>
      <c r="U625" t="str">
        <f t="shared" si="79"/>
        <v>Normal</v>
      </c>
      <c r="V625" t="s">
        <v>102</v>
      </c>
    </row>
    <row r="626" spans="1:22">
      <c r="A626" t="s">
        <v>1067</v>
      </c>
      <c r="B626" s="10">
        <v>43043.381388888891</v>
      </c>
      <c r="C626" s="10">
        <v>43044.393229166664</v>
      </c>
      <c r="D626" s="10">
        <v>43046.456608796296</v>
      </c>
      <c r="E626" s="10">
        <v>43052.813831018517</v>
      </c>
      <c r="F626" s="10">
        <v>43067</v>
      </c>
      <c r="G626" t="s">
        <v>164</v>
      </c>
      <c r="H626" t="s">
        <v>1068</v>
      </c>
      <c r="I626" t="s">
        <v>128</v>
      </c>
      <c r="J626" s="11">
        <v>1</v>
      </c>
      <c r="K626" s="12">
        <v>799.99</v>
      </c>
      <c r="L626" s="12">
        <v>36.35</v>
      </c>
      <c r="M626" s="13">
        <v>5</v>
      </c>
      <c r="N626" s="13">
        <f t="shared" si="72"/>
        <v>9.432442129625997</v>
      </c>
      <c r="O626" s="13">
        <f t="shared" si="73"/>
        <v>0</v>
      </c>
      <c r="P626" t="str">
        <f t="shared" si="74"/>
        <v>On Time</v>
      </c>
      <c r="Q626" s="13">
        <f t="shared" si="75"/>
        <v>24.284166666562669</v>
      </c>
      <c r="R626" s="13">
        <f t="shared" si="76"/>
        <v>2.0633796296315268</v>
      </c>
      <c r="S626" s="13">
        <f t="shared" si="77"/>
        <v>6.3572222222210257</v>
      </c>
      <c r="T626" t="str">
        <f t="shared" si="78"/>
        <v>On Time/Early</v>
      </c>
      <c r="U626" t="str">
        <f t="shared" si="79"/>
        <v>Normal</v>
      </c>
      <c r="V626" t="s">
        <v>102</v>
      </c>
    </row>
    <row r="627" spans="1:22">
      <c r="A627" t="s">
        <v>1069</v>
      </c>
      <c r="B627" s="10">
        <v>43043.424803240741</v>
      </c>
      <c r="C627" s="10">
        <v>43043.434548611112</v>
      </c>
      <c r="D627" s="10">
        <v>43045.814120370371</v>
      </c>
      <c r="E627" s="10">
        <v>43055.784594907411</v>
      </c>
      <c r="F627" s="10">
        <v>43067</v>
      </c>
      <c r="G627" t="s">
        <v>30</v>
      </c>
      <c r="H627" t="s">
        <v>365</v>
      </c>
      <c r="I627" t="s">
        <v>123</v>
      </c>
      <c r="J627" s="11">
        <v>1</v>
      </c>
      <c r="K627" s="12">
        <v>599.9</v>
      </c>
      <c r="L627" s="12">
        <v>23.44</v>
      </c>
      <c r="M627" s="13">
        <v>1</v>
      </c>
      <c r="N627" s="13">
        <f t="shared" si="72"/>
        <v>12.35979166666948</v>
      </c>
      <c r="O627" s="13">
        <f t="shared" si="73"/>
        <v>0</v>
      </c>
      <c r="P627" t="str">
        <f t="shared" si="74"/>
        <v>On Time</v>
      </c>
      <c r="Q627" s="13">
        <f t="shared" si="75"/>
        <v>0.23388888890622184</v>
      </c>
      <c r="R627" s="13">
        <f t="shared" si="76"/>
        <v>2.3795717592583969</v>
      </c>
      <c r="S627" s="13">
        <f t="shared" si="77"/>
        <v>9.9704745370399905</v>
      </c>
      <c r="T627" t="str">
        <f t="shared" si="78"/>
        <v>On Time/Early</v>
      </c>
      <c r="U627" t="str">
        <f t="shared" si="79"/>
        <v>Normal</v>
      </c>
      <c r="V627" t="s">
        <v>102</v>
      </c>
    </row>
    <row r="628" spans="1:22">
      <c r="A628" t="s">
        <v>1070</v>
      </c>
      <c r="B628" s="10">
        <v>43043.578796296293</v>
      </c>
      <c r="C628" s="10">
        <v>43043.590636574074</v>
      </c>
      <c r="D628" s="10">
        <v>43045.920381944445</v>
      </c>
      <c r="E628" s="10">
        <v>43047.890520833331</v>
      </c>
      <c r="F628" s="10">
        <v>43056</v>
      </c>
      <c r="G628" t="s">
        <v>8</v>
      </c>
      <c r="H628" t="s">
        <v>605</v>
      </c>
      <c r="I628" t="s">
        <v>123</v>
      </c>
      <c r="J628" s="11">
        <v>1</v>
      </c>
      <c r="K628" s="12">
        <v>146.99</v>
      </c>
      <c r="L628" s="12">
        <v>13.58</v>
      </c>
      <c r="M628" s="13">
        <v>5</v>
      </c>
      <c r="N628" s="13">
        <f t="shared" si="72"/>
        <v>4.3117245370376622</v>
      </c>
      <c r="O628" s="13">
        <f t="shared" si="73"/>
        <v>0</v>
      </c>
      <c r="P628" t="str">
        <f t="shared" si="74"/>
        <v>On Time</v>
      </c>
      <c r="Q628" s="13">
        <f t="shared" si="75"/>
        <v>0.28416666673729196</v>
      </c>
      <c r="R628" s="13">
        <f t="shared" si="76"/>
        <v>2.3297453703708015</v>
      </c>
      <c r="S628" s="13">
        <f t="shared" si="77"/>
        <v>1.9701388888861402</v>
      </c>
      <c r="T628" t="str">
        <f t="shared" si="78"/>
        <v>On Time/Early</v>
      </c>
      <c r="U628" t="str">
        <f t="shared" si="79"/>
        <v>Normal</v>
      </c>
      <c r="V628" t="s">
        <v>102</v>
      </c>
    </row>
    <row r="629" spans="1:22">
      <c r="A629" t="s">
        <v>1071</v>
      </c>
      <c r="B629" s="10">
        <v>43043.705370370371</v>
      </c>
      <c r="C629" s="10">
        <v>43043.712627314817</v>
      </c>
      <c r="D629" s="10">
        <v>43046.476215277777</v>
      </c>
      <c r="E629" s="10">
        <v>43048.893587962964</v>
      </c>
      <c r="F629" s="10">
        <v>43073</v>
      </c>
      <c r="G629" t="s">
        <v>8</v>
      </c>
      <c r="H629" t="s">
        <v>182</v>
      </c>
      <c r="I629" t="s">
        <v>101</v>
      </c>
      <c r="J629" s="11">
        <v>1</v>
      </c>
      <c r="K629" s="12">
        <v>119.9</v>
      </c>
      <c r="L629" s="12">
        <v>12.04</v>
      </c>
      <c r="M629" s="13">
        <v>4</v>
      </c>
      <c r="N629" s="13">
        <f t="shared" si="72"/>
        <v>5.1882175925929914</v>
      </c>
      <c r="O629" s="13">
        <f t="shared" si="73"/>
        <v>0</v>
      </c>
      <c r="P629" t="str">
        <f t="shared" si="74"/>
        <v>On Time</v>
      </c>
      <c r="Q629" s="13">
        <f t="shared" si="75"/>
        <v>0.17416666669305414</v>
      </c>
      <c r="R629" s="13">
        <f t="shared" si="76"/>
        <v>2.7635879629597184</v>
      </c>
      <c r="S629" s="13">
        <f t="shared" si="77"/>
        <v>2.4173726851877291</v>
      </c>
      <c r="T629" t="str">
        <f t="shared" si="78"/>
        <v>On Time/Early</v>
      </c>
      <c r="U629" t="str">
        <f t="shared" si="79"/>
        <v>Normal</v>
      </c>
      <c r="V629" t="s">
        <v>102</v>
      </c>
    </row>
    <row r="630" spans="1:22">
      <c r="A630" t="s">
        <v>1072</v>
      </c>
      <c r="B630" s="10">
        <v>43044.412430555552</v>
      </c>
      <c r="C630" s="10">
        <v>43044.423854166664</v>
      </c>
      <c r="D630" s="10">
        <v>43045.804699074077</v>
      </c>
      <c r="E630" s="10">
        <v>43048.901956018519</v>
      </c>
      <c r="F630" s="10">
        <v>43063</v>
      </c>
      <c r="G630" t="s">
        <v>8</v>
      </c>
      <c r="H630" t="s">
        <v>831</v>
      </c>
      <c r="I630" t="s">
        <v>136</v>
      </c>
      <c r="J630" s="11">
        <v>1</v>
      </c>
      <c r="K630" s="12">
        <v>16.48</v>
      </c>
      <c r="L630" s="12">
        <v>15.98</v>
      </c>
      <c r="M630" s="13">
        <v>5</v>
      </c>
      <c r="N630" s="13">
        <f t="shared" si="72"/>
        <v>4.4895254629664123</v>
      </c>
      <c r="O630" s="13">
        <f t="shared" si="73"/>
        <v>0</v>
      </c>
      <c r="P630" t="str">
        <f t="shared" si="74"/>
        <v>On Time</v>
      </c>
      <c r="Q630" s="13">
        <f t="shared" si="75"/>
        <v>0.27416666666977108</v>
      </c>
      <c r="R630" s="13">
        <f t="shared" si="76"/>
        <v>1.3808449074131204</v>
      </c>
      <c r="S630" s="13">
        <f t="shared" si="77"/>
        <v>3.0972569444420515</v>
      </c>
      <c r="T630" t="str">
        <f t="shared" si="78"/>
        <v>On Time/Early</v>
      </c>
      <c r="U630" t="str">
        <f t="shared" si="79"/>
        <v>Normal</v>
      </c>
      <c r="V630" t="s">
        <v>102</v>
      </c>
    </row>
    <row r="631" spans="1:22">
      <c r="A631" t="s">
        <v>1073</v>
      </c>
      <c r="B631" s="10">
        <v>43044.630995370368</v>
      </c>
      <c r="C631" s="10">
        <v>43046.312916666669</v>
      </c>
      <c r="D631" s="10">
        <v>43046.796747685185</v>
      </c>
      <c r="E631" s="10">
        <v>43066.857245370367</v>
      </c>
      <c r="F631" s="10">
        <v>43076</v>
      </c>
      <c r="G631" t="s">
        <v>474</v>
      </c>
      <c r="H631" t="s">
        <v>475</v>
      </c>
      <c r="I631" t="s">
        <v>185</v>
      </c>
      <c r="J631" s="11">
        <v>1</v>
      </c>
      <c r="K631" s="12">
        <v>639</v>
      </c>
      <c r="L631" s="12">
        <v>245.75</v>
      </c>
      <c r="M631" s="13">
        <v>5</v>
      </c>
      <c r="N631" s="13">
        <f t="shared" si="72"/>
        <v>22.226249999999709</v>
      </c>
      <c r="O631" s="13">
        <f t="shared" si="73"/>
        <v>0</v>
      </c>
      <c r="P631" t="str">
        <f t="shared" si="74"/>
        <v>On Time</v>
      </c>
      <c r="Q631" s="13">
        <f t="shared" si="75"/>
        <v>40.366111111245118</v>
      </c>
      <c r="R631" s="13">
        <f t="shared" si="76"/>
        <v>0.48383101851504762</v>
      </c>
      <c r="S631" s="13">
        <f t="shared" si="77"/>
        <v>20.060497685182781</v>
      </c>
      <c r="T631" t="str">
        <f t="shared" si="78"/>
        <v>On Time/Early</v>
      </c>
      <c r="U631" t="str">
        <f t="shared" si="79"/>
        <v>Normal</v>
      </c>
      <c r="V631" t="s">
        <v>102</v>
      </c>
    </row>
    <row r="632" spans="1:22">
      <c r="A632" t="s">
        <v>1074</v>
      </c>
      <c r="B632" s="10">
        <v>43044.656875000001</v>
      </c>
      <c r="C632" s="10">
        <v>43044.663437499999</v>
      </c>
      <c r="D632" s="10">
        <v>43046.647152777776</v>
      </c>
      <c r="E632" s="10">
        <v>43048.619884259257</v>
      </c>
      <c r="F632" s="10">
        <v>43056</v>
      </c>
      <c r="G632" t="s">
        <v>8</v>
      </c>
      <c r="H632" t="s">
        <v>140</v>
      </c>
      <c r="I632" t="s">
        <v>180</v>
      </c>
      <c r="J632" s="11">
        <v>1</v>
      </c>
      <c r="K632" s="12">
        <v>45.9</v>
      </c>
      <c r="L632" s="12">
        <v>9.34</v>
      </c>
      <c r="M632" s="13">
        <v>5</v>
      </c>
      <c r="N632" s="13">
        <f t="shared" si="72"/>
        <v>3.9630092592560686</v>
      </c>
      <c r="O632" s="13">
        <f t="shared" si="73"/>
        <v>0</v>
      </c>
      <c r="P632" t="str">
        <f t="shared" si="74"/>
        <v>On Time</v>
      </c>
      <c r="Q632" s="13">
        <f t="shared" si="75"/>
        <v>0.15749999997206032</v>
      </c>
      <c r="R632" s="13">
        <f t="shared" si="76"/>
        <v>1.9837152777763549</v>
      </c>
      <c r="S632" s="13">
        <f t="shared" si="77"/>
        <v>1.9727314814808778</v>
      </c>
      <c r="T632" t="str">
        <f t="shared" si="78"/>
        <v>On Time/Early</v>
      </c>
      <c r="U632" t="str">
        <f t="shared" si="79"/>
        <v>Normal</v>
      </c>
      <c r="V632" t="s">
        <v>102</v>
      </c>
    </row>
    <row r="633" spans="1:22">
      <c r="A633" t="s">
        <v>1075</v>
      </c>
      <c r="B633" s="10">
        <v>43044.727442129632</v>
      </c>
      <c r="C633" s="10">
        <v>43044.733032407406</v>
      </c>
      <c r="D633" s="10">
        <v>43046.663229166668</v>
      </c>
      <c r="E633" s="10">
        <v>43053.734722222223</v>
      </c>
      <c r="F633" s="10">
        <v>43067</v>
      </c>
      <c r="G633" t="s">
        <v>16</v>
      </c>
      <c r="H633" t="s">
        <v>852</v>
      </c>
      <c r="I633" t="s">
        <v>180</v>
      </c>
      <c r="J633" s="11">
        <v>1</v>
      </c>
      <c r="K633" s="12">
        <v>135</v>
      </c>
      <c r="L633" s="12">
        <v>18.2</v>
      </c>
      <c r="M633" s="13">
        <v>5</v>
      </c>
      <c r="N633" s="13">
        <f t="shared" si="72"/>
        <v>9.0072800925918273</v>
      </c>
      <c r="O633" s="13">
        <f t="shared" si="73"/>
        <v>0</v>
      </c>
      <c r="P633" t="str">
        <f t="shared" si="74"/>
        <v>On Time</v>
      </c>
      <c r="Q633" s="13">
        <f t="shared" si="75"/>
        <v>0.13416666659759358</v>
      </c>
      <c r="R633" s="13">
        <f t="shared" si="76"/>
        <v>1.9301967592618894</v>
      </c>
      <c r="S633" s="13">
        <f t="shared" si="77"/>
        <v>7.0714930555550382</v>
      </c>
      <c r="T633" t="str">
        <f t="shared" si="78"/>
        <v>On Time/Early</v>
      </c>
      <c r="U633" t="str">
        <f t="shared" si="79"/>
        <v>Normal</v>
      </c>
      <c r="V633" t="s">
        <v>102</v>
      </c>
    </row>
    <row r="634" spans="1:22">
      <c r="A634" t="s">
        <v>1076</v>
      </c>
      <c r="B634" s="10">
        <v>43044.80164351852</v>
      </c>
      <c r="C634" s="10">
        <v>43046.312905092593</v>
      </c>
      <c r="D634" s="10">
        <v>43047.573541666665</v>
      </c>
      <c r="E634" s="10">
        <v>43056.856168981481</v>
      </c>
      <c r="F634" s="10">
        <v>43068</v>
      </c>
      <c r="G634" t="s">
        <v>110</v>
      </c>
      <c r="H634" t="s">
        <v>111</v>
      </c>
      <c r="I634" t="s">
        <v>101</v>
      </c>
      <c r="J634" s="11">
        <v>4</v>
      </c>
      <c r="K634" s="12">
        <v>99.6</v>
      </c>
      <c r="L634" s="12">
        <v>64.44</v>
      </c>
      <c r="M634" s="13">
        <v>4</v>
      </c>
      <c r="N634" s="13">
        <f t="shared" si="72"/>
        <v>12.054525462961465</v>
      </c>
      <c r="O634" s="13">
        <f t="shared" si="73"/>
        <v>0</v>
      </c>
      <c r="P634" t="str">
        <f t="shared" si="74"/>
        <v>On Time</v>
      </c>
      <c r="Q634" s="13">
        <f t="shared" si="75"/>
        <v>36.270277777744923</v>
      </c>
      <c r="R634" s="13">
        <f t="shared" si="76"/>
        <v>1.260636574072123</v>
      </c>
      <c r="S634" s="13">
        <f t="shared" si="77"/>
        <v>9.2826273148166365</v>
      </c>
      <c r="T634" t="str">
        <f t="shared" si="78"/>
        <v>On Time/Early</v>
      </c>
      <c r="U634" t="str">
        <f t="shared" si="79"/>
        <v>Normal</v>
      </c>
      <c r="V634" t="s">
        <v>102</v>
      </c>
    </row>
    <row r="635" spans="1:22">
      <c r="A635" t="s">
        <v>1077</v>
      </c>
      <c r="B635" s="10">
        <v>43044.869259259256</v>
      </c>
      <c r="C635" s="10">
        <v>43044.879525462966</v>
      </c>
      <c r="D635" s="10">
        <v>43045.811631944445</v>
      </c>
      <c r="E635" s="10">
        <v>43046.679803240739</v>
      </c>
      <c r="F635" s="10">
        <v>43060</v>
      </c>
      <c r="G635" t="s">
        <v>8</v>
      </c>
      <c r="H635" t="s">
        <v>1078</v>
      </c>
      <c r="I635" t="s">
        <v>221</v>
      </c>
      <c r="J635" s="11">
        <v>1</v>
      </c>
      <c r="K635" s="12">
        <v>29</v>
      </c>
      <c r="L635" s="12">
        <v>7.78</v>
      </c>
      <c r="M635" s="13">
        <v>4</v>
      </c>
      <c r="N635" s="13">
        <f t="shared" si="72"/>
        <v>1.8105439814826241</v>
      </c>
      <c r="O635" s="13">
        <f t="shared" si="73"/>
        <v>0</v>
      </c>
      <c r="P635" t="str">
        <f t="shared" si="74"/>
        <v>On Time</v>
      </c>
      <c r="Q635" s="13">
        <f t="shared" si="75"/>
        <v>0.24638888903427869</v>
      </c>
      <c r="R635" s="13">
        <f t="shared" si="76"/>
        <v>0.93210648147942265</v>
      </c>
      <c r="S635" s="13">
        <f t="shared" si="77"/>
        <v>0.86817129629343981</v>
      </c>
      <c r="T635" t="str">
        <f t="shared" si="78"/>
        <v>On Time/Early</v>
      </c>
      <c r="U635" t="str">
        <f t="shared" si="79"/>
        <v>Normal</v>
      </c>
      <c r="V635" t="s">
        <v>102</v>
      </c>
    </row>
    <row r="636" spans="1:22">
      <c r="A636" t="s">
        <v>1079</v>
      </c>
      <c r="B636" s="10">
        <v>43044.948437500003</v>
      </c>
      <c r="C636" s="10">
        <v>43046.271782407406</v>
      </c>
      <c r="D636" s="10">
        <v>43047.933761574073</v>
      </c>
      <c r="E636" s="10">
        <v>43048.796493055554</v>
      </c>
      <c r="F636" s="10">
        <v>43056</v>
      </c>
      <c r="G636" t="s">
        <v>8</v>
      </c>
      <c r="H636" t="s">
        <v>140</v>
      </c>
      <c r="I636" t="s">
        <v>136</v>
      </c>
      <c r="J636" s="11">
        <v>1</v>
      </c>
      <c r="K636" s="12">
        <v>171</v>
      </c>
      <c r="L636" s="12">
        <v>9.94</v>
      </c>
      <c r="M636" s="13">
        <v>5</v>
      </c>
      <c r="N636" s="13">
        <f t="shared" si="72"/>
        <v>3.8480555555506726</v>
      </c>
      <c r="O636" s="13">
        <f t="shared" si="73"/>
        <v>0</v>
      </c>
      <c r="P636" t="str">
        <f t="shared" si="74"/>
        <v>On Time</v>
      </c>
      <c r="Q636" s="13">
        <f t="shared" si="75"/>
        <v>31.760277777677402</v>
      </c>
      <c r="R636" s="13">
        <f t="shared" si="76"/>
        <v>1.6619791666671517</v>
      </c>
      <c r="S636" s="13">
        <f t="shared" si="77"/>
        <v>0.86273148148029577</v>
      </c>
      <c r="T636" t="str">
        <f t="shared" si="78"/>
        <v>On Time/Early</v>
      </c>
      <c r="U636" t="str">
        <f t="shared" si="79"/>
        <v>Normal</v>
      </c>
      <c r="V636" t="s">
        <v>102</v>
      </c>
    </row>
    <row r="637" spans="1:22">
      <c r="A637" t="s">
        <v>1080</v>
      </c>
      <c r="B637" s="10">
        <v>43045.089016203703</v>
      </c>
      <c r="C637" s="10">
        <v>43045.101377314815</v>
      </c>
      <c r="D637" s="10">
        <v>43045.952349537038</v>
      </c>
      <c r="E637" s="10">
        <v>43053.813888888886</v>
      </c>
      <c r="F637" s="10">
        <v>43066</v>
      </c>
      <c r="G637" t="s">
        <v>20</v>
      </c>
      <c r="H637" t="s">
        <v>104</v>
      </c>
      <c r="I637" t="s">
        <v>380</v>
      </c>
      <c r="J637" s="11">
        <v>1</v>
      </c>
      <c r="K637" s="12">
        <v>74</v>
      </c>
      <c r="L637" s="12">
        <v>15.28</v>
      </c>
      <c r="M637" s="13">
        <v>5</v>
      </c>
      <c r="N637" s="13">
        <f t="shared" si="72"/>
        <v>8.7248726851830725</v>
      </c>
      <c r="O637" s="13">
        <f t="shared" si="73"/>
        <v>0</v>
      </c>
      <c r="P637" t="str">
        <f t="shared" si="74"/>
        <v>On Time</v>
      </c>
      <c r="Q637" s="13">
        <f t="shared" si="75"/>
        <v>0.29666666669072583</v>
      </c>
      <c r="R637" s="13">
        <f t="shared" si="76"/>
        <v>0.85097222222248092</v>
      </c>
      <c r="S637" s="13">
        <f t="shared" si="77"/>
        <v>7.861539351848478</v>
      </c>
      <c r="T637" t="str">
        <f t="shared" si="78"/>
        <v>On Time/Early</v>
      </c>
      <c r="U637" t="str">
        <f t="shared" si="79"/>
        <v>Normal</v>
      </c>
      <c r="V637" t="s">
        <v>102</v>
      </c>
    </row>
    <row r="638" spans="1:22">
      <c r="A638" t="s">
        <v>1081</v>
      </c>
      <c r="B638" s="10">
        <v>43045.694108796299</v>
      </c>
      <c r="C638" s="10">
        <v>43046.066840277781</v>
      </c>
      <c r="D638" s="10">
        <v>43048.832303240742</v>
      </c>
      <c r="E638" s="10">
        <v>43070.902175925927</v>
      </c>
      <c r="F638" s="10">
        <v>43073</v>
      </c>
      <c r="G638" t="s">
        <v>474</v>
      </c>
      <c r="H638" t="s">
        <v>542</v>
      </c>
      <c r="I638" t="s">
        <v>221</v>
      </c>
      <c r="J638" s="11">
        <v>2</v>
      </c>
      <c r="K638" s="12">
        <v>292</v>
      </c>
      <c r="L638" s="12">
        <v>69.64</v>
      </c>
      <c r="M638" s="13">
        <v>5</v>
      </c>
      <c r="N638" s="13">
        <f t="shared" si="72"/>
        <v>25.208067129628034</v>
      </c>
      <c r="O638" s="13">
        <f t="shared" si="73"/>
        <v>0</v>
      </c>
      <c r="P638" t="str">
        <f t="shared" si="74"/>
        <v>On Time</v>
      </c>
      <c r="Q638" s="13">
        <f t="shared" si="75"/>
        <v>8.9455555555759929</v>
      </c>
      <c r="R638" s="13">
        <f t="shared" si="76"/>
        <v>2.7654629629614647</v>
      </c>
      <c r="S638" s="13">
        <f t="shared" si="77"/>
        <v>22.069872685184237</v>
      </c>
      <c r="T638" t="str">
        <f t="shared" si="78"/>
        <v>On Time/Early</v>
      </c>
      <c r="U638" t="str">
        <f t="shared" si="79"/>
        <v>Normal</v>
      </c>
      <c r="V638" t="s">
        <v>102</v>
      </c>
    </row>
    <row r="639" spans="1:22">
      <c r="A639" t="s">
        <v>1082</v>
      </c>
      <c r="B639" s="10">
        <v>43045.79582175926</v>
      </c>
      <c r="C639" s="10">
        <v>43046.146724537037</v>
      </c>
      <c r="D639" s="10">
        <v>43056.857916666668</v>
      </c>
      <c r="E639" s="10">
        <v>43067.893506944441</v>
      </c>
      <c r="F639" s="10">
        <v>43074</v>
      </c>
      <c r="G639" t="s">
        <v>43</v>
      </c>
      <c r="H639" t="s">
        <v>167</v>
      </c>
      <c r="I639" t="s">
        <v>37</v>
      </c>
      <c r="J639" s="11">
        <v>1</v>
      </c>
      <c r="K639" s="12">
        <v>119.99</v>
      </c>
      <c r="L639" s="12">
        <v>36.5</v>
      </c>
      <c r="M639" s="13">
        <v>3</v>
      </c>
      <c r="N639" s="13">
        <f t="shared" si="72"/>
        <v>22.097685185181035</v>
      </c>
      <c r="O639" s="13">
        <f t="shared" si="73"/>
        <v>0</v>
      </c>
      <c r="P639" t="str">
        <f t="shared" si="74"/>
        <v>On Time</v>
      </c>
      <c r="Q639" s="13">
        <f t="shared" si="75"/>
        <v>8.4216666666325182</v>
      </c>
      <c r="R639" s="13">
        <f t="shared" si="76"/>
        <v>10.711192129630945</v>
      </c>
      <c r="S639" s="13">
        <f t="shared" si="77"/>
        <v>11.035590277773736</v>
      </c>
      <c r="T639" t="str">
        <f t="shared" si="78"/>
        <v>On Time/Early</v>
      </c>
      <c r="U639" t="str">
        <f t="shared" si="79"/>
        <v>Normal</v>
      </c>
      <c r="V639" t="s">
        <v>102</v>
      </c>
    </row>
    <row r="640" spans="1:22">
      <c r="A640" t="s">
        <v>1083</v>
      </c>
      <c r="B640" s="10">
        <v>43045.948645833334</v>
      </c>
      <c r="C640" s="10">
        <v>43046.230810185189</v>
      </c>
      <c r="D640" s="10">
        <v>43046.63722222222</v>
      </c>
      <c r="E640" s="10">
        <v>43047.957314814812</v>
      </c>
      <c r="F640" s="10">
        <v>43056</v>
      </c>
      <c r="G640" t="s">
        <v>8</v>
      </c>
      <c r="H640" t="s">
        <v>140</v>
      </c>
      <c r="I640" t="s">
        <v>112</v>
      </c>
      <c r="J640" s="11">
        <v>1</v>
      </c>
      <c r="K640" s="12">
        <v>69.989999999999995</v>
      </c>
      <c r="L640" s="12">
        <v>9.34</v>
      </c>
      <c r="M640" s="13">
        <v>1</v>
      </c>
      <c r="N640" s="13">
        <f t="shared" si="72"/>
        <v>2.0086689814779675</v>
      </c>
      <c r="O640" s="13">
        <f t="shared" si="73"/>
        <v>0</v>
      </c>
      <c r="P640" t="str">
        <f t="shared" si="74"/>
        <v>On Time</v>
      </c>
      <c r="Q640" s="13">
        <f t="shared" si="75"/>
        <v>6.7719444445101544</v>
      </c>
      <c r="R640" s="13">
        <f t="shared" si="76"/>
        <v>0.40641203703125939</v>
      </c>
      <c r="S640" s="13">
        <f t="shared" si="77"/>
        <v>1.3200925925921183</v>
      </c>
      <c r="T640" t="str">
        <f t="shared" si="78"/>
        <v>On Time/Early</v>
      </c>
      <c r="U640" t="str">
        <f t="shared" si="79"/>
        <v>Normal</v>
      </c>
      <c r="V640" t="s">
        <v>102</v>
      </c>
    </row>
    <row r="641" spans="1:22">
      <c r="A641" t="s">
        <v>1084</v>
      </c>
      <c r="B641" s="10">
        <v>43046.334027777775</v>
      </c>
      <c r="C641" s="10">
        <v>43046.396481481483</v>
      </c>
      <c r="D641" s="10">
        <v>43047.553194444445</v>
      </c>
      <c r="E641" s="10">
        <v>43057.008900462963</v>
      </c>
      <c r="F641" s="10">
        <v>43067</v>
      </c>
      <c r="G641" t="s">
        <v>36</v>
      </c>
      <c r="H641" t="s">
        <v>467</v>
      </c>
      <c r="I641" t="s">
        <v>185</v>
      </c>
      <c r="J641" s="11">
        <v>1</v>
      </c>
      <c r="K641" s="12">
        <v>147.9</v>
      </c>
      <c r="L641" s="12">
        <v>23.36</v>
      </c>
      <c r="M641" s="13">
        <v>5</v>
      </c>
      <c r="N641" s="13">
        <f t="shared" si="72"/>
        <v>10.674872685187438</v>
      </c>
      <c r="O641" s="13">
        <f t="shared" si="73"/>
        <v>0</v>
      </c>
      <c r="P641" t="str">
        <f t="shared" si="74"/>
        <v>On Time</v>
      </c>
      <c r="Q641" s="13">
        <f t="shared" si="75"/>
        <v>1.4988888889783993</v>
      </c>
      <c r="R641" s="13">
        <f t="shared" si="76"/>
        <v>1.1567129629620467</v>
      </c>
      <c r="S641" s="13">
        <f t="shared" si="77"/>
        <v>9.455706018517958</v>
      </c>
      <c r="T641" t="str">
        <f t="shared" si="78"/>
        <v>On Time/Early</v>
      </c>
      <c r="U641" t="str">
        <f t="shared" si="79"/>
        <v>Normal</v>
      </c>
      <c r="V641" t="s">
        <v>102</v>
      </c>
    </row>
    <row r="642" spans="1:22">
      <c r="A642" t="s">
        <v>1085</v>
      </c>
      <c r="B642" s="10">
        <v>43046.644756944443</v>
      </c>
      <c r="C642" s="10">
        <v>43047.143506944441</v>
      </c>
      <c r="D642" s="10">
        <v>43049.846261574072</v>
      </c>
      <c r="E642" s="10">
        <v>43055.899004629631</v>
      </c>
      <c r="F642" s="10">
        <v>43073</v>
      </c>
      <c r="G642" t="s">
        <v>8</v>
      </c>
      <c r="H642" t="s">
        <v>182</v>
      </c>
      <c r="I642" t="s">
        <v>221</v>
      </c>
      <c r="J642" s="11">
        <v>1</v>
      </c>
      <c r="K642" s="12">
        <v>39.9</v>
      </c>
      <c r="L642" s="12">
        <v>15.1</v>
      </c>
      <c r="M642" s="13">
        <v>5</v>
      </c>
      <c r="N642" s="13">
        <f t="shared" ref="N642:N705" si="80">IFERROR(E642-B642,"")</f>
        <v>9.2542476851886022</v>
      </c>
      <c r="O642" s="13">
        <f t="shared" ref="O642:O705" si="81">IFERROR(MAX(0,E642-F642),"")</f>
        <v>0</v>
      </c>
      <c r="P642" t="str">
        <f t="shared" ref="P642:P705" si="82">IF(O642&gt;0,"Delayed","On Time")</f>
        <v>On Time</v>
      </c>
      <c r="Q642" s="13">
        <f t="shared" ref="Q642:Q705" si="83">IFERROR((C642-B642)*24,"")</f>
        <v>11.96999999997206</v>
      </c>
      <c r="R642" s="13">
        <f t="shared" ref="R642:R705" si="84">IFERROR(D642-C642,"")</f>
        <v>2.7027546296303626</v>
      </c>
      <c r="S642" s="13">
        <f t="shared" ref="S642:S705" si="85">IFERROR(E642-D642,"")</f>
        <v>6.0527430555594037</v>
      </c>
      <c r="T642" t="str">
        <f t="shared" ref="T642:T705" si="86">IF(O642=0,"On Time/Early",IF(O642&lt;=3,"1-3 Days Late",IF(O642&lt;=7,"4-7 Days Late","8+ Days Late")))</f>
        <v>On Time/Early</v>
      </c>
      <c r="U642" t="str">
        <f t="shared" ref="U642:U705" si="87">IF(P642="Delayed","Needs Review","Normal")</f>
        <v>Normal</v>
      </c>
      <c r="V642" t="s">
        <v>102</v>
      </c>
    </row>
    <row r="643" spans="1:22">
      <c r="A643" t="s">
        <v>1086</v>
      </c>
      <c r="B643" s="10">
        <v>43046.66133101852</v>
      </c>
      <c r="C643" s="10">
        <v>43046.672199074077</v>
      </c>
      <c r="D643" s="10">
        <v>43048.797083333331</v>
      </c>
      <c r="E643" s="10">
        <v>43059.728136574071</v>
      </c>
      <c r="F643" s="10">
        <v>43075</v>
      </c>
      <c r="G643" t="s">
        <v>33</v>
      </c>
      <c r="H643" t="s">
        <v>356</v>
      </c>
      <c r="I643" t="s">
        <v>1087</v>
      </c>
      <c r="J643" s="11">
        <v>1</v>
      </c>
      <c r="K643" s="12">
        <v>31.62</v>
      </c>
      <c r="L643" s="12">
        <v>15.1</v>
      </c>
      <c r="M643" s="13">
        <v>3</v>
      </c>
      <c r="N643" s="13">
        <f t="shared" si="80"/>
        <v>13.066805555550673</v>
      </c>
      <c r="O643" s="13">
        <f t="shared" si="81"/>
        <v>0</v>
      </c>
      <c r="P643" t="str">
        <f t="shared" si="82"/>
        <v>On Time</v>
      </c>
      <c r="Q643" s="13">
        <f t="shared" si="83"/>
        <v>0.26083333336282521</v>
      </c>
      <c r="R643" s="13">
        <f t="shared" si="84"/>
        <v>2.1248842592540313</v>
      </c>
      <c r="S643" s="13">
        <f t="shared" si="85"/>
        <v>10.931053240739857</v>
      </c>
      <c r="T643" t="str">
        <f t="shared" si="86"/>
        <v>On Time/Early</v>
      </c>
      <c r="U643" t="str">
        <f t="shared" si="87"/>
        <v>Normal</v>
      </c>
      <c r="V643" t="s">
        <v>102</v>
      </c>
    </row>
    <row r="644" spans="1:22">
      <c r="A644" t="s">
        <v>1088</v>
      </c>
      <c r="B644" s="10">
        <v>43046.712488425925</v>
      </c>
      <c r="C644" s="10">
        <v>43046.719641203701</v>
      </c>
      <c r="D644" s="10">
        <v>43049.852071759262</v>
      </c>
      <c r="E644" s="10">
        <v>43060.620833333334</v>
      </c>
      <c r="F644" s="10">
        <v>43073</v>
      </c>
      <c r="G644" t="s">
        <v>36</v>
      </c>
      <c r="H644" t="s">
        <v>1089</v>
      </c>
      <c r="I644" t="s">
        <v>128</v>
      </c>
      <c r="J644" s="11">
        <v>2</v>
      </c>
      <c r="K644" s="12">
        <v>119.8</v>
      </c>
      <c r="L644" s="12">
        <v>35.340000000000003</v>
      </c>
      <c r="M644" s="13">
        <v>5</v>
      </c>
      <c r="N644" s="13">
        <f t="shared" si="80"/>
        <v>13.908344907409628</v>
      </c>
      <c r="O644" s="13">
        <f t="shared" si="81"/>
        <v>0</v>
      </c>
      <c r="P644" t="str">
        <f t="shared" si="82"/>
        <v>On Time</v>
      </c>
      <c r="Q644" s="13">
        <f t="shared" si="83"/>
        <v>0.17166666663251817</v>
      </c>
      <c r="R644" s="13">
        <f t="shared" si="84"/>
        <v>3.1324305555608589</v>
      </c>
      <c r="S644" s="13">
        <f t="shared" si="85"/>
        <v>10.768761574072414</v>
      </c>
      <c r="T644" t="str">
        <f t="shared" si="86"/>
        <v>On Time/Early</v>
      </c>
      <c r="U644" t="str">
        <f t="shared" si="87"/>
        <v>Normal</v>
      </c>
      <c r="V644" t="s">
        <v>102</v>
      </c>
    </row>
    <row r="645" spans="1:22">
      <c r="A645" t="s">
        <v>1090</v>
      </c>
      <c r="B645" s="10">
        <v>43046.840694444443</v>
      </c>
      <c r="C645" s="10">
        <v>43046.851585648146</v>
      </c>
      <c r="D645" s="10">
        <v>43047.716203703705</v>
      </c>
      <c r="E645" s="10">
        <v>43052.742569444446</v>
      </c>
      <c r="F645" s="10">
        <v>43068</v>
      </c>
      <c r="G645" t="s">
        <v>16</v>
      </c>
      <c r="H645" t="s">
        <v>559</v>
      </c>
      <c r="I645" t="s">
        <v>141</v>
      </c>
      <c r="J645" s="11">
        <v>1</v>
      </c>
      <c r="K645" s="12">
        <v>79.900000000000006</v>
      </c>
      <c r="L645" s="12">
        <v>17.809999999999999</v>
      </c>
      <c r="M645" s="13">
        <v>5</v>
      </c>
      <c r="N645" s="13">
        <f t="shared" si="80"/>
        <v>5.9018750000032014</v>
      </c>
      <c r="O645" s="13">
        <f t="shared" si="81"/>
        <v>0</v>
      </c>
      <c r="P645" t="str">
        <f t="shared" si="82"/>
        <v>On Time</v>
      </c>
      <c r="Q645" s="13">
        <f t="shared" si="83"/>
        <v>0.26138888887362555</v>
      </c>
      <c r="R645" s="13">
        <f t="shared" si="84"/>
        <v>0.86461805555882165</v>
      </c>
      <c r="S645" s="13">
        <f t="shared" si="85"/>
        <v>5.026365740741312</v>
      </c>
      <c r="T645" t="str">
        <f t="shared" si="86"/>
        <v>On Time/Early</v>
      </c>
      <c r="U645" t="str">
        <f t="shared" si="87"/>
        <v>Normal</v>
      </c>
      <c r="V645" t="s">
        <v>102</v>
      </c>
    </row>
    <row r="646" spans="1:22">
      <c r="A646" t="s">
        <v>1091</v>
      </c>
      <c r="B646" s="10">
        <v>43046.896678240744</v>
      </c>
      <c r="C646" s="10">
        <v>43046.910729166666</v>
      </c>
      <c r="D646" s="10">
        <v>43047.816412037035</v>
      </c>
      <c r="E646" s="10">
        <v>43062.843113425923</v>
      </c>
      <c r="F646" s="10">
        <v>43073</v>
      </c>
      <c r="G646" t="s">
        <v>16</v>
      </c>
      <c r="H646" t="s">
        <v>138</v>
      </c>
      <c r="I646" t="s">
        <v>136</v>
      </c>
      <c r="J646" s="11">
        <v>1</v>
      </c>
      <c r="K646" s="12">
        <v>149.9</v>
      </c>
      <c r="L646" s="12">
        <v>17.62</v>
      </c>
      <c r="M646" s="13">
        <v>5</v>
      </c>
      <c r="N646" s="13">
        <f t="shared" si="80"/>
        <v>15.946435185178416</v>
      </c>
      <c r="O646" s="13">
        <f t="shared" si="81"/>
        <v>0</v>
      </c>
      <c r="P646" t="str">
        <f t="shared" si="82"/>
        <v>On Time</v>
      </c>
      <c r="Q646" s="13">
        <f t="shared" si="83"/>
        <v>0.33722222212236375</v>
      </c>
      <c r="R646" s="13">
        <f t="shared" si="84"/>
        <v>0.90568287036876427</v>
      </c>
      <c r="S646" s="13">
        <f t="shared" si="85"/>
        <v>15.026701388887886</v>
      </c>
      <c r="T646" t="str">
        <f t="shared" si="86"/>
        <v>On Time/Early</v>
      </c>
      <c r="U646" t="str">
        <f t="shared" si="87"/>
        <v>Normal</v>
      </c>
      <c r="V646" t="s">
        <v>102</v>
      </c>
    </row>
    <row r="647" spans="1:22">
      <c r="A647" t="s">
        <v>1092</v>
      </c>
      <c r="B647" s="10">
        <v>43046.952210648145</v>
      </c>
      <c r="C647" s="10">
        <v>43046.962719907409</v>
      </c>
      <c r="D647" s="10">
        <v>43055.697569444441</v>
      </c>
      <c r="E647" s="10">
        <v>43060.888182870367</v>
      </c>
      <c r="F647" s="10">
        <v>43066</v>
      </c>
      <c r="G647" t="s">
        <v>8</v>
      </c>
      <c r="H647" t="s">
        <v>140</v>
      </c>
      <c r="I647" t="s">
        <v>58</v>
      </c>
      <c r="J647" s="11">
        <v>1</v>
      </c>
      <c r="K647" s="12">
        <v>99</v>
      </c>
      <c r="L647" s="12">
        <v>12.19</v>
      </c>
      <c r="M647" s="13">
        <v>3</v>
      </c>
      <c r="N647" s="13">
        <f t="shared" si="80"/>
        <v>13.935972222221608</v>
      </c>
      <c r="O647" s="13">
        <f t="shared" si="81"/>
        <v>0</v>
      </c>
      <c r="P647" t="str">
        <f t="shared" si="82"/>
        <v>On Time</v>
      </c>
      <c r="Q647" s="13">
        <f t="shared" si="83"/>
        <v>0.25222222233423963</v>
      </c>
      <c r="R647" s="13">
        <f t="shared" si="84"/>
        <v>8.7348495370315504</v>
      </c>
      <c r="S647" s="13">
        <f t="shared" si="85"/>
        <v>5.1906134259261307</v>
      </c>
      <c r="T647" t="str">
        <f t="shared" si="86"/>
        <v>On Time/Early</v>
      </c>
      <c r="U647" t="str">
        <f t="shared" si="87"/>
        <v>Normal</v>
      </c>
      <c r="V647" t="s">
        <v>102</v>
      </c>
    </row>
    <row r="648" spans="1:22">
      <c r="A648" t="s">
        <v>1093</v>
      </c>
      <c r="B648" s="10">
        <v>43047.612951388888</v>
      </c>
      <c r="C648" s="10">
        <v>43047.618634259263</v>
      </c>
      <c r="D648" s="10">
        <v>43049.675659722219</v>
      </c>
      <c r="E648" s="10">
        <v>43060.929861111108</v>
      </c>
      <c r="F648" s="10">
        <v>43068</v>
      </c>
      <c r="G648" t="s">
        <v>8</v>
      </c>
      <c r="H648" t="s">
        <v>1094</v>
      </c>
      <c r="I648" t="s">
        <v>101</v>
      </c>
      <c r="J648" s="11">
        <v>1</v>
      </c>
      <c r="K648" s="12">
        <v>38.4</v>
      </c>
      <c r="L648" s="12">
        <v>12.69</v>
      </c>
      <c r="M648" s="13">
        <v>1</v>
      </c>
      <c r="N648" s="13">
        <f t="shared" si="80"/>
        <v>13.316909722219862</v>
      </c>
      <c r="O648" s="13">
        <f t="shared" si="81"/>
        <v>0</v>
      </c>
      <c r="P648" t="str">
        <f t="shared" si="82"/>
        <v>On Time</v>
      </c>
      <c r="Q648" s="13">
        <f t="shared" si="83"/>
        <v>0.13638888899004087</v>
      </c>
      <c r="R648" s="13">
        <f t="shared" si="84"/>
        <v>2.057025462956517</v>
      </c>
      <c r="S648" s="13">
        <f t="shared" si="85"/>
        <v>11.25420138888876</v>
      </c>
      <c r="T648" t="str">
        <f t="shared" si="86"/>
        <v>On Time/Early</v>
      </c>
      <c r="U648" t="str">
        <f t="shared" si="87"/>
        <v>Normal</v>
      </c>
      <c r="V648" t="s">
        <v>102</v>
      </c>
    </row>
    <row r="649" spans="1:22">
      <c r="A649" t="s">
        <v>1095</v>
      </c>
      <c r="B649" s="10">
        <v>43047.675416666665</v>
      </c>
      <c r="C649" s="10">
        <v>43047.688055555554</v>
      </c>
      <c r="D649" s="10">
        <v>43048.638032407405</v>
      </c>
      <c r="E649" s="10">
        <v>43075.533668981479</v>
      </c>
      <c r="F649" s="10">
        <v>43067</v>
      </c>
      <c r="G649" t="s">
        <v>8</v>
      </c>
      <c r="H649" t="s">
        <v>522</v>
      </c>
      <c r="I649" t="s">
        <v>21</v>
      </c>
      <c r="J649" s="11">
        <v>1</v>
      </c>
      <c r="K649" s="12">
        <v>89.9</v>
      </c>
      <c r="L649" s="12">
        <v>13.65</v>
      </c>
      <c r="M649" s="13">
        <v>1</v>
      </c>
      <c r="N649" s="13">
        <f t="shared" si="80"/>
        <v>27.858252314814308</v>
      </c>
      <c r="O649" s="13">
        <f t="shared" si="81"/>
        <v>8.5336689814794227</v>
      </c>
      <c r="P649" t="str">
        <f t="shared" si="82"/>
        <v>Delayed</v>
      </c>
      <c r="Q649" s="13">
        <f t="shared" si="83"/>
        <v>0.30333333334419876</v>
      </c>
      <c r="R649" s="13">
        <f t="shared" si="84"/>
        <v>0.94997685185080627</v>
      </c>
      <c r="S649" s="13">
        <f t="shared" si="85"/>
        <v>26.89563657407416</v>
      </c>
      <c r="T649" t="str">
        <f t="shared" si="86"/>
        <v>8+ Days Late</v>
      </c>
      <c r="U649" t="str">
        <f t="shared" si="87"/>
        <v>Needs Review</v>
      </c>
      <c r="V649" t="s">
        <v>102</v>
      </c>
    </row>
    <row r="650" spans="1:22">
      <c r="A650" t="s">
        <v>1096</v>
      </c>
      <c r="B650" s="10">
        <v>43047.778020833335</v>
      </c>
      <c r="C650" s="10">
        <v>43049.129837962966</v>
      </c>
      <c r="D650" s="10">
        <v>43049.845173611109</v>
      </c>
      <c r="E650" s="10">
        <v>43056.828865740739</v>
      </c>
      <c r="F650" s="10">
        <v>43069</v>
      </c>
      <c r="G650" t="s">
        <v>20</v>
      </c>
      <c r="H650" t="s">
        <v>104</v>
      </c>
      <c r="I650" t="s">
        <v>101</v>
      </c>
      <c r="J650" s="11">
        <v>1</v>
      </c>
      <c r="K650" s="12">
        <v>149.9</v>
      </c>
      <c r="L650" s="12">
        <v>17.53</v>
      </c>
      <c r="M650" s="13">
        <v>5</v>
      </c>
      <c r="N650" s="13">
        <f t="shared" si="80"/>
        <v>9.0508449074040982</v>
      </c>
      <c r="O650" s="13">
        <f t="shared" si="81"/>
        <v>0</v>
      </c>
      <c r="P650" t="str">
        <f t="shared" si="82"/>
        <v>On Time</v>
      </c>
      <c r="Q650" s="13">
        <f t="shared" si="83"/>
        <v>32.443611111142673</v>
      </c>
      <c r="R650" s="13">
        <f t="shared" si="84"/>
        <v>0.71533564814308193</v>
      </c>
      <c r="S650" s="13">
        <f t="shared" si="85"/>
        <v>6.9836921296300716</v>
      </c>
      <c r="T650" t="str">
        <f t="shared" si="86"/>
        <v>On Time/Early</v>
      </c>
      <c r="U650" t="str">
        <f t="shared" si="87"/>
        <v>Normal</v>
      </c>
      <c r="V650" t="s">
        <v>102</v>
      </c>
    </row>
    <row r="651" spans="1:22">
      <c r="A651" t="s">
        <v>1097</v>
      </c>
      <c r="B651" s="10">
        <v>43047.800023148149</v>
      </c>
      <c r="C651" s="10">
        <v>43047.854861111111</v>
      </c>
      <c r="D651" s="10">
        <v>43048.872754629629</v>
      </c>
      <c r="E651" s="10">
        <v>43066.655543981484</v>
      </c>
      <c r="F651" s="10">
        <v>43067</v>
      </c>
      <c r="G651" t="s">
        <v>8</v>
      </c>
      <c r="H651" t="s">
        <v>140</v>
      </c>
      <c r="I651" t="s">
        <v>180</v>
      </c>
      <c r="J651" s="11">
        <v>1</v>
      </c>
      <c r="K651" s="12">
        <v>55.6</v>
      </c>
      <c r="L651" s="12">
        <v>12.73</v>
      </c>
      <c r="M651" s="13">
        <v>4</v>
      </c>
      <c r="N651" s="13">
        <f t="shared" si="80"/>
        <v>18.855520833334594</v>
      </c>
      <c r="O651" s="13">
        <f t="shared" si="81"/>
        <v>0</v>
      </c>
      <c r="P651" t="str">
        <f t="shared" si="82"/>
        <v>On Time</v>
      </c>
      <c r="Q651" s="13">
        <f t="shared" si="83"/>
        <v>1.3161111110821366</v>
      </c>
      <c r="R651" s="13">
        <f t="shared" si="84"/>
        <v>1.017893518517667</v>
      </c>
      <c r="S651" s="13">
        <f t="shared" si="85"/>
        <v>17.782789351855172</v>
      </c>
      <c r="T651" t="str">
        <f t="shared" si="86"/>
        <v>On Time/Early</v>
      </c>
      <c r="U651" t="str">
        <f t="shared" si="87"/>
        <v>Normal</v>
      </c>
      <c r="V651" t="s">
        <v>102</v>
      </c>
    </row>
    <row r="652" spans="1:22">
      <c r="A652" t="s">
        <v>1098</v>
      </c>
      <c r="B652" s="10">
        <v>43047.958958333336</v>
      </c>
      <c r="C652" s="10">
        <v>43047.966805555552</v>
      </c>
      <c r="D652" s="10">
        <v>43049.755370370367</v>
      </c>
      <c r="E652" s="10">
        <v>43055.779131944444</v>
      </c>
      <c r="F652" s="10">
        <v>43068</v>
      </c>
      <c r="G652" t="s">
        <v>20</v>
      </c>
      <c r="H652" t="s">
        <v>1047</v>
      </c>
      <c r="I652" t="s">
        <v>101</v>
      </c>
      <c r="J652" s="11">
        <v>1</v>
      </c>
      <c r="K652" s="12">
        <v>99.9</v>
      </c>
      <c r="L652" s="12">
        <v>17.95</v>
      </c>
      <c r="M652" s="13">
        <v>5</v>
      </c>
      <c r="N652" s="13">
        <f t="shared" si="80"/>
        <v>7.820173611107748</v>
      </c>
      <c r="O652" s="13">
        <f t="shared" si="81"/>
        <v>0</v>
      </c>
      <c r="P652" t="str">
        <f t="shared" si="82"/>
        <v>On Time</v>
      </c>
      <c r="Q652" s="13">
        <f t="shared" si="83"/>
        <v>0.18833333317888901</v>
      </c>
      <c r="R652" s="13">
        <f t="shared" si="84"/>
        <v>1.7885648148148903</v>
      </c>
      <c r="S652" s="13">
        <f t="shared" si="85"/>
        <v>6.0237615740770707</v>
      </c>
      <c r="T652" t="str">
        <f t="shared" si="86"/>
        <v>On Time/Early</v>
      </c>
      <c r="U652" t="str">
        <f t="shared" si="87"/>
        <v>Normal</v>
      </c>
      <c r="V652" t="s">
        <v>102</v>
      </c>
    </row>
    <row r="653" spans="1:22">
      <c r="A653" t="s">
        <v>1099</v>
      </c>
      <c r="B653" s="10">
        <v>43048.619467592594</v>
      </c>
      <c r="C653" s="10">
        <v>43048.629976851851</v>
      </c>
      <c r="D653" s="10">
        <v>43049.672118055554</v>
      </c>
      <c r="E653" s="10">
        <v>43060.624363425923</v>
      </c>
      <c r="F653" s="10">
        <v>43070</v>
      </c>
      <c r="G653" t="s">
        <v>20</v>
      </c>
      <c r="H653" t="s">
        <v>1100</v>
      </c>
      <c r="I653" t="s">
        <v>123</v>
      </c>
      <c r="J653" s="11">
        <v>1</v>
      </c>
      <c r="K653" s="12">
        <v>42.9</v>
      </c>
      <c r="L653" s="12">
        <v>16.11</v>
      </c>
      <c r="M653" s="13">
        <v>3</v>
      </c>
      <c r="N653" s="13">
        <f t="shared" si="80"/>
        <v>12.004895833328192</v>
      </c>
      <c r="O653" s="13">
        <f t="shared" si="81"/>
        <v>0</v>
      </c>
      <c r="P653" t="str">
        <f t="shared" si="82"/>
        <v>On Time</v>
      </c>
      <c r="Q653" s="13">
        <f t="shared" si="83"/>
        <v>0.25222222215961665</v>
      </c>
      <c r="R653" s="13">
        <f t="shared" si="84"/>
        <v>1.0421412037030677</v>
      </c>
      <c r="S653" s="13">
        <f t="shared" si="85"/>
        <v>10.952245370368473</v>
      </c>
      <c r="T653" t="str">
        <f t="shared" si="86"/>
        <v>On Time/Early</v>
      </c>
      <c r="U653" t="str">
        <f t="shared" si="87"/>
        <v>Normal</v>
      </c>
      <c r="V653" t="s">
        <v>102</v>
      </c>
    </row>
    <row r="654" spans="1:22">
      <c r="A654" t="s">
        <v>1101</v>
      </c>
      <c r="B654" s="10">
        <v>43048.706655092596</v>
      </c>
      <c r="C654" s="10">
        <v>43048.715983796297</v>
      </c>
      <c r="D654" s="10">
        <v>43049.862407407411</v>
      </c>
      <c r="E654" s="10">
        <v>43052.933935185189</v>
      </c>
      <c r="F654" s="10">
        <v>43062</v>
      </c>
      <c r="G654" t="s">
        <v>8</v>
      </c>
      <c r="H654" t="s">
        <v>418</v>
      </c>
      <c r="I654" t="s">
        <v>279</v>
      </c>
      <c r="J654" s="11">
        <v>1</v>
      </c>
      <c r="K654" s="12">
        <v>49</v>
      </c>
      <c r="L654" s="12">
        <v>7.78</v>
      </c>
      <c r="M654" s="13">
        <v>4</v>
      </c>
      <c r="N654" s="13">
        <f t="shared" si="80"/>
        <v>4.2272800925929914</v>
      </c>
      <c r="O654" s="13">
        <f t="shared" si="81"/>
        <v>0</v>
      </c>
      <c r="P654" t="str">
        <f t="shared" si="82"/>
        <v>On Time</v>
      </c>
      <c r="Q654" s="13">
        <f t="shared" si="83"/>
        <v>0.22388888883870095</v>
      </c>
      <c r="R654" s="13">
        <f t="shared" si="84"/>
        <v>1.1464236111132777</v>
      </c>
      <c r="S654" s="13">
        <f t="shared" si="85"/>
        <v>3.0715277777781012</v>
      </c>
      <c r="T654" t="str">
        <f t="shared" si="86"/>
        <v>On Time/Early</v>
      </c>
      <c r="U654" t="str">
        <f t="shared" si="87"/>
        <v>Normal</v>
      </c>
      <c r="V654" t="s">
        <v>102</v>
      </c>
    </row>
    <row r="655" spans="1:22">
      <c r="A655" t="s">
        <v>1102</v>
      </c>
      <c r="B655" s="10">
        <v>43048.719884259262</v>
      </c>
      <c r="C655" s="10">
        <v>43048.73</v>
      </c>
      <c r="D655" s="10">
        <v>43055.592939814815</v>
      </c>
      <c r="E655" s="10">
        <v>43062.864861111113</v>
      </c>
      <c r="F655" s="10">
        <v>43070</v>
      </c>
      <c r="G655" t="s">
        <v>8</v>
      </c>
      <c r="H655" t="s">
        <v>605</v>
      </c>
      <c r="I655" t="s">
        <v>34</v>
      </c>
      <c r="J655" s="11">
        <v>1</v>
      </c>
      <c r="K655" s="12">
        <v>59.9</v>
      </c>
      <c r="L655" s="12">
        <v>15.18</v>
      </c>
      <c r="M655" s="13">
        <v>4</v>
      </c>
      <c r="N655" s="13">
        <f t="shared" si="80"/>
        <v>14.144976851850515</v>
      </c>
      <c r="O655" s="13">
        <f t="shared" si="81"/>
        <v>0</v>
      </c>
      <c r="P655" t="str">
        <f t="shared" si="82"/>
        <v>On Time</v>
      </c>
      <c r="Q655" s="13">
        <f t="shared" si="83"/>
        <v>0.24277777777751908</v>
      </c>
      <c r="R655" s="13">
        <f t="shared" si="84"/>
        <v>6.8629398148113978</v>
      </c>
      <c r="S655" s="13">
        <f t="shared" si="85"/>
        <v>7.2719212962983875</v>
      </c>
      <c r="T655" t="str">
        <f t="shared" si="86"/>
        <v>On Time/Early</v>
      </c>
      <c r="U655" t="str">
        <f t="shared" si="87"/>
        <v>Normal</v>
      </c>
      <c r="V655" t="s">
        <v>102</v>
      </c>
    </row>
    <row r="656" spans="1:22">
      <c r="A656" t="s">
        <v>1103</v>
      </c>
      <c r="B656" s="10">
        <v>43048.861944444441</v>
      </c>
      <c r="C656" s="10">
        <v>43048.87222222222</v>
      </c>
      <c r="D656" s="10">
        <v>43053.942858796298</v>
      </c>
      <c r="E656" s="10">
        <v>43059.593402777777</v>
      </c>
      <c r="F656" s="10">
        <v>43068</v>
      </c>
      <c r="G656" t="s">
        <v>8</v>
      </c>
      <c r="H656" t="s">
        <v>605</v>
      </c>
      <c r="I656" t="s">
        <v>368</v>
      </c>
      <c r="J656" s="11">
        <v>1</v>
      </c>
      <c r="K656" s="12">
        <v>79</v>
      </c>
      <c r="L656" s="12">
        <v>13.57</v>
      </c>
      <c r="M656" s="13">
        <v>4</v>
      </c>
      <c r="N656" s="13">
        <f t="shared" si="80"/>
        <v>10.731458333335468</v>
      </c>
      <c r="O656" s="13">
        <f t="shared" si="81"/>
        <v>0</v>
      </c>
      <c r="P656" t="str">
        <f t="shared" si="82"/>
        <v>On Time</v>
      </c>
      <c r="Q656" s="13">
        <f t="shared" si="83"/>
        <v>0.24666666670236737</v>
      </c>
      <c r="R656" s="13">
        <f t="shared" si="84"/>
        <v>5.0706365740770707</v>
      </c>
      <c r="S656" s="13">
        <f t="shared" si="85"/>
        <v>5.6505439814791316</v>
      </c>
      <c r="T656" t="str">
        <f t="shared" si="86"/>
        <v>On Time/Early</v>
      </c>
      <c r="U656" t="str">
        <f t="shared" si="87"/>
        <v>Normal</v>
      </c>
      <c r="V656" t="s">
        <v>102</v>
      </c>
    </row>
    <row r="657" spans="1:22">
      <c r="A657" t="s">
        <v>1104</v>
      </c>
      <c r="B657" s="10">
        <v>43048.99658564815</v>
      </c>
      <c r="C657" s="10">
        <v>43049.074374999997</v>
      </c>
      <c r="D657" s="10">
        <v>43055.88989583333</v>
      </c>
      <c r="E657" s="10">
        <v>43072.599409722221</v>
      </c>
      <c r="F657" s="10">
        <v>43070</v>
      </c>
      <c r="G657" t="s">
        <v>16</v>
      </c>
      <c r="H657" t="s">
        <v>138</v>
      </c>
      <c r="I657" t="s">
        <v>101</v>
      </c>
      <c r="J657" s="11">
        <v>1</v>
      </c>
      <c r="K657" s="12">
        <v>199</v>
      </c>
      <c r="L657" s="12">
        <v>26.43</v>
      </c>
      <c r="M657" s="13">
        <v>5</v>
      </c>
      <c r="N657" s="13">
        <f t="shared" si="80"/>
        <v>23.602824074070668</v>
      </c>
      <c r="O657" s="13">
        <f t="shared" si="81"/>
        <v>2.5994097222210257</v>
      </c>
      <c r="P657" t="str">
        <f t="shared" si="82"/>
        <v>Delayed</v>
      </c>
      <c r="Q657" s="13">
        <f t="shared" si="83"/>
        <v>1.8669444443075918</v>
      </c>
      <c r="R657" s="13">
        <f t="shared" si="84"/>
        <v>6.8155208333337214</v>
      </c>
      <c r="S657" s="13">
        <f t="shared" si="85"/>
        <v>16.709513888890797</v>
      </c>
      <c r="T657" t="str">
        <f t="shared" si="86"/>
        <v>1-3 Days Late</v>
      </c>
      <c r="U657" t="str">
        <f t="shared" si="87"/>
        <v>Needs Review</v>
      </c>
      <c r="V657" t="s">
        <v>102</v>
      </c>
    </row>
    <row r="658" spans="1:22">
      <c r="A658" t="s">
        <v>1105</v>
      </c>
      <c r="B658" s="10">
        <v>43049.677129629628</v>
      </c>
      <c r="C658" s="10">
        <v>43049.698877314811</v>
      </c>
      <c r="D658" s="10">
        <v>43053.692430555559</v>
      </c>
      <c r="E658" s="10">
        <v>43061.761689814812</v>
      </c>
      <c r="F658" s="10">
        <v>43074</v>
      </c>
      <c r="G658" t="s">
        <v>16</v>
      </c>
      <c r="H658" t="s">
        <v>138</v>
      </c>
      <c r="I658" t="s">
        <v>221</v>
      </c>
      <c r="J658" s="11">
        <v>1</v>
      </c>
      <c r="K658" s="12">
        <v>179</v>
      </c>
      <c r="L658" s="12">
        <v>16</v>
      </c>
      <c r="M658" s="13">
        <v>4</v>
      </c>
      <c r="N658" s="13">
        <f t="shared" si="80"/>
        <v>12.084560185183364</v>
      </c>
      <c r="O658" s="13">
        <f t="shared" si="81"/>
        <v>0</v>
      </c>
      <c r="P658" t="str">
        <f t="shared" si="82"/>
        <v>On Time</v>
      </c>
      <c r="Q658" s="13">
        <f t="shared" si="83"/>
        <v>0.5219444443937391</v>
      </c>
      <c r="R658" s="13">
        <f t="shared" si="84"/>
        <v>3.9935532407471328</v>
      </c>
      <c r="S658" s="13">
        <f t="shared" si="85"/>
        <v>8.0692592592531582</v>
      </c>
      <c r="T658" t="str">
        <f t="shared" si="86"/>
        <v>On Time/Early</v>
      </c>
      <c r="U658" t="str">
        <f t="shared" si="87"/>
        <v>Normal</v>
      </c>
      <c r="V658" t="s">
        <v>102</v>
      </c>
    </row>
    <row r="659" spans="1:22">
      <c r="A659" t="s">
        <v>1106</v>
      </c>
      <c r="B659" s="10">
        <v>43049.910810185182</v>
      </c>
      <c r="C659" s="10">
        <v>43049.921435185184</v>
      </c>
      <c r="D659" s="10">
        <v>43055.737511574072</v>
      </c>
      <c r="E659" s="10">
        <v>43063.966481481482</v>
      </c>
      <c r="F659" s="10">
        <v>43080</v>
      </c>
      <c r="G659" t="s">
        <v>134</v>
      </c>
      <c r="H659" t="s">
        <v>1107</v>
      </c>
      <c r="I659" t="s">
        <v>58</v>
      </c>
      <c r="J659" s="11">
        <v>1</v>
      </c>
      <c r="K659" s="12">
        <v>151.52000000000001</v>
      </c>
      <c r="L659" s="12">
        <v>26.34</v>
      </c>
      <c r="M659" s="13">
        <v>3</v>
      </c>
      <c r="N659" s="13">
        <f t="shared" si="80"/>
        <v>14.055671296300716</v>
      </c>
      <c r="O659" s="13">
        <f t="shared" si="81"/>
        <v>0</v>
      </c>
      <c r="P659" t="str">
        <f t="shared" si="82"/>
        <v>On Time</v>
      </c>
      <c r="Q659" s="13">
        <f t="shared" si="83"/>
        <v>0.25500000006286427</v>
      </c>
      <c r="R659" s="13">
        <f t="shared" si="84"/>
        <v>5.8160763888881775</v>
      </c>
      <c r="S659" s="13">
        <f t="shared" si="85"/>
        <v>8.228969907409919</v>
      </c>
      <c r="T659" t="str">
        <f t="shared" si="86"/>
        <v>On Time/Early</v>
      </c>
      <c r="U659" t="str">
        <f t="shared" si="87"/>
        <v>Normal</v>
      </c>
      <c r="V659" t="s">
        <v>102</v>
      </c>
    </row>
    <row r="660" spans="1:22">
      <c r="A660" t="s">
        <v>1108</v>
      </c>
      <c r="B660" s="10">
        <v>43049.921122685184</v>
      </c>
      <c r="C660" s="10">
        <v>43049.935497685183</v>
      </c>
      <c r="D660" s="10">
        <v>43055.733796296299</v>
      </c>
      <c r="E660" s="10">
        <v>43059.726006944446</v>
      </c>
      <c r="F660" s="10">
        <v>43069</v>
      </c>
      <c r="G660" t="s">
        <v>8</v>
      </c>
      <c r="H660" t="s">
        <v>140</v>
      </c>
      <c r="I660" t="s">
        <v>221</v>
      </c>
      <c r="J660" s="11">
        <v>1</v>
      </c>
      <c r="K660" s="12">
        <v>133</v>
      </c>
      <c r="L660" s="12">
        <v>16.559999999999999</v>
      </c>
      <c r="M660" s="13">
        <v>5</v>
      </c>
      <c r="N660" s="13">
        <f t="shared" si="80"/>
        <v>9.8048842592615983</v>
      </c>
      <c r="O660" s="13">
        <f t="shared" si="81"/>
        <v>0</v>
      </c>
      <c r="P660" t="str">
        <f t="shared" si="82"/>
        <v>On Time</v>
      </c>
      <c r="Q660" s="13">
        <f t="shared" si="83"/>
        <v>0.34499999997206032</v>
      </c>
      <c r="R660" s="13">
        <f t="shared" si="84"/>
        <v>5.7982986111164792</v>
      </c>
      <c r="S660" s="13">
        <f t="shared" si="85"/>
        <v>3.9922106481462833</v>
      </c>
      <c r="T660" t="str">
        <f t="shared" si="86"/>
        <v>On Time/Early</v>
      </c>
      <c r="U660" t="str">
        <f t="shared" si="87"/>
        <v>Normal</v>
      </c>
      <c r="V660" t="s">
        <v>102</v>
      </c>
    </row>
    <row r="661" spans="1:22">
      <c r="A661" t="s">
        <v>1109</v>
      </c>
      <c r="B661" s="10">
        <v>43050.318576388891</v>
      </c>
      <c r="C661" s="10">
        <v>43050.326886574076</v>
      </c>
      <c r="D661" s="10">
        <v>43053.669953703706</v>
      </c>
      <c r="E661" s="10">
        <v>43061.804803240739</v>
      </c>
      <c r="F661" s="10">
        <v>43075</v>
      </c>
      <c r="G661" t="s">
        <v>16</v>
      </c>
      <c r="H661" t="s">
        <v>926</v>
      </c>
      <c r="I661" t="s">
        <v>120</v>
      </c>
      <c r="J661" s="11">
        <v>1</v>
      </c>
      <c r="K661" s="12">
        <v>44.99</v>
      </c>
      <c r="L661" s="12">
        <v>16.11</v>
      </c>
      <c r="M661" s="13">
        <v>4</v>
      </c>
      <c r="N661" s="13">
        <f t="shared" si="80"/>
        <v>11.486226851848187</v>
      </c>
      <c r="O661" s="13">
        <f t="shared" si="81"/>
        <v>0</v>
      </c>
      <c r="P661" t="str">
        <f t="shared" si="82"/>
        <v>On Time</v>
      </c>
      <c r="Q661" s="13">
        <f t="shared" si="83"/>
        <v>0.19944444444263354</v>
      </c>
      <c r="R661" s="13">
        <f t="shared" si="84"/>
        <v>3.3430671296300716</v>
      </c>
      <c r="S661" s="13">
        <f t="shared" si="85"/>
        <v>8.1348495370330056</v>
      </c>
      <c r="T661" t="str">
        <f t="shared" si="86"/>
        <v>On Time/Early</v>
      </c>
      <c r="U661" t="str">
        <f t="shared" si="87"/>
        <v>Normal</v>
      </c>
      <c r="V661" t="s">
        <v>102</v>
      </c>
    </row>
    <row r="662" spans="1:22">
      <c r="A662" t="s">
        <v>1110</v>
      </c>
      <c r="B662" s="10">
        <v>43050.667754629627</v>
      </c>
      <c r="C662" s="10">
        <v>43050.677430555559</v>
      </c>
      <c r="D662" s="10">
        <v>43056.052025462966</v>
      </c>
      <c r="E662" s="10">
        <v>43064.005428240744</v>
      </c>
      <c r="F662" s="10">
        <v>43080</v>
      </c>
      <c r="G662" t="s">
        <v>57</v>
      </c>
      <c r="H662" t="s">
        <v>395</v>
      </c>
      <c r="I662" t="s">
        <v>123</v>
      </c>
      <c r="J662" s="11">
        <v>1</v>
      </c>
      <c r="K662" s="12">
        <v>166.99</v>
      </c>
      <c r="L662" s="12">
        <v>33.619999999999997</v>
      </c>
      <c r="M662" s="13">
        <v>4</v>
      </c>
      <c r="N662" s="13">
        <f t="shared" si="80"/>
        <v>13.33767361111677</v>
      </c>
      <c r="O662" s="13">
        <f t="shared" si="81"/>
        <v>0</v>
      </c>
      <c r="P662" t="str">
        <f t="shared" si="82"/>
        <v>On Time</v>
      </c>
      <c r="Q662" s="13">
        <f t="shared" si="83"/>
        <v>0.23222222237382084</v>
      </c>
      <c r="R662" s="13">
        <f t="shared" si="84"/>
        <v>5.3745949074072996</v>
      </c>
      <c r="S662" s="13">
        <f t="shared" si="85"/>
        <v>7.953402777777228</v>
      </c>
      <c r="T662" t="str">
        <f t="shared" si="86"/>
        <v>On Time/Early</v>
      </c>
      <c r="U662" t="str">
        <f t="shared" si="87"/>
        <v>Normal</v>
      </c>
      <c r="V662" t="s">
        <v>102</v>
      </c>
    </row>
    <row r="663" spans="1:22">
      <c r="A663" t="s">
        <v>1111</v>
      </c>
      <c r="B663" s="10">
        <v>43050.711423611108</v>
      </c>
      <c r="C663" s="10">
        <v>43050.726574074077</v>
      </c>
      <c r="D663" s="10">
        <v>43055.758333333331</v>
      </c>
      <c r="E663" s="10">
        <v>43066.856215277781</v>
      </c>
      <c r="F663" s="10">
        <v>43077</v>
      </c>
      <c r="G663" t="s">
        <v>20</v>
      </c>
      <c r="H663" t="s">
        <v>1112</v>
      </c>
      <c r="I663" t="s">
        <v>368</v>
      </c>
      <c r="J663" s="11">
        <v>1</v>
      </c>
      <c r="K663" s="12">
        <v>99</v>
      </c>
      <c r="L663" s="12">
        <v>16.45</v>
      </c>
      <c r="M663" s="13">
        <v>4</v>
      </c>
      <c r="N663" s="13">
        <f t="shared" si="80"/>
        <v>16.144791666672972</v>
      </c>
      <c r="O663" s="13">
        <f t="shared" si="81"/>
        <v>0</v>
      </c>
      <c r="P663" t="str">
        <f t="shared" si="82"/>
        <v>On Time</v>
      </c>
      <c r="Q663" s="13">
        <f t="shared" si="83"/>
        <v>0.36361111124278978</v>
      </c>
      <c r="R663" s="13">
        <f t="shared" si="84"/>
        <v>5.0317592592546134</v>
      </c>
      <c r="S663" s="13">
        <f t="shared" si="85"/>
        <v>11.097881944449909</v>
      </c>
      <c r="T663" t="str">
        <f t="shared" si="86"/>
        <v>On Time/Early</v>
      </c>
      <c r="U663" t="str">
        <f t="shared" si="87"/>
        <v>Normal</v>
      </c>
      <c r="V663" t="s">
        <v>102</v>
      </c>
    </row>
    <row r="664" spans="1:22">
      <c r="A664" t="s">
        <v>1113</v>
      </c>
      <c r="B664" s="10">
        <v>43051.01321759259</v>
      </c>
      <c r="C664" s="10">
        <v>43051.033136574071</v>
      </c>
      <c r="D664" s="10">
        <v>43055.827384259261</v>
      </c>
      <c r="E664" s="10">
        <v>43076.862696759257</v>
      </c>
      <c r="F664" s="10">
        <v>43098</v>
      </c>
      <c r="G664" t="s">
        <v>306</v>
      </c>
      <c r="H664" t="s">
        <v>307</v>
      </c>
      <c r="I664" t="s">
        <v>120</v>
      </c>
      <c r="J664" s="11">
        <v>1</v>
      </c>
      <c r="K664" s="12">
        <v>277</v>
      </c>
      <c r="L664" s="12">
        <v>48.47</v>
      </c>
      <c r="M664" s="13">
        <v>5</v>
      </c>
      <c r="N664" s="13">
        <f t="shared" si="80"/>
        <v>25.849479166667152</v>
      </c>
      <c r="O664" s="13">
        <f t="shared" si="81"/>
        <v>0</v>
      </c>
      <c r="P664" t="str">
        <f t="shared" si="82"/>
        <v>On Time</v>
      </c>
      <c r="Q664" s="13">
        <f t="shared" si="83"/>
        <v>0.47805555554805323</v>
      </c>
      <c r="R664" s="13">
        <f t="shared" si="84"/>
        <v>4.7942476851894753</v>
      </c>
      <c r="S664" s="13">
        <f t="shared" si="85"/>
        <v>21.035312499996508</v>
      </c>
      <c r="T664" t="str">
        <f t="shared" si="86"/>
        <v>On Time/Early</v>
      </c>
      <c r="U664" t="str">
        <f t="shared" si="87"/>
        <v>Normal</v>
      </c>
      <c r="V664" t="s">
        <v>102</v>
      </c>
    </row>
    <row r="665" spans="1:22">
      <c r="A665" t="s">
        <v>1114</v>
      </c>
      <c r="B665" s="10">
        <v>43051.500127314815</v>
      </c>
      <c r="C665" s="10">
        <v>43051.507627314815</v>
      </c>
      <c r="D665" s="10">
        <v>43053.940775462965</v>
      </c>
      <c r="E665" s="10">
        <v>43061.811493055553</v>
      </c>
      <c r="F665" s="10">
        <v>43075</v>
      </c>
      <c r="G665" t="s">
        <v>20</v>
      </c>
      <c r="H665" t="s">
        <v>1115</v>
      </c>
      <c r="I665" t="s">
        <v>128</v>
      </c>
      <c r="J665" s="11">
        <v>1</v>
      </c>
      <c r="K665" s="12">
        <v>29</v>
      </c>
      <c r="L665" s="12">
        <v>15.1</v>
      </c>
      <c r="M665" s="13">
        <v>5</v>
      </c>
      <c r="N665" s="13">
        <f t="shared" si="80"/>
        <v>10.311365740737529</v>
      </c>
      <c r="O665" s="13">
        <f t="shared" si="81"/>
        <v>0</v>
      </c>
      <c r="P665" t="str">
        <f t="shared" si="82"/>
        <v>On Time</v>
      </c>
      <c r="Q665" s="13">
        <f t="shared" si="83"/>
        <v>0.17999999999301508</v>
      </c>
      <c r="R665" s="13">
        <f t="shared" si="84"/>
        <v>2.4331481481494848</v>
      </c>
      <c r="S665" s="13">
        <f t="shared" si="85"/>
        <v>7.8707175925883348</v>
      </c>
      <c r="T665" t="str">
        <f t="shared" si="86"/>
        <v>On Time/Early</v>
      </c>
      <c r="U665" t="str">
        <f t="shared" si="87"/>
        <v>Normal</v>
      </c>
      <c r="V665" t="s">
        <v>102</v>
      </c>
    </row>
    <row r="666" spans="1:22">
      <c r="A666" t="s">
        <v>1116</v>
      </c>
      <c r="B666" s="10">
        <v>43052.697696759256</v>
      </c>
      <c r="C666" s="10">
        <v>43052.719224537039</v>
      </c>
      <c r="D666" s="10">
        <v>43053.802800925929</v>
      </c>
      <c r="E666" s="10">
        <v>43063.831250000003</v>
      </c>
      <c r="F666" s="10">
        <v>43077</v>
      </c>
      <c r="G666" t="s">
        <v>20</v>
      </c>
      <c r="H666" t="s">
        <v>1117</v>
      </c>
      <c r="I666" t="s">
        <v>368</v>
      </c>
      <c r="J666" s="11">
        <v>1</v>
      </c>
      <c r="K666" s="12">
        <v>34.229999999999997</v>
      </c>
      <c r="L666" s="12">
        <v>17.920000000000002</v>
      </c>
      <c r="M666" s="13">
        <v>5</v>
      </c>
      <c r="N666" s="13">
        <f t="shared" si="80"/>
        <v>11.133553240746551</v>
      </c>
      <c r="O666" s="13">
        <f t="shared" si="81"/>
        <v>0</v>
      </c>
      <c r="P666" t="str">
        <f t="shared" si="82"/>
        <v>On Time</v>
      </c>
      <c r="Q666" s="13">
        <f t="shared" si="83"/>
        <v>0.51666666677920148</v>
      </c>
      <c r="R666" s="13">
        <f t="shared" si="84"/>
        <v>1.0835763888899237</v>
      </c>
      <c r="S666" s="13">
        <f t="shared" si="85"/>
        <v>10.02844907407416</v>
      </c>
      <c r="T666" t="str">
        <f t="shared" si="86"/>
        <v>On Time/Early</v>
      </c>
      <c r="U666" t="str">
        <f t="shared" si="87"/>
        <v>Normal</v>
      </c>
      <c r="V666" t="s">
        <v>102</v>
      </c>
    </row>
    <row r="667" spans="1:22">
      <c r="A667" t="s">
        <v>1118</v>
      </c>
      <c r="B667" s="10">
        <v>43052.764027777775</v>
      </c>
      <c r="C667" s="10">
        <v>43052.771608796298</v>
      </c>
      <c r="D667" s="10">
        <v>43053.702743055554</v>
      </c>
      <c r="E667" s="10">
        <v>43062.819178240738</v>
      </c>
      <c r="F667" s="10">
        <v>43066</v>
      </c>
      <c r="G667" t="s">
        <v>16</v>
      </c>
      <c r="H667" t="s">
        <v>138</v>
      </c>
      <c r="I667" t="s">
        <v>143</v>
      </c>
      <c r="J667" s="11">
        <v>1</v>
      </c>
      <c r="K667" s="12">
        <v>369.9</v>
      </c>
      <c r="L667" s="12">
        <v>12</v>
      </c>
      <c r="M667" s="13">
        <v>5</v>
      </c>
      <c r="N667" s="13">
        <f t="shared" si="80"/>
        <v>10.055150462962047</v>
      </c>
      <c r="O667" s="13">
        <f t="shared" si="81"/>
        <v>0</v>
      </c>
      <c r="P667" t="str">
        <f t="shared" si="82"/>
        <v>On Time</v>
      </c>
      <c r="Q667" s="13">
        <f t="shared" si="83"/>
        <v>0.18194444454275072</v>
      </c>
      <c r="R667" s="13">
        <f t="shared" si="84"/>
        <v>0.93113425925548654</v>
      </c>
      <c r="S667" s="13">
        <f t="shared" si="85"/>
        <v>9.1164351851839456</v>
      </c>
      <c r="T667" t="str">
        <f t="shared" si="86"/>
        <v>On Time/Early</v>
      </c>
      <c r="U667" t="str">
        <f t="shared" si="87"/>
        <v>Normal</v>
      </c>
      <c r="V667" t="s">
        <v>102</v>
      </c>
    </row>
    <row r="668" spans="1:22">
      <c r="A668" t="s">
        <v>1119</v>
      </c>
      <c r="B668" s="10">
        <v>43052.976111111115</v>
      </c>
      <c r="C668" s="10">
        <v>43052.983437499999</v>
      </c>
      <c r="D668" s="10">
        <v>43055.753217592595</v>
      </c>
      <c r="E668" s="10">
        <v>43066.793645833335</v>
      </c>
      <c r="F668" s="10">
        <v>43073</v>
      </c>
      <c r="G668" t="s">
        <v>16</v>
      </c>
      <c r="H668" t="s">
        <v>138</v>
      </c>
      <c r="I668" t="s">
        <v>120</v>
      </c>
      <c r="J668" s="11">
        <v>1</v>
      </c>
      <c r="K668" s="12">
        <v>93</v>
      </c>
      <c r="L668" s="12">
        <v>15.4</v>
      </c>
      <c r="M668" s="13">
        <v>5</v>
      </c>
      <c r="N668" s="13">
        <f t="shared" si="80"/>
        <v>13.817534722220444</v>
      </c>
      <c r="O668" s="13">
        <f t="shared" si="81"/>
        <v>0</v>
      </c>
      <c r="P668" t="str">
        <f t="shared" si="82"/>
        <v>On Time</v>
      </c>
      <c r="Q668" s="13">
        <f t="shared" si="83"/>
        <v>0.17583333322545514</v>
      </c>
      <c r="R668" s="13">
        <f t="shared" si="84"/>
        <v>2.7697800925961928</v>
      </c>
      <c r="S668" s="13">
        <f t="shared" si="85"/>
        <v>11.040428240739857</v>
      </c>
      <c r="T668" t="str">
        <f t="shared" si="86"/>
        <v>On Time/Early</v>
      </c>
      <c r="U668" t="str">
        <f t="shared" si="87"/>
        <v>Normal</v>
      </c>
      <c r="V668" t="s">
        <v>102</v>
      </c>
    </row>
    <row r="669" spans="1:22">
      <c r="A669" t="s">
        <v>1120</v>
      </c>
      <c r="B669" s="10">
        <v>43053.540509259263</v>
      </c>
      <c r="C669" s="10">
        <v>43056.177511574075</v>
      </c>
      <c r="D669" s="10">
        <v>43056.860243055555</v>
      </c>
      <c r="E669" s="10">
        <v>43066.720347222225</v>
      </c>
      <c r="F669" s="10">
        <v>43082</v>
      </c>
      <c r="G669" t="s">
        <v>30</v>
      </c>
      <c r="H669" t="s">
        <v>729</v>
      </c>
      <c r="I669" t="s">
        <v>112</v>
      </c>
      <c r="J669" s="11">
        <v>1</v>
      </c>
      <c r="K669" s="12">
        <v>597.9</v>
      </c>
      <c r="L669" s="12">
        <v>21.44</v>
      </c>
      <c r="M669" s="13">
        <v>4</v>
      </c>
      <c r="N669" s="13">
        <f t="shared" si="80"/>
        <v>13.179837962961756</v>
      </c>
      <c r="O669" s="13">
        <f t="shared" si="81"/>
        <v>0</v>
      </c>
      <c r="P669" t="str">
        <f t="shared" si="82"/>
        <v>On Time</v>
      </c>
      <c r="Q669" s="13">
        <f t="shared" si="83"/>
        <v>63.288055555487517</v>
      </c>
      <c r="R669" s="13">
        <f t="shared" si="84"/>
        <v>0.68273148148000473</v>
      </c>
      <c r="S669" s="13">
        <f t="shared" si="85"/>
        <v>9.8601041666697711</v>
      </c>
      <c r="T669" t="str">
        <f t="shared" si="86"/>
        <v>On Time/Early</v>
      </c>
      <c r="U669" t="str">
        <f t="shared" si="87"/>
        <v>Normal</v>
      </c>
      <c r="V669" t="s">
        <v>102</v>
      </c>
    </row>
    <row r="670" spans="1:22">
      <c r="A670" t="s">
        <v>1121</v>
      </c>
      <c r="B670" s="10">
        <v>43053.729849537034</v>
      </c>
      <c r="C670" s="10">
        <v>43053.740532407406</v>
      </c>
      <c r="D670" s="10">
        <v>43055.651145833333</v>
      </c>
      <c r="E670" s="10">
        <v>43060.846261574072</v>
      </c>
      <c r="F670" s="10">
        <v>43073</v>
      </c>
      <c r="G670" t="s">
        <v>8</v>
      </c>
      <c r="H670" t="s">
        <v>140</v>
      </c>
      <c r="I670" t="s">
        <v>34</v>
      </c>
      <c r="J670" s="11">
        <v>1</v>
      </c>
      <c r="K670" s="12">
        <v>26.9</v>
      </c>
      <c r="L670" s="12">
        <v>14.1</v>
      </c>
      <c r="M670" s="13">
        <v>5</v>
      </c>
      <c r="N670" s="13">
        <f t="shared" si="80"/>
        <v>7.1164120370376622</v>
      </c>
      <c r="O670" s="13">
        <f t="shared" si="81"/>
        <v>0</v>
      </c>
      <c r="P670" t="str">
        <f t="shared" si="82"/>
        <v>On Time</v>
      </c>
      <c r="Q670" s="13">
        <f t="shared" si="83"/>
        <v>0.25638888892717659</v>
      </c>
      <c r="R670" s="13">
        <f t="shared" si="84"/>
        <v>1.9106134259272949</v>
      </c>
      <c r="S670" s="13">
        <f t="shared" si="85"/>
        <v>5.1951157407384017</v>
      </c>
      <c r="T670" t="str">
        <f t="shared" si="86"/>
        <v>On Time/Early</v>
      </c>
      <c r="U670" t="str">
        <f t="shared" si="87"/>
        <v>Normal</v>
      </c>
      <c r="V670" t="s">
        <v>102</v>
      </c>
    </row>
    <row r="671" spans="1:22">
      <c r="A671" t="s">
        <v>1122</v>
      </c>
      <c r="B671" s="10">
        <v>43054.577766203707</v>
      </c>
      <c r="C671" s="10">
        <v>43056.149699074071</v>
      </c>
      <c r="D671" s="10">
        <v>43056.710115740738</v>
      </c>
      <c r="E671" s="10">
        <v>43067.783726851849</v>
      </c>
      <c r="F671" s="10">
        <v>43076</v>
      </c>
      <c r="G671" t="s">
        <v>20</v>
      </c>
      <c r="H671" t="s">
        <v>104</v>
      </c>
      <c r="I671" t="s">
        <v>141</v>
      </c>
      <c r="J671" s="11">
        <v>1</v>
      </c>
      <c r="K671" s="12">
        <v>29.9</v>
      </c>
      <c r="L671" s="12">
        <v>15.11</v>
      </c>
      <c r="M671" s="13">
        <v>4</v>
      </c>
      <c r="N671" s="13">
        <f t="shared" si="80"/>
        <v>13.205960648141627</v>
      </c>
      <c r="O671" s="13">
        <f t="shared" si="81"/>
        <v>0</v>
      </c>
      <c r="P671" t="str">
        <f t="shared" si="82"/>
        <v>On Time</v>
      </c>
      <c r="Q671" s="13">
        <f t="shared" si="83"/>
        <v>37.726388888724614</v>
      </c>
      <c r="R671" s="13">
        <f t="shared" si="84"/>
        <v>0.56041666666715173</v>
      </c>
      <c r="S671" s="13">
        <f t="shared" si="85"/>
        <v>11.073611111110949</v>
      </c>
      <c r="T671" t="str">
        <f t="shared" si="86"/>
        <v>On Time/Early</v>
      </c>
      <c r="U671" t="str">
        <f t="shared" si="87"/>
        <v>Normal</v>
      </c>
      <c r="V671" t="s">
        <v>102</v>
      </c>
    </row>
    <row r="672" spans="1:22">
      <c r="A672" t="s">
        <v>1123</v>
      </c>
      <c r="B672" s="10">
        <v>43054.648194444446</v>
      </c>
      <c r="C672" s="10">
        <v>43054.660046296296</v>
      </c>
      <c r="D672" s="10">
        <v>43056.759363425925</v>
      </c>
      <c r="E672" s="10">
        <v>43061.789375</v>
      </c>
      <c r="F672" s="10">
        <v>43081</v>
      </c>
      <c r="G672" t="s">
        <v>8</v>
      </c>
      <c r="H672" t="s">
        <v>225</v>
      </c>
      <c r="I672" t="s">
        <v>136</v>
      </c>
      <c r="J672" s="11">
        <v>1</v>
      </c>
      <c r="K672" s="12">
        <v>99.9</v>
      </c>
      <c r="L672" s="12">
        <v>13.25</v>
      </c>
      <c r="M672" s="13">
        <v>5</v>
      </c>
      <c r="N672" s="13">
        <f t="shared" si="80"/>
        <v>7.1411805555544561</v>
      </c>
      <c r="O672" s="13">
        <f t="shared" si="81"/>
        <v>0</v>
      </c>
      <c r="P672" t="str">
        <f t="shared" si="82"/>
        <v>On Time</v>
      </c>
      <c r="Q672" s="13">
        <f t="shared" si="83"/>
        <v>0.28444444440538064</v>
      </c>
      <c r="R672" s="13">
        <f t="shared" si="84"/>
        <v>2.0993171296286164</v>
      </c>
      <c r="S672" s="13">
        <f t="shared" si="85"/>
        <v>5.0300115740756155</v>
      </c>
      <c r="T672" t="str">
        <f t="shared" si="86"/>
        <v>On Time/Early</v>
      </c>
      <c r="U672" t="str">
        <f t="shared" si="87"/>
        <v>Normal</v>
      </c>
      <c r="V672" t="s">
        <v>102</v>
      </c>
    </row>
    <row r="673" spans="1:22">
      <c r="A673" t="s">
        <v>1124</v>
      </c>
      <c r="B673" s="10">
        <v>43054.67287037037</v>
      </c>
      <c r="C673" s="10">
        <v>43054.684976851851</v>
      </c>
      <c r="D673" s="10">
        <v>43059.924108796295</v>
      </c>
      <c r="E673" s="10">
        <v>43066.748182870368</v>
      </c>
      <c r="F673" s="10">
        <v>43075</v>
      </c>
      <c r="G673" t="s">
        <v>16</v>
      </c>
      <c r="H673" t="s">
        <v>138</v>
      </c>
      <c r="I673" t="s">
        <v>115</v>
      </c>
      <c r="J673" s="11">
        <v>1</v>
      </c>
      <c r="K673" s="12">
        <v>24.5</v>
      </c>
      <c r="L673" s="12">
        <v>15.1</v>
      </c>
      <c r="M673" s="13">
        <v>5</v>
      </c>
      <c r="N673" s="13">
        <f t="shared" si="80"/>
        <v>12.075312499997381</v>
      </c>
      <c r="O673" s="13">
        <f t="shared" si="81"/>
        <v>0</v>
      </c>
      <c r="P673" t="str">
        <f t="shared" si="82"/>
        <v>On Time</v>
      </c>
      <c r="Q673" s="13">
        <f t="shared" si="83"/>
        <v>0.29055555554805323</v>
      </c>
      <c r="R673" s="13">
        <f t="shared" si="84"/>
        <v>5.2391319444432156</v>
      </c>
      <c r="S673" s="13">
        <f t="shared" si="85"/>
        <v>6.8240740740729962</v>
      </c>
      <c r="T673" t="str">
        <f t="shared" si="86"/>
        <v>On Time/Early</v>
      </c>
      <c r="U673" t="str">
        <f t="shared" si="87"/>
        <v>Normal</v>
      </c>
      <c r="V673" t="s">
        <v>102</v>
      </c>
    </row>
    <row r="674" spans="1:22">
      <c r="A674" t="s">
        <v>1125</v>
      </c>
      <c r="B674" s="10">
        <v>43054.83048611111</v>
      </c>
      <c r="C674" s="10">
        <v>43054.840694444443</v>
      </c>
      <c r="D674" s="10">
        <v>43056.668715277781</v>
      </c>
      <c r="E674" s="10">
        <v>43062.954872685186</v>
      </c>
      <c r="F674" s="10">
        <v>43074</v>
      </c>
      <c r="G674" t="s">
        <v>8</v>
      </c>
      <c r="H674" t="s">
        <v>227</v>
      </c>
      <c r="I674" t="s">
        <v>180</v>
      </c>
      <c r="J674" s="11">
        <v>1</v>
      </c>
      <c r="K674" s="12">
        <v>52.11</v>
      </c>
      <c r="L674" s="12">
        <v>11.86</v>
      </c>
      <c r="M674" s="13">
        <v>4</v>
      </c>
      <c r="N674" s="13">
        <f t="shared" si="80"/>
        <v>8.1243865740761976</v>
      </c>
      <c r="O674" s="13">
        <f t="shared" si="81"/>
        <v>0</v>
      </c>
      <c r="P674" t="str">
        <f t="shared" si="82"/>
        <v>On Time</v>
      </c>
      <c r="Q674" s="13">
        <f t="shared" si="83"/>
        <v>0.24499999999534339</v>
      </c>
      <c r="R674" s="13">
        <f t="shared" si="84"/>
        <v>1.828020833338087</v>
      </c>
      <c r="S674" s="13">
        <f t="shared" si="85"/>
        <v>6.2861574074049713</v>
      </c>
      <c r="T674" t="str">
        <f t="shared" si="86"/>
        <v>On Time/Early</v>
      </c>
      <c r="U674" t="str">
        <f t="shared" si="87"/>
        <v>Normal</v>
      </c>
      <c r="V674" t="s">
        <v>102</v>
      </c>
    </row>
    <row r="675" spans="1:22">
      <c r="A675" t="s">
        <v>1126</v>
      </c>
      <c r="B675" s="10">
        <v>43055.580023148148</v>
      </c>
      <c r="C675" s="10">
        <v>43056.177604166667</v>
      </c>
      <c r="D675" s="10">
        <v>43056.792905092596</v>
      </c>
      <c r="E675" s="10">
        <v>43066.886932870373</v>
      </c>
      <c r="F675" s="10">
        <v>43083</v>
      </c>
      <c r="G675" t="s">
        <v>134</v>
      </c>
      <c r="H675" t="s">
        <v>1127</v>
      </c>
      <c r="I675" t="s">
        <v>154</v>
      </c>
      <c r="J675" s="11">
        <v>1</v>
      </c>
      <c r="K675" s="12">
        <v>56.85</v>
      </c>
      <c r="L675" s="12">
        <v>16.84</v>
      </c>
      <c r="M675" s="13">
        <v>5</v>
      </c>
      <c r="N675" s="13">
        <f t="shared" si="80"/>
        <v>11.3069097222251</v>
      </c>
      <c r="O675" s="13">
        <f t="shared" si="81"/>
        <v>0</v>
      </c>
      <c r="P675" t="str">
        <f t="shared" si="82"/>
        <v>On Time</v>
      </c>
      <c r="Q675" s="13">
        <f t="shared" si="83"/>
        <v>14.341944444458932</v>
      </c>
      <c r="R675" s="13">
        <f t="shared" si="84"/>
        <v>0.61530092592875008</v>
      </c>
      <c r="S675" s="13">
        <f t="shared" si="85"/>
        <v>10.094027777777228</v>
      </c>
      <c r="T675" t="str">
        <f t="shared" si="86"/>
        <v>On Time/Early</v>
      </c>
      <c r="U675" t="str">
        <f t="shared" si="87"/>
        <v>Normal</v>
      </c>
      <c r="V675" t="s">
        <v>102</v>
      </c>
    </row>
    <row r="676" spans="1:22">
      <c r="A676" t="s">
        <v>1128</v>
      </c>
      <c r="B676" s="10">
        <v>43055.74627314815</v>
      </c>
      <c r="C676" s="10">
        <v>43057.107939814814</v>
      </c>
      <c r="D676" s="10">
        <v>43062.921655092592</v>
      </c>
      <c r="E676" s="10">
        <v>43075.418981481482</v>
      </c>
      <c r="F676" s="10">
        <v>43091</v>
      </c>
      <c r="G676" t="s">
        <v>23</v>
      </c>
      <c r="H676" t="s">
        <v>1129</v>
      </c>
      <c r="I676" t="s">
        <v>120</v>
      </c>
      <c r="J676" s="11">
        <v>1</v>
      </c>
      <c r="K676" s="12">
        <v>31.9</v>
      </c>
      <c r="L676" s="12">
        <v>16.79</v>
      </c>
      <c r="M676" s="13">
        <v>3</v>
      </c>
      <c r="N676" s="13">
        <f t="shared" si="80"/>
        <v>19.672708333331684</v>
      </c>
      <c r="O676" s="13">
        <f t="shared" si="81"/>
        <v>0</v>
      </c>
      <c r="P676" t="str">
        <f t="shared" si="82"/>
        <v>On Time</v>
      </c>
      <c r="Q676" s="13">
        <f t="shared" si="83"/>
        <v>32.679999999934807</v>
      </c>
      <c r="R676" s="13">
        <f t="shared" si="84"/>
        <v>5.8137152777781012</v>
      </c>
      <c r="S676" s="13">
        <f t="shared" si="85"/>
        <v>12.497326388889633</v>
      </c>
      <c r="T676" t="str">
        <f t="shared" si="86"/>
        <v>On Time/Early</v>
      </c>
      <c r="U676" t="str">
        <f t="shared" si="87"/>
        <v>Normal</v>
      </c>
      <c r="V676" t="s">
        <v>102</v>
      </c>
    </row>
    <row r="677" spans="1:22">
      <c r="A677" t="s">
        <v>1130</v>
      </c>
      <c r="B677" s="10">
        <v>43055.827060185184</v>
      </c>
      <c r="C677" s="10">
        <v>43055.841898148145</v>
      </c>
      <c r="D677" s="10">
        <v>43061.737013888887</v>
      </c>
      <c r="E677" s="10">
        <v>43081.915949074071</v>
      </c>
      <c r="F677" s="10">
        <v>43081</v>
      </c>
      <c r="G677" t="s">
        <v>16</v>
      </c>
      <c r="H677" t="s">
        <v>1131</v>
      </c>
      <c r="I677" t="s">
        <v>120</v>
      </c>
      <c r="J677" s="11">
        <v>1</v>
      </c>
      <c r="K677" s="12">
        <v>140</v>
      </c>
      <c r="L677" s="12">
        <v>15.73</v>
      </c>
      <c r="M677" s="13">
        <v>5</v>
      </c>
      <c r="N677" s="13">
        <f t="shared" si="80"/>
        <v>26.088888888887595</v>
      </c>
      <c r="O677" s="13">
        <f t="shared" si="81"/>
        <v>0.91594907407124992</v>
      </c>
      <c r="P677" t="str">
        <f t="shared" si="82"/>
        <v>Delayed</v>
      </c>
      <c r="Q677" s="13">
        <f t="shared" si="83"/>
        <v>0.35611111106118187</v>
      </c>
      <c r="R677" s="13">
        <f t="shared" si="84"/>
        <v>5.8951157407427672</v>
      </c>
      <c r="S677" s="13">
        <f t="shared" si="85"/>
        <v>20.178935185183946</v>
      </c>
      <c r="T677" t="str">
        <f t="shared" si="86"/>
        <v>1-3 Days Late</v>
      </c>
      <c r="U677" t="str">
        <f t="shared" si="87"/>
        <v>Needs Review</v>
      </c>
      <c r="V677" t="s">
        <v>102</v>
      </c>
    </row>
    <row r="678" spans="1:22">
      <c r="A678" t="s">
        <v>1132</v>
      </c>
      <c r="B678" s="10">
        <v>43055.908437500002</v>
      </c>
      <c r="C678" s="10">
        <v>43055.925949074073</v>
      </c>
      <c r="D678" s="10">
        <v>43060.633634259262</v>
      </c>
      <c r="E678" s="10">
        <v>43069.02679398148</v>
      </c>
      <c r="F678" s="10">
        <v>43074</v>
      </c>
      <c r="G678" t="s">
        <v>16</v>
      </c>
      <c r="H678" t="s">
        <v>138</v>
      </c>
      <c r="I678" t="s">
        <v>123</v>
      </c>
      <c r="J678" s="11">
        <v>1</v>
      </c>
      <c r="K678" s="12">
        <v>166.99</v>
      </c>
      <c r="L678" s="12">
        <v>20.66</v>
      </c>
      <c r="M678" s="13">
        <v>5</v>
      </c>
      <c r="N678" s="13">
        <f t="shared" si="80"/>
        <v>13.118356481478259</v>
      </c>
      <c r="O678" s="13">
        <f t="shared" si="81"/>
        <v>0</v>
      </c>
      <c r="P678" t="str">
        <f t="shared" si="82"/>
        <v>On Time</v>
      </c>
      <c r="Q678" s="13">
        <f t="shared" si="83"/>
        <v>0.42027777770999819</v>
      </c>
      <c r="R678" s="13">
        <f t="shared" si="84"/>
        <v>4.7076851851888932</v>
      </c>
      <c r="S678" s="13">
        <f t="shared" si="85"/>
        <v>8.3931597222181153</v>
      </c>
      <c r="T678" t="str">
        <f t="shared" si="86"/>
        <v>On Time/Early</v>
      </c>
      <c r="U678" t="str">
        <f t="shared" si="87"/>
        <v>Normal</v>
      </c>
      <c r="V678" t="s">
        <v>102</v>
      </c>
    </row>
    <row r="679" spans="1:22">
      <c r="A679" t="s">
        <v>1133</v>
      </c>
      <c r="B679" s="10">
        <v>43056.431944444441</v>
      </c>
      <c r="C679" s="10">
        <v>43056.45212962963</v>
      </c>
      <c r="D679" s="10">
        <v>43067.710370370369</v>
      </c>
      <c r="E679" s="10">
        <v>43123.796493055554</v>
      </c>
      <c r="F679" s="10">
        <v>43083</v>
      </c>
      <c r="G679" t="s">
        <v>16</v>
      </c>
      <c r="H679" t="s">
        <v>138</v>
      </c>
      <c r="I679" t="s">
        <v>37</v>
      </c>
      <c r="J679" s="11">
        <v>1</v>
      </c>
      <c r="K679" s="12">
        <v>139.94</v>
      </c>
      <c r="L679" s="12">
        <v>59.53</v>
      </c>
      <c r="M679" s="13">
        <v>1</v>
      </c>
      <c r="N679" s="13">
        <f t="shared" si="80"/>
        <v>67.364548611112696</v>
      </c>
      <c r="O679" s="13">
        <f t="shared" si="81"/>
        <v>40.796493055553583</v>
      </c>
      <c r="P679" t="str">
        <f t="shared" si="82"/>
        <v>Delayed</v>
      </c>
      <c r="Q679" s="13">
        <f t="shared" si="83"/>
        <v>0.48444444453343749</v>
      </c>
      <c r="R679" s="13">
        <f t="shared" si="84"/>
        <v>11.258240740738984</v>
      </c>
      <c r="S679" s="13">
        <f t="shared" si="85"/>
        <v>56.086122685184819</v>
      </c>
      <c r="T679" t="str">
        <f t="shared" si="86"/>
        <v>8+ Days Late</v>
      </c>
      <c r="U679" t="str">
        <f t="shared" si="87"/>
        <v>Needs Review</v>
      </c>
      <c r="V679" t="s">
        <v>102</v>
      </c>
    </row>
    <row r="680" spans="1:22">
      <c r="A680" t="s">
        <v>1134</v>
      </c>
      <c r="B680" s="10">
        <v>43056.433483796296</v>
      </c>
      <c r="C680" s="10">
        <v>43056.451956018522</v>
      </c>
      <c r="D680" s="10">
        <v>43061.006701388891</v>
      </c>
      <c r="E680" s="10">
        <v>43069.766365740739</v>
      </c>
      <c r="F680" s="10">
        <v>43080</v>
      </c>
      <c r="G680" t="s">
        <v>110</v>
      </c>
      <c r="H680" t="s">
        <v>111</v>
      </c>
      <c r="I680" t="s">
        <v>136</v>
      </c>
      <c r="J680" s="11">
        <v>1</v>
      </c>
      <c r="K680" s="12">
        <v>120</v>
      </c>
      <c r="L680" s="12">
        <v>16.28</v>
      </c>
      <c r="M680" s="13">
        <v>5</v>
      </c>
      <c r="N680" s="13">
        <f t="shared" si="80"/>
        <v>13.332881944443216</v>
      </c>
      <c r="O680" s="13">
        <f t="shared" si="81"/>
        <v>0</v>
      </c>
      <c r="P680" t="str">
        <f t="shared" si="82"/>
        <v>On Time</v>
      </c>
      <c r="Q680" s="13">
        <f t="shared" si="83"/>
        <v>0.44333333341637626</v>
      </c>
      <c r="R680" s="13">
        <f t="shared" si="84"/>
        <v>4.5547453703693463</v>
      </c>
      <c r="S680" s="13">
        <f t="shared" si="85"/>
        <v>8.7596643518481869</v>
      </c>
      <c r="T680" t="str">
        <f t="shared" si="86"/>
        <v>On Time/Early</v>
      </c>
      <c r="U680" t="str">
        <f t="shared" si="87"/>
        <v>Normal</v>
      </c>
      <c r="V680" t="s">
        <v>102</v>
      </c>
    </row>
    <row r="681" spans="1:22">
      <c r="A681" t="s">
        <v>1135</v>
      </c>
      <c r="B681" s="10">
        <v>43056.644872685189</v>
      </c>
      <c r="C681" s="10">
        <v>43057.089942129627</v>
      </c>
      <c r="D681" s="10">
        <v>43059.846400462964</v>
      </c>
      <c r="E681" s="10">
        <v>43068.039490740739</v>
      </c>
      <c r="F681" s="10">
        <v>43081</v>
      </c>
      <c r="G681" t="s">
        <v>8</v>
      </c>
      <c r="H681" t="s">
        <v>1136</v>
      </c>
      <c r="I681" t="s">
        <v>1137</v>
      </c>
      <c r="J681" s="11">
        <v>1</v>
      </c>
      <c r="K681" s="12">
        <v>639.9</v>
      </c>
      <c r="L681" s="12">
        <v>101.85</v>
      </c>
      <c r="M681" s="13">
        <v>5</v>
      </c>
      <c r="N681" s="13">
        <f t="shared" si="80"/>
        <v>11.394618055550382</v>
      </c>
      <c r="O681" s="13">
        <f t="shared" si="81"/>
        <v>0</v>
      </c>
      <c r="P681" t="str">
        <f t="shared" si="82"/>
        <v>On Time</v>
      </c>
      <c r="Q681" s="13">
        <f t="shared" si="83"/>
        <v>10.681666666525416</v>
      </c>
      <c r="R681" s="13">
        <f t="shared" si="84"/>
        <v>2.7564583333369228</v>
      </c>
      <c r="S681" s="13">
        <f t="shared" si="85"/>
        <v>8.1930902777748997</v>
      </c>
      <c r="T681" t="str">
        <f t="shared" si="86"/>
        <v>On Time/Early</v>
      </c>
      <c r="U681" t="str">
        <f t="shared" si="87"/>
        <v>Normal</v>
      </c>
      <c r="V681" t="s">
        <v>102</v>
      </c>
    </row>
    <row r="682" spans="1:22">
      <c r="A682" t="s">
        <v>1138</v>
      </c>
      <c r="B682" s="10">
        <v>43056.645405092589</v>
      </c>
      <c r="C682" s="10">
        <v>43056.663611111115</v>
      </c>
      <c r="D682" s="10">
        <v>43059.857268518521</v>
      </c>
      <c r="E682" s="10">
        <v>43066.926192129627</v>
      </c>
      <c r="F682" s="10">
        <v>43082</v>
      </c>
      <c r="G682" t="s">
        <v>36</v>
      </c>
      <c r="H682" t="s">
        <v>216</v>
      </c>
      <c r="I682" t="s">
        <v>123</v>
      </c>
      <c r="J682" s="11">
        <v>1</v>
      </c>
      <c r="K682" s="12">
        <v>79.989999999999995</v>
      </c>
      <c r="L682" s="12">
        <v>16.32</v>
      </c>
      <c r="M682" s="13">
        <v>5</v>
      </c>
      <c r="N682" s="13">
        <f t="shared" si="80"/>
        <v>10.280787037037953</v>
      </c>
      <c r="O682" s="13">
        <f t="shared" si="81"/>
        <v>0</v>
      </c>
      <c r="P682" t="str">
        <f t="shared" si="82"/>
        <v>On Time</v>
      </c>
      <c r="Q682" s="13">
        <f t="shared" si="83"/>
        <v>0.43694444460561499</v>
      </c>
      <c r="R682" s="13">
        <f t="shared" si="84"/>
        <v>3.1936574074061355</v>
      </c>
      <c r="S682" s="13">
        <f t="shared" si="85"/>
        <v>7.0689236111065838</v>
      </c>
      <c r="T682" t="str">
        <f t="shared" si="86"/>
        <v>On Time/Early</v>
      </c>
      <c r="U682" t="str">
        <f t="shared" si="87"/>
        <v>Normal</v>
      </c>
      <c r="V682" t="s">
        <v>102</v>
      </c>
    </row>
    <row r="683" spans="1:22">
      <c r="A683" t="s">
        <v>1139</v>
      </c>
      <c r="B683" s="10">
        <v>43056.820127314815</v>
      </c>
      <c r="C683" s="10">
        <v>43057.0940625</v>
      </c>
      <c r="D683" s="10">
        <v>43060.554606481484</v>
      </c>
      <c r="E683" s="10">
        <v>43062.546388888892</v>
      </c>
      <c r="F683" s="10">
        <v>43069</v>
      </c>
      <c r="G683" t="s">
        <v>8</v>
      </c>
      <c r="H683" t="s">
        <v>225</v>
      </c>
      <c r="I683" t="s">
        <v>141</v>
      </c>
      <c r="J683" s="11">
        <v>1</v>
      </c>
      <c r="K683" s="12">
        <v>69.5</v>
      </c>
      <c r="L683" s="12">
        <v>11.73</v>
      </c>
      <c r="M683" s="13">
        <v>5</v>
      </c>
      <c r="N683" s="13">
        <f t="shared" si="80"/>
        <v>5.7262615740764886</v>
      </c>
      <c r="O683" s="13">
        <f t="shared" si="81"/>
        <v>0</v>
      </c>
      <c r="P683" t="str">
        <f t="shared" si="82"/>
        <v>On Time</v>
      </c>
      <c r="Q683" s="13">
        <f t="shared" si="83"/>
        <v>6.5744444444426335</v>
      </c>
      <c r="R683" s="13">
        <f t="shared" si="84"/>
        <v>3.4605439814840793</v>
      </c>
      <c r="S683" s="13">
        <f t="shared" si="85"/>
        <v>1.9917824074072996</v>
      </c>
      <c r="T683" t="str">
        <f t="shared" si="86"/>
        <v>On Time/Early</v>
      </c>
      <c r="U683" t="str">
        <f t="shared" si="87"/>
        <v>Normal</v>
      </c>
      <c r="V683" t="s">
        <v>102</v>
      </c>
    </row>
    <row r="684" spans="1:22">
      <c r="A684" t="s">
        <v>1140</v>
      </c>
      <c r="B684" s="10">
        <v>43057.336909722224</v>
      </c>
      <c r="C684" s="10">
        <v>43057.351909722223</v>
      </c>
      <c r="D684" s="10">
        <v>43061.599363425928</v>
      </c>
      <c r="E684" s="10">
        <v>43068.432025462964</v>
      </c>
      <c r="F684" s="10">
        <v>43076</v>
      </c>
      <c r="G684" t="s">
        <v>8</v>
      </c>
      <c r="H684" t="s">
        <v>140</v>
      </c>
      <c r="I684" t="s">
        <v>136</v>
      </c>
      <c r="J684" s="11">
        <v>1</v>
      </c>
      <c r="K684" s="12">
        <v>259.99</v>
      </c>
      <c r="L684" s="12">
        <v>21.31</v>
      </c>
      <c r="M684" s="13">
        <v>4</v>
      </c>
      <c r="N684" s="13">
        <f t="shared" si="80"/>
        <v>11.095115740739857</v>
      </c>
      <c r="O684" s="13">
        <f t="shared" si="81"/>
        <v>0</v>
      </c>
      <c r="P684" t="str">
        <f t="shared" si="82"/>
        <v>On Time</v>
      </c>
      <c r="Q684" s="13">
        <f t="shared" si="83"/>
        <v>0.35999999998603016</v>
      </c>
      <c r="R684" s="13">
        <f t="shared" si="84"/>
        <v>4.247453703705105</v>
      </c>
      <c r="S684" s="13">
        <f t="shared" si="85"/>
        <v>6.8326620370353339</v>
      </c>
      <c r="T684" t="str">
        <f t="shared" si="86"/>
        <v>On Time/Early</v>
      </c>
      <c r="U684" t="str">
        <f t="shared" si="87"/>
        <v>Normal</v>
      </c>
      <c r="V684" t="s">
        <v>102</v>
      </c>
    </row>
    <row r="685" spans="1:22">
      <c r="A685" t="s">
        <v>1141</v>
      </c>
      <c r="B685" s="10">
        <v>43057.396840277775</v>
      </c>
      <c r="C685" s="10">
        <v>43060.157881944448</v>
      </c>
      <c r="D685" s="10">
        <v>43060.607581018521</v>
      </c>
      <c r="E685" s="10">
        <v>43067.01703703704</v>
      </c>
      <c r="F685" s="10">
        <v>43083</v>
      </c>
      <c r="G685" t="s">
        <v>16</v>
      </c>
      <c r="H685" t="s">
        <v>138</v>
      </c>
      <c r="I685" t="s">
        <v>221</v>
      </c>
      <c r="J685" s="11">
        <v>1</v>
      </c>
      <c r="K685" s="12">
        <v>186</v>
      </c>
      <c r="L685" s="12">
        <v>17.739999999999998</v>
      </c>
      <c r="M685" s="13">
        <v>5</v>
      </c>
      <c r="N685" s="13">
        <f t="shared" si="80"/>
        <v>9.6201967592642177</v>
      </c>
      <c r="O685" s="13">
        <f t="shared" si="81"/>
        <v>0</v>
      </c>
      <c r="P685" t="str">
        <f t="shared" si="82"/>
        <v>On Time</v>
      </c>
      <c r="Q685" s="13">
        <f t="shared" si="83"/>
        <v>66.265000000130385</v>
      </c>
      <c r="R685" s="13">
        <f t="shared" si="84"/>
        <v>0.44969907407357823</v>
      </c>
      <c r="S685" s="13">
        <f t="shared" si="85"/>
        <v>6.4094560185185401</v>
      </c>
      <c r="T685" t="str">
        <f t="shared" si="86"/>
        <v>On Time/Early</v>
      </c>
      <c r="U685" t="str">
        <f t="shared" si="87"/>
        <v>Normal</v>
      </c>
      <c r="V685" t="s">
        <v>102</v>
      </c>
    </row>
    <row r="686" spans="1:22">
      <c r="A686" t="s">
        <v>1142</v>
      </c>
      <c r="B686" s="10">
        <v>43057.549166666664</v>
      </c>
      <c r="C686" s="10">
        <v>43057.677407407406</v>
      </c>
      <c r="D686" s="10">
        <v>43059.631527777776</v>
      </c>
      <c r="E686" s="10">
        <v>43073.767395833333</v>
      </c>
      <c r="F686" s="10">
        <v>43084</v>
      </c>
      <c r="G686" t="s">
        <v>30</v>
      </c>
      <c r="H686" t="s">
        <v>353</v>
      </c>
      <c r="I686" t="s">
        <v>120</v>
      </c>
      <c r="J686" s="11">
        <v>1</v>
      </c>
      <c r="K686" s="12">
        <v>299.99</v>
      </c>
      <c r="L686" s="12">
        <v>28.42</v>
      </c>
      <c r="M686" s="13">
        <v>4</v>
      </c>
      <c r="N686" s="13">
        <f t="shared" si="80"/>
        <v>16.218229166668607</v>
      </c>
      <c r="O686" s="13">
        <f t="shared" si="81"/>
        <v>0</v>
      </c>
      <c r="P686" t="str">
        <f t="shared" si="82"/>
        <v>On Time</v>
      </c>
      <c r="Q686" s="13">
        <f t="shared" si="83"/>
        <v>3.0777777777984738</v>
      </c>
      <c r="R686" s="13">
        <f t="shared" si="84"/>
        <v>1.9541203703702195</v>
      </c>
      <c r="S686" s="13">
        <f t="shared" si="85"/>
        <v>14.135868055556784</v>
      </c>
      <c r="T686" t="str">
        <f t="shared" si="86"/>
        <v>On Time/Early</v>
      </c>
      <c r="U686" t="str">
        <f t="shared" si="87"/>
        <v>Normal</v>
      </c>
      <c r="V686" t="s">
        <v>102</v>
      </c>
    </row>
    <row r="687" spans="1:22">
      <c r="A687" t="s">
        <v>1143</v>
      </c>
      <c r="B687" s="10">
        <v>43057.776886574073</v>
      </c>
      <c r="C687" s="10">
        <v>43057.785000000003</v>
      </c>
      <c r="D687" s="10">
        <v>43062.747048611112</v>
      </c>
      <c r="E687" s="10">
        <v>43069.74627314815</v>
      </c>
      <c r="F687" s="10">
        <v>43083</v>
      </c>
      <c r="G687" t="s">
        <v>33</v>
      </c>
      <c r="H687" t="s">
        <v>1144</v>
      </c>
      <c r="I687" t="s">
        <v>963</v>
      </c>
      <c r="J687" s="11">
        <v>1</v>
      </c>
      <c r="K687" s="12">
        <v>369.99</v>
      </c>
      <c r="L687" s="12">
        <v>23.08</v>
      </c>
      <c r="M687" s="13">
        <v>5</v>
      </c>
      <c r="N687" s="13">
        <f t="shared" si="80"/>
        <v>11.969386574077362</v>
      </c>
      <c r="O687" s="13">
        <f t="shared" si="81"/>
        <v>0</v>
      </c>
      <c r="P687" t="str">
        <f t="shared" si="82"/>
        <v>On Time</v>
      </c>
      <c r="Q687" s="13">
        <f t="shared" si="83"/>
        <v>0.19472222233889624</v>
      </c>
      <c r="R687" s="13">
        <f t="shared" si="84"/>
        <v>4.9620486111089122</v>
      </c>
      <c r="S687" s="13">
        <f t="shared" si="85"/>
        <v>6.9992245370376622</v>
      </c>
      <c r="T687" t="str">
        <f t="shared" si="86"/>
        <v>On Time/Early</v>
      </c>
      <c r="U687" t="str">
        <f t="shared" si="87"/>
        <v>Normal</v>
      </c>
      <c r="V687" t="s">
        <v>102</v>
      </c>
    </row>
    <row r="688" spans="1:22">
      <c r="A688" t="s">
        <v>1145</v>
      </c>
      <c r="B688" s="10">
        <v>43058.384120370371</v>
      </c>
      <c r="C688" s="10">
        <v>43058.396134259259</v>
      </c>
      <c r="D688" s="10">
        <v>43061.894872685189</v>
      </c>
      <c r="E688" s="10">
        <v>43067.048217592594</v>
      </c>
      <c r="F688" s="10">
        <v>43077</v>
      </c>
      <c r="G688" t="s">
        <v>8</v>
      </c>
      <c r="H688" t="s">
        <v>245</v>
      </c>
      <c r="I688" t="s">
        <v>101</v>
      </c>
      <c r="J688" s="11">
        <v>2</v>
      </c>
      <c r="K688" s="12">
        <v>150</v>
      </c>
      <c r="L688" s="12">
        <v>32.32</v>
      </c>
      <c r="M688" s="13">
        <v>4</v>
      </c>
      <c r="N688" s="13">
        <f t="shared" si="80"/>
        <v>8.664097222223063</v>
      </c>
      <c r="O688" s="13">
        <f t="shared" si="81"/>
        <v>0</v>
      </c>
      <c r="P688" t="str">
        <f t="shared" si="82"/>
        <v>On Time</v>
      </c>
      <c r="Q688" s="13">
        <f t="shared" si="83"/>
        <v>0.28833333333022892</v>
      </c>
      <c r="R688" s="13">
        <f t="shared" si="84"/>
        <v>3.4987384259293322</v>
      </c>
      <c r="S688" s="13">
        <f t="shared" si="85"/>
        <v>5.1533449074049713</v>
      </c>
      <c r="T688" t="str">
        <f t="shared" si="86"/>
        <v>On Time/Early</v>
      </c>
      <c r="U688" t="str">
        <f t="shared" si="87"/>
        <v>Normal</v>
      </c>
      <c r="V688" t="s">
        <v>102</v>
      </c>
    </row>
    <row r="689" spans="1:22">
      <c r="A689" t="s">
        <v>1146</v>
      </c>
      <c r="B689" s="10">
        <v>43058.509120370371</v>
      </c>
      <c r="C689" s="10">
        <v>43058.519363425927</v>
      </c>
      <c r="D689" s="10">
        <v>43060.825046296297</v>
      </c>
      <c r="E689" s="10">
        <v>43066.678553240738</v>
      </c>
      <c r="F689" s="10">
        <v>43088</v>
      </c>
      <c r="G689" t="s">
        <v>8</v>
      </c>
      <c r="H689" t="s">
        <v>1147</v>
      </c>
      <c r="I689" t="s">
        <v>58</v>
      </c>
      <c r="J689" s="11">
        <v>1</v>
      </c>
      <c r="K689" s="12">
        <v>99.9</v>
      </c>
      <c r="L689" s="12">
        <v>15.45</v>
      </c>
      <c r="M689" s="13">
        <v>5</v>
      </c>
      <c r="N689" s="13">
        <f t="shared" si="80"/>
        <v>8.169432870367018</v>
      </c>
      <c r="O689" s="13">
        <f t="shared" si="81"/>
        <v>0</v>
      </c>
      <c r="P689" t="str">
        <f t="shared" si="82"/>
        <v>On Time</v>
      </c>
      <c r="Q689" s="13">
        <f t="shared" si="83"/>
        <v>0.24583333334885538</v>
      </c>
      <c r="R689" s="13">
        <f t="shared" si="84"/>
        <v>2.3056828703702195</v>
      </c>
      <c r="S689" s="13">
        <f t="shared" si="85"/>
        <v>5.8535069444405963</v>
      </c>
      <c r="T689" t="str">
        <f t="shared" si="86"/>
        <v>On Time/Early</v>
      </c>
      <c r="U689" t="str">
        <f t="shared" si="87"/>
        <v>Normal</v>
      </c>
      <c r="V689" t="s">
        <v>102</v>
      </c>
    </row>
    <row r="690" spans="1:22">
      <c r="A690" t="s">
        <v>1148</v>
      </c>
      <c r="B690" s="10">
        <v>43058.666168981479</v>
      </c>
      <c r="C690" s="10">
        <v>43058.673877314817</v>
      </c>
      <c r="D690" s="10">
        <v>43059.908113425925</v>
      </c>
      <c r="E690" s="10">
        <v>43066.994270833333</v>
      </c>
      <c r="F690" s="10">
        <v>43076</v>
      </c>
      <c r="G690" t="s">
        <v>8</v>
      </c>
      <c r="H690" t="s">
        <v>1149</v>
      </c>
      <c r="I690" t="s">
        <v>180</v>
      </c>
      <c r="J690" s="11">
        <v>1</v>
      </c>
      <c r="K690" s="12">
        <v>69.900000000000006</v>
      </c>
      <c r="L690" s="12">
        <v>12.83</v>
      </c>
      <c r="M690" s="13">
        <v>5</v>
      </c>
      <c r="N690" s="13">
        <f t="shared" si="80"/>
        <v>8.3281018518537167</v>
      </c>
      <c r="O690" s="13">
        <f t="shared" si="81"/>
        <v>0</v>
      </c>
      <c r="P690" t="str">
        <f t="shared" si="82"/>
        <v>On Time</v>
      </c>
      <c r="Q690" s="13">
        <f t="shared" si="83"/>
        <v>0.18500000011408702</v>
      </c>
      <c r="R690" s="13">
        <f t="shared" si="84"/>
        <v>1.234236111107748</v>
      </c>
      <c r="S690" s="13">
        <f t="shared" si="85"/>
        <v>7.0861574074078817</v>
      </c>
      <c r="T690" t="str">
        <f t="shared" si="86"/>
        <v>On Time/Early</v>
      </c>
      <c r="U690" t="str">
        <f t="shared" si="87"/>
        <v>Normal</v>
      </c>
      <c r="V690" t="s">
        <v>102</v>
      </c>
    </row>
    <row r="691" spans="1:22">
      <c r="A691" t="s">
        <v>1150</v>
      </c>
      <c r="B691" s="10">
        <v>43058.723935185182</v>
      </c>
      <c r="C691" s="10">
        <v>43058.732986111114</v>
      </c>
      <c r="D691" s="10">
        <v>43060.763287037036</v>
      </c>
      <c r="E691" s="10">
        <v>43066.852002314816</v>
      </c>
      <c r="F691" s="10">
        <v>43081</v>
      </c>
      <c r="G691" t="s">
        <v>33</v>
      </c>
      <c r="H691" t="s">
        <v>285</v>
      </c>
      <c r="I691" t="s">
        <v>128</v>
      </c>
      <c r="J691" s="11">
        <v>1</v>
      </c>
      <c r="K691" s="12">
        <v>88.9</v>
      </c>
      <c r="L691" s="12">
        <v>17.87</v>
      </c>
      <c r="M691" s="13">
        <v>5</v>
      </c>
      <c r="N691" s="13">
        <f t="shared" si="80"/>
        <v>8.128067129633564</v>
      </c>
      <c r="O691" s="13">
        <f t="shared" si="81"/>
        <v>0</v>
      </c>
      <c r="P691" t="str">
        <f t="shared" si="82"/>
        <v>On Time</v>
      </c>
      <c r="Q691" s="13">
        <f t="shared" si="83"/>
        <v>0.217222222359851</v>
      </c>
      <c r="R691" s="13">
        <f t="shared" si="84"/>
        <v>2.0303009259223472</v>
      </c>
      <c r="S691" s="13">
        <f t="shared" si="85"/>
        <v>6.0887152777795563</v>
      </c>
      <c r="T691" t="str">
        <f t="shared" si="86"/>
        <v>On Time/Early</v>
      </c>
      <c r="U691" t="str">
        <f t="shared" si="87"/>
        <v>Normal</v>
      </c>
      <c r="V691" t="s">
        <v>102</v>
      </c>
    </row>
    <row r="692" spans="1:22">
      <c r="A692" t="s">
        <v>1151</v>
      </c>
      <c r="B692" s="10">
        <v>43059.48982638889</v>
      </c>
      <c r="C692" s="10">
        <v>43059.49759259259</v>
      </c>
      <c r="D692" s="10">
        <v>43061.052453703705</v>
      </c>
      <c r="E692" s="10">
        <v>43067.734872685185</v>
      </c>
      <c r="F692" s="10">
        <v>43076</v>
      </c>
      <c r="G692" t="s">
        <v>8</v>
      </c>
      <c r="H692" t="s">
        <v>1152</v>
      </c>
      <c r="I692" t="s">
        <v>118</v>
      </c>
      <c r="J692" s="11">
        <v>1</v>
      </c>
      <c r="K692" s="12">
        <v>27.99</v>
      </c>
      <c r="L692" s="12">
        <v>11.85</v>
      </c>
      <c r="M692" s="13">
        <v>5</v>
      </c>
      <c r="N692" s="13">
        <f t="shared" si="80"/>
        <v>8.245046296295186</v>
      </c>
      <c r="O692" s="13">
        <f t="shared" si="81"/>
        <v>0</v>
      </c>
      <c r="P692" t="str">
        <f t="shared" si="82"/>
        <v>On Time</v>
      </c>
      <c r="Q692" s="13">
        <f t="shared" si="83"/>
        <v>0.18638888880377635</v>
      </c>
      <c r="R692" s="13">
        <f t="shared" si="84"/>
        <v>1.554861111115315</v>
      </c>
      <c r="S692" s="13">
        <f t="shared" si="85"/>
        <v>6.6824189814797137</v>
      </c>
      <c r="T692" t="str">
        <f t="shared" si="86"/>
        <v>On Time/Early</v>
      </c>
      <c r="U692" t="str">
        <f t="shared" si="87"/>
        <v>Normal</v>
      </c>
      <c r="V692" t="s">
        <v>102</v>
      </c>
    </row>
    <row r="693" spans="1:22">
      <c r="A693" t="s">
        <v>1153</v>
      </c>
      <c r="B693" s="10">
        <v>43059.642280092594</v>
      </c>
      <c r="C693" s="10">
        <v>43059.648136574076</v>
      </c>
      <c r="D693" s="10">
        <v>43060.449155092596</v>
      </c>
      <c r="E693" s="10">
        <v>43062.697905092595</v>
      </c>
      <c r="F693" s="10">
        <v>43070</v>
      </c>
      <c r="G693" t="s">
        <v>8</v>
      </c>
      <c r="H693" t="s">
        <v>140</v>
      </c>
      <c r="I693" t="s">
        <v>34</v>
      </c>
      <c r="J693" s="11">
        <v>1</v>
      </c>
      <c r="K693" s="12">
        <v>50</v>
      </c>
      <c r="L693" s="12">
        <v>11.73</v>
      </c>
      <c r="M693" s="13">
        <v>5</v>
      </c>
      <c r="N693" s="13">
        <f t="shared" si="80"/>
        <v>3.0556250000008731</v>
      </c>
      <c r="O693" s="13">
        <f t="shared" si="81"/>
        <v>0</v>
      </c>
      <c r="P693" t="str">
        <f t="shared" si="82"/>
        <v>On Time</v>
      </c>
      <c r="Q693" s="13">
        <f t="shared" si="83"/>
        <v>0.14055555558297783</v>
      </c>
      <c r="R693" s="13">
        <f t="shared" si="84"/>
        <v>0.80101851851941319</v>
      </c>
      <c r="S693" s="13">
        <f t="shared" si="85"/>
        <v>2.2487499999988358</v>
      </c>
      <c r="T693" t="str">
        <f t="shared" si="86"/>
        <v>On Time/Early</v>
      </c>
      <c r="U693" t="str">
        <f t="shared" si="87"/>
        <v>Normal</v>
      </c>
      <c r="V693" t="s">
        <v>102</v>
      </c>
    </row>
    <row r="694" spans="1:22">
      <c r="A694" t="s">
        <v>1154</v>
      </c>
      <c r="B694" s="10">
        <v>43059.660856481481</v>
      </c>
      <c r="C694" s="10">
        <v>43059.671319444446</v>
      </c>
      <c r="D694" s="10">
        <v>43061.938761574071</v>
      </c>
      <c r="E694" s="10">
        <v>43074.843657407408</v>
      </c>
      <c r="F694" s="10">
        <v>43088</v>
      </c>
      <c r="G694" t="s">
        <v>30</v>
      </c>
      <c r="H694" t="s">
        <v>1155</v>
      </c>
      <c r="I694" t="s">
        <v>143</v>
      </c>
      <c r="J694" s="11">
        <v>1</v>
      </c>
      <c r="K694" s="12">
        <v>25</v>
      </c>
      <c r="L694" s="12">
        <v>16.79</v>
      </c>
      <c r="M694" s="13">
        <v>5</v>
      </c>
      <c r="N694" s="13">
        <f t="shared" si="80"/>
        <v>15.182800925926131</v>
      </c>
      <c r="O694" s="13">
        <f t="shared" si="81"/>
        <v>0</v>
      </c>
      <c r="P694" t="str">
        <f t="shared" si="82"/>
        <v>On Time</v>
      </c>
      <c r="Q694" s="13">
        <f t="shared" si="83"/>
        <v>0.25111111113801599</v>
      </c>
      <c r="R694" s="13">
        <f t="shared" si="84"/>
        <v>2.2674421296251239</v>
      </c>
      <c r="S694" s="13">
        <f t="shared" si="85"/>
        <v>12.904895833336923</v>
      </c>
      <c r="T694" t="str">
        <f t="shared" si="86"/>
        <v>On Time/Early</v>
      </c>
      <c r="U694" t="str">
        <f t="shared" si="87"/>
        <v>Normal</v>
      </c>
      <c r="V694" t="s">
        <v>102</v>
      </c>
    </row>
    <row r="695" spans="1:22">
      <c r="A695" t="s">
        <v>1156</v>
      </c>
      <c r="B695" s="10">
        <v>43059.848703703705</v>
      </c>
      <c r="C695" s="10">
        <v>43059.855810185189</v>
      </c>
      <c r="D695" s="10">
        <v>43060.853807870371</v>
      </c>
      <c r="E695" s="10">
        <v>43063.835092592592</v>
      </c>
      <c r="F695" s="10">
        <v>43070</v>
      </c>
      <c r="G695" t="s">
        <v>8</v>
      </c>
      <c r="H695" t="s">
        <v>696</v>
      </c>
      <c r="I695" t="s">
        <v>141</v>
      </c>
      <c r="J695" s="11">
        <v>1</v>
      </c>
      <c r="K695" s="12">
        <v>58.9</v>
      </c>
      <c r="L695" s="12">
        <v>14.13</v>
      </c>
      <c r="M695" s="13">
        <v>5</v>
      </c>
      <c r="N695" s="13">
        <f t="shared" si="80"/>
        <v>3.9863888888867223</v>
      </c>
      <c r="O695" s="13">
        <f t="shared" si="81"/>
        <v>0</v>
      </c>
      <c r="P695" t="str">
        <f t="shared" si="82"/>
        <v>On Time</v>
      </c>
      <c r="Q695" s="13">
        <f t="shared" si="83"/>
        <v>0.17055555561091751</v>
      </c>
      <c r="R695" s="13">
        <f t="shared" si="84"/>
        <v>0.99799768518278142</v>
      </c>
      <c r="S695" s="13">
        <f t="shared" si="85"/>
        <v>2.9812847222201526</v>
      </c>
      <c r="T695" t="str">
        <f t="shared" si="86"/>
        <v>On Time/Early</v>
      </c>
      <c r="U695" t="str">
        <f t="shared" si="87"/>
        <v>Normal</v>
      </c>
      <c r="V695" t="s">
        <v>102</v>
      </c>
    </row>
    <row r="696" spans="1:22">
      <c r="A696" t="s">
        <v>1157</v>
      </c>
      <c r="B696" s="10">
        <v>43059.886018518519</v>
      </c>
      <c r="C696" s="10">
        <v>43059.893703703703</v>
      </c>
      <c r="D696" s="10">
        <v>43060.966805555552</v>
      </c>
      <c r="E696" s="10">
        <v>43070.841481481482</v>
      </c>
      <c r="F696" s="10">
        <v>43083</v>
      </c>
      <c r="G696" t="s">
        <v>23</v>
      </c>
      <c r="H696" t="s">
        <v>1158</v>
      </c>
      <c r="I696" t="s">
        <v>221</v>
      </c>
      <c r="J696" s="11">
        <v>1</v>
      </c>
      <c r="K696" s="12">
        <v>198</v>
      </c>
      <c r="L696" s="12">
        <v>35.19</v>
      </c>
      <c r="M696" s="13">
        <v>4</v>
      </c>
      <c r="N696" s="13">
        <f t="shared" si="80"/>
        <v>10.955462962963793</v>
      </c>
      <c r="O696" s="13">
        <f t="shared" si="81"/>
        <v>0</v>
      </c>
      <c r="P696" t="str">
        <f t="shared" si="82"/>
        <v>On Time</v>
      </c>
      <c r="Q696" s="13">
        <f t="shared" si="83"/>
        <v>0.1844444444286637</v>
      </c>
      <c r="R696" s="13">
        <f t="shared" si="84"/>
        <v>1.07310185184906</v>
      </c>
      <c r="S696" s="13">
        <f t="shared" si="85"/>
        <v>9.8746759259302053</v>
      </c>
      <c r="T696" t="str">
        <f t="shared" si="86"/>
        <v>On Time/Early</v>
      </c>
      <c r="U696" t="str">
        <f t="shared" si="87"/>
        <v>Normal</v>
      </c>
      <c r="V696" t="s">
        <v>102</v>
      </c>
    </row>
    <row r="697" spans="1:22">
      <c r="A697" t="s">
        <v>1159</v>
      </c>
      <c r="B697" s="10">
        <v>43061.766157407408</v>
      </c>
      <c r="C697" s="10">
        <v>43061.773923611108</v>
      </c>
      <c r="D697" s="10">
        <v>43062.88722222222</v>
      </c>
      <c r="E697" s="10">
        <v>43063.87976851852</v>
      </c>
      <c r="F697" s="10">
        <v>43073</v>
      </c>
      <c r="G697" t="s">
        <v>33</v>
      </c>
      <c r="H697" t="s">
        <v>285</v>
      </c>
      <c r="I697" t="s">
        <v>141</v>
      </c>
      <c r="J697" s="11">
        <v>1</v>
      </c>
      <c r="K697" s="12">
        <v>72.48</v>
      </c>
      <c r="L697" s="12">
        <v>9.94</v>
      </c>
      <c r="M697" s="13">
        <v>5</v>
      </c>
      <c r="N697" s="13">
        <f t="shared" si="80"/>
        <v>2.1136111111118225</v>
      </c>
      <c r="O697" s="13">
        <f t="shared" si="81"/>
        <v>0</v>
      </c>
      <c r="P697" t="str">
        <f t="shared" si="82"/>
        <v>On Time</v>
      </c>
      <c r="Q697" s="13">
        <f t="shared" si="83"/>
        <v>0.18638888880377635</v>
      </c>
      <c r="R697" s="13">
        <f t="shared" si="84"/>
        <v>1.1132986111115315</v>
      </c>
      <c r="S697" s="13">
        <f t="shared" si="85"/>
        <v>0.99254629630013369</v>
      </c>
      <c r="T697" t="str">
        <f t="shared" si="86"/>
        <v>On Time/Early</v>
      </c>
      <c r="U697" t="str">
        <f t="shared" si="87"/>
        <v>Normal</v>
      </c>
      <c r="V697" t="s">
        <v>102</v>
      </c>
    </row>
    <row r="698" spans="1:22">
      <c r="A698" t="s">
        <v>1160</v>
      </c>
      <c r="B698" s="10">
        <v>43061.806087962963</v>
      </c>
      <c r="C698" s="10">
        <v>43061.812789351854</v>
      </c>
      <c r="D698" s="10">
        <v>43062.65179398148</v>
      </c>
      <c r="E698" s="10">
        <v>43069.881643518522</v>
      </c>
      <c r="F698" s="10">
        <v>43082</v>
      </c>
      <c r="G698" t="s">
        <v>20</v>
      </c>
      <c r="H698" t="s">
        <v>1161</v>
      </c>
      <c r="I698" t="s">
        <v>115</v>
      </c>
      <c r="J698" s="11">
        <v>1</v>
      </c>
      <c r="K698" s="12">
        <v>99.9</v>
      </c>
      <c r="L698" s="12">
        <v>15.45</v>
      </c>
      <c r="M698" s="13">
        <v>4</v>
      </c>
      <c r="N698" s="13">
        <f t="shared" si="80"/>
        <v>8.0755555555588217</v>
      </c>
      <c r="O698" s="13">
        <f t="shared" si="81"/>
        <v>0</v>
      </c>
      <c r="P698" t="str">
        <f t="shared" si="82"/>
        <v>On Time</v>
      </c>
      <c r="Q698" s="13">
        <f t="shared" si="83"/>
        <v>0.16083333338610828</v>
      </c>
      <c r="R698" s="13">
        <f t="shared" si="84"/>
        <v>0.83900462962628808</v>
      </c>
      <c r="S698" s="13">
        <f t="shared" si="85"/>
        <v>7.2298495370414457</v>
      </c>
      <c r="T698" t="str">
        <f t="shared" si="86"/>
        <v>On Time/Early</v>
      </c>
      <c r="U698" t="str">
        <f t="shared" si="87"/>
        <v>Normal</v>
      </c>
      <c r="V698" t="s">
        <v>102</v>
      </c>
    </row>
    <row r="699" spans="1:22">
      <c r="A699" t="s">
        <v>1162</v>
      </c>
      <c r="B699" s="10">
        <v>43061.883842592593</v>
      </c>
      <c r="C699" s="10">
        <v>43063.132569444446</v>
      </c>
      <c r="D699" s="10">
        <v>43081.047222222223</v>
      </c>
      <c r="E699" s="10">
        <v>43087.638287037036</v>
      </c>
      <c r="F699" s="10">
        <v>43080</v>
      </c>
      <c r="G699" t="s">
        <v>8</v>
      </c>
      <c r="H699" t="s">
        <v>1163</v>
      </c>
      <c r="I699" t="s">
        <v>51</v>
      </c>
      <c r="J699" s="11">
        <v>1</v>
      </c>
      <c r="K699" s="12">
        <v>250</v>
      </c>
      <c r="L699" s="12">
        <v>35.020000000000003</v>
      </c>
      <c r="M699" s="13">
        <v>1</v>
      </c>
      <c r="N699" s="13">
        <f t="shared" si="80"/>
        <v>25.754444444442925</v>
      </c>
      <c r="O699" s="13">
        <f t="shared" si="81"/>
        <v>7.638287037036207</v>
      </c>
      <c r="P699" t="str">
        <f t="shared" si="82"/>
        <v>Delayed</v>
      </c>
      <c r="Q699" s="13">
        <f t="shared" si="83"/>
        <v>29.96944444446126</v>
      </c>
      <c r="R699" s="13">
        <f t="shared" si="84"/>
        <v>17.914652777777519</v>
      </c>
      <c r="S699" s="13">
        <f t="shared" si="85"/>
        <v>6.591064814812853</v>
      </c>
      <c r="T699" t="str">
        <f t="shared" si="86"/>
        <v>8+ Days Late</v>
      </c>
      <c r="U699" t="str">
        <f t="shared" si="87"/>
        <v>Needs Review</v>
      </c>
      <c r="V699" t="s">
        <v>102</v>
      </c>
    </row>
    <row r="700" spans="1:22">
      <c r="A700" t="s">
        <v>1164</v>
      </c>
      <c r="B700" s="10">
        <v>43062.217395833337</v>
      </c>
      <c r="C700" s="10">
        <v>43063.133310185185</v>
      </c>
      <c r="D700" s="10">
        <v>43066.8125</v>
      </c>
      <c r="E700" s="10">
        <v>43089.760023148148</v>
      </c>
      <c r="F700" s="10">
        <v>43097</v>
      </c>
      <c r="G700" t="s">
        <v>175</v>
      </c>
      <c r="H700" t="s">
        <v>1165</v>
      </c>
      <c r="I700" t="s">
        <v>118</v>
      </c>
      <c r="J700" s="11">
        <v>1</v>
      </c>
      <c r="K700" s="12">
        <v>24.99</v>
      </c>
      <c r="L700" s="12">
        <v>25.63</v>
      </c>
      <c r="M700" s="13">
        <v>3</v>
      </c>
      <c r="N700" s="13">
        <f t="shared" si="80"/>
        <v>27.542627314811398</v>
      </c>
      <c r="O700" s="13">
        <f t="shared" si="81"/>
        <v>0</v>
      </c>
      <c r="P700" t="str">
        <f t="shared" si="82"/>
        <v>On Time</v>
      </c>
      <c r="Q700" s="13">
        <f t="shared" si="83"/>
        <v>21.981944444356486</v>
      </c>
      <c r="R700" s="13">
        <f t="shared" si="84"/>
        <v>3.6791898148148903</v>
      </c>
      <c r="S700" s="13">
        <f t="shared" si="85"/>
        <v>22.947523148148321</v>
      </c>
      <c r="T700" t="str">
        <f t="shared" si="86"/>
        <v>On Time/Early</v>
      </c>
      <c r="U700" t="str">
        <f t="shared" si="87"/>
        <v>Normal</v>
      </c>
      <c r="V700" t="s">
        <v>102</v>
      </c>
    </row>
    <row r="701" spans="1:22">
      <c r="A701" t="s">
        <v>1166</v>
      </c>
      <c r="B701" s="10">
        <v>43062.276597222219</v>
      </c>
      <c r="C701" s="10">
        <v>43062.282962962963</v>
      </c>
      <c r="D701" s="10">
        <v>43069.004861111112</v>
      </c>
      <c r="E701" s="10">
        <v>43077.839803240742</v>
      </c>
      <c r="F701" s="10">
        <v>43084</v>
      </c>
      <c r="G701" t="s">
        <v>33</v>
      </c>
      <c r="H701" t="s">
        <v>739</v>
      </c>
      <c r="I701" t="s">
        <v>279</v>
      </c>
      <c r="J701" s="11">
        <v>1</v>
      </c>
      <c r="K701" s="12">
        <v>41.3</v>
      </c>
      <c r="L701" s="12">
        <v>15.1</v>
      </c>
      <c r="M701" s="13">
        <v>5</v>
      </c>
      <c r="N701" s="13">
        <f t="shared" si="80"/>
        <v>15.563206018523488</v>
      </c>
      <c r="O701" s="13">
        <f t="shared" si="81"/>
        <v>0</v>
      </c>
      <c r="P701" t="str">
        <f t="shared" si="82"/>
        <v>On Time</v>
      </c>
      <c r="Q701" s="13">
        <f t="shared" si="83"/>
        <v>0.15277777786832303</v>
      </c>
      <c r="R701" s="13">
        <f t="shared" si="84"/>
        <v>6.7218981481491937</v>
      </c>
      <c r="S701" s="13">
        <f t="shared" si="85"/>
        <v>8.8349421296297805</v>
      </c>
      <c r="T701" t="str">
        <f t="shared" si="86"/>
        <v>On Time/Early</v>
      </c>
      <c r="U701" t="str">
        <f t="shared" si="87"/>
        <v>Normal</v>
      </c>
      <c r="V701" t="s">
        <v>102</v>
      </c>
    </row>
    <row r="702" spans="1:22">
      <c r="A702" t="s">
        <v>1167</v>
      </c>
      <c r="B702" s="10">
        <v>43062.312824074077</v>
      </c>
      <c r="C702" s="10">
        <v>43062.317685185182</v>
      </c>
      <c r="D702" s="10">
        <v>43063.711747685185</v>
      </c>
      <c r="E702" s="10">
        <v>43091.976099537038</v>
      </c>
      <c r="F702" s="10">
        <v>43090</v>
      </c>
      <c r="G702" t="s">
        <v>30</v>
      </c>
      <c r="H702" t="s">
        <v>1168</v>
      </c>
      <c r="I702" t="s">
        <v>339</v>
      </c>
      <c r="J702" s="11">
        <v>1</v>
      </c>
      <c r="K702" s="12">
        <v>54</v>
      </c>
      <c r="L702" s="12">
        <v>17.63</v>
      </c>
      <c r="M702" s="13">
        <v>4</v>
      </c>
      <c r="N702" s="13">
        <f t="shared" si="80"/>
        <v>29.663275462960883</v>
      </c>
      <c r="O702" s="13">
        <f t="shared" si="81"/>
        <v>1.9760995370379533</v>
      </c>
      <c r="P702" t="str">
        <f t="shared" si="82"/>
        <v>Delayed</v>
      </c>
      <c r="Q702" s="13">
        <f t="shared" si="83"/>
        <v>0.11666666652308777</v>
      </c>
      <c r="R702" s="13">
        <f t="shared" si="84"/>
        <v>1.3940625000032014</v>
      </c>
      <c r="S702" s="13">
        <f t="shared" si="85"/>
        <v>28.264351851852552</v>
      </c>
      <c r="T702" t="str">
        <f t="shared" si="86"/>
        <v>1-3 Days Late</v>
      </c>
      <c r="U702" t="str">
        <f t="shared" si="87"/>
        <v>Needs Review</v>
      </c>
      <c r="V702" t="s">
        <v>102</v>
      </c>
    </row>
    <row r="703" spans="1:22">
      <c r="A703" t="s">
        <v>1169</v>
      </c>
      <c r="B703" s="10">
        <v>43062.471886574072</v>
      </c>
      <c r="C703" s="10">
        <v>43063.939189814817</v>
      </c>
      <c r="D703" s="10">
        <v>43066.614560185182</v>
      </c>
      <c r="E703" s="10">
        <v>43073.796840277777</v>
      </c>
      <c r="F703" s="10">
        <v>43084</v>
      </c>
      <c r="G703" t="s">
        <v>36</v>
      </c>
      <c r="H703" t="s">
        <v>1170</v>
      </c>
      <c r="I703" t="s">
        <v>143</v>
      </c>
      <c r="J703" s="11">
        <v>2</v>
      </c>
      <c r="K703" s="12">
        <v>219.8</v>
      </c>
      <c r="L703" s="12">
        <v>31.04</v>
      </c>
      <c r="M703" s="13">
        <v>5</v>
      </c>
      <c r="N703" s="13">
        <f t="shared" si="80"/>
        <v>11.324953703704523</v>
      </c>
      <c r="O703" s="13">
        <f t="shared" si="81"/>
        <v>0</v>
      </c>
      <c r="P703" t="str">
        <f t="shared" si="82"/>
        <v>On Time</v>
      </c>
      <c r="Q703" s="13">
        <f t="shared" si="83"/>
        <v>35.215277777868323</v>
      </c>
      <c r="R703" s="13">
        <f t="shared" si="84"/>
        <v>2.6753703703652718</v>
      </c>
      <c r="S703" s="13">
        <f t="shared" si="85"/>
        <v>7.1822800925947377</v>
      </c>
      <c r="T703" t="str">
        <f t="shared" si="86"/>
        <v>On Time/Early</v>
      </c>
      <c r="U703" t="str">
        <f t="shared" si="87"/>
        <v>Normal</v>
      </c>
      <c r="V703" t="s">
        <v>102</v>
      </c>
    </row>
    <row r="704" spans="1:22">
      <c r="A704" t="s">
        <v>1171</v>
      </c>
      <c r="B704" s="10">
        <v>43062.481342592589</v>
      </c>
      <c r="C704" s="10">
        <v>43062.492013888892</v>
      </c>
      <c r="D704" s="10">
        <v>43062.842615740738</v>
      </c>
      <c r="E704" s="10">
        <v>43064.629895833335</v>
      </c>
      <c r="F704" s="10">
        <v>43074</v>
      </c>
      <c r="G704" t="s">
        <v>8</v>
      </c>
      <c r="H704" t="s">
        <v>140</v>
      </c>
      <c r="I704" t="s">
        <v>31</v>
      </c>
      <c r="J704" s="11">
        <v>1</v>
      </c>
      <c r="K704" s="12">
        <v>135.9</v>
      </c>
      <c r="L704" s="12">
        <v>19.420000000000002</v>
      </c>
      <c r="M704" s="13">
        <v>5</v>
      </c>
      <c r="N704" s="13">
        <f t="shared" si="80"/>
        <v>2.1485532407459687</v>
      </c>
      <c r="O704" s="13">
        <f t="shared" si="81"/>
        <v>0</v>
      </c>
      <c r="P704" t="str">
        <f t="shared" si="82"/>
        <v>On Time</v>
      </c>
      <c r="Q704" s="13">
        <f t="shared" si="83"/>
        <v>0.25611111125908792</v>
      </c>
      <c r="R704" s="13">
        <f t="shared" si="84"/>
        <v>0.35060185184556758</v>
      </c>
      <c r="S704" s="13">
        <f t="shared" si="85"/>
        <v>1.7872800925979391</v>
      </c>
      <c r="T704" t="str">
        <f t="shared" si="86"/>
        <v>On Time/Early</v>
      </c>
      <c r="U704" t="str">
        <f t="shared" si="87"/>
        <v>Normal</v>
      </c>
      <c r="V704" t="s">
        <v>102</v>
      </c>
    </row>
    <row r="705" spans="1:22">
      <c r="A705" t="s">
        <v>1172</v>
      </c>
      <c r="B705" s="10">
        <v>43062.654861111114</v>
      </c>
      <c r="C705" s="10">
        <v>43073.45449074074</v>
      </c>
      <c r="D705" s="10">
        <v>43076.032569444447</v>
      </c>
      <c r="E705" s="10">
        <v>43095.821956018517</v>
      </c>
      <c r="F705" s="10">
        <v>43095</v>
      </c>
      <c r="G705" t="s">
        <v>20</v>
      </c>
      <c r="H705" t="s">
        <v>1173</v>
      </c>
      <c r="I705" t="s">
        <v>120</v>
      </c>
      <c r="J705" s="11">
        <v>1</v>
      </c>
      <c r="K705" s="12">
        <v>841.5</v>
      </c>
      <c r="L705" s="12">
        <v>33.4</v>
      </c>
      <c r="M705" s="13">
        <v>5</v>
      </c>
      <c r="N705" s="13">
        <f t="shared" si="80"/>
        <v>33.167094907403225</v>
      </c>
      <c r="O705" s="13">
        <f t="shared" si="81"/>
        <v>0.82195601851708489</v>
      </c>
      <c r="P705" t="str">
        <f t="shared" si="82"/>
        <v>Delayed</v>
      </c>
      <c r="Q705" s="13">
        <f t="shared" si="83"/>
        <v>259.19111111102393</v>
      </c>
      <c r="R705" s="13">
        <f t="shared" si="84"/>
        <v>2.5780787037074333</v>
      </c>
      <c r="S705" s="13">
        <f t="shared" si="85"/>
        <v>19.789386574069795</v>
      </c>
      <c r="T705" t="str">
        <f t="shared" si="86"/>
        <v>1-3 Days Late</v>
      </c>
      <c r="U705" t="str">
        <f t="shared" si="87"/>
        <v>Needs Review</v>
      </c>
      <c r="V705" t="s">
        <v>102</v>
      </c>
    </row>
    <row r="706" spans="1:22">
      <c r="A706" t="s">
        <v>1174</v>
      </c>
      <c r="B706" s="10">
        <v>43062.682615740741</v>
      </c>
      <c r="C706" s="10">
        <v>43062.689108796294</v>
      </c>
      <c r="D706" s="10">
        <v>43063.737372685187</v>
      </c>
      <c r="E706" s="10">
        <v>43083.797881944447</v>
      </c>
      <c r="F706" s="10">
        <v>43097</v>
      </c>
      <c r="G706" t="s">
        <v>175</v>
      </c>
      <c r="H706" t="s">
        <v>348</v>
      </c>
      <c r="I706" t="s">
        <v>58</v>
      </c>
      <c r="J706" s="11">
        <v>1</v>
      </c>
      <c r="K706" s="12">
        <v>89.99</v>
      </c>
      <c r="L706" s="12">
        <v>19.170000000000002</v>
      </c>
      <c r="M706" s="13">
        <v>5</v>
      </c>
      <c r="N706" s="13">
        <f t="shared" ref="N706:N769" si="88">IFERROR(E706-B706,"")</f>
        <v>21.115266203705687</v>
      </c>
      <c r="O706" s="13">
        <f t="shared" ref="O706:O769" si="89">IFERROR(MAX(0,E706-F706),"")</f>
        <v>0</v>
      </c>
      <c r="P706" t="str">
        <f t="shared" ref="P706:P769" si="90">IF(O706&gt;0,"Delayed","On Time")</f>
        <v>On Time</v>
      </c>
      <c r="Q706" s="13">
        <f t="shared" ref="Q706:Q769" si="91">IFERROR((C706-B706)*24,"")</f>
        <v>0.15583333326503634</v>
      </c>
      <c r="R706" s="13">
        <f t="shared" ref="R706:R769" si="92">IFERROR(D706-C706,"")</f>
        <v>1.0482638888934162</v>
      </c>
      <c r="S706" s="13">
        <f t="shared" ref="S706:S769" si="93">IFERROR(E706-D706,"")</f>
        <v>20.060509259259561</v>
      </c>
      <c r="T706" t="str">
        <f t="shared" ref="T706:T769" si="94">IF(O706=0,"On Time/Early",IF(O706&lt;=3,"1-3 Days Late",IF(O706&lt;=7,"4-7 Days Late","8+ Days Late")))</f>
        <v>On Time/Early</v>
      </c>
      <c r="U706" t="str">
        <f t="shared" ref="U706:U769" si="95">IF(P706="Delayed","Needs Review","Normal")</f>
        <v>Normal</v>
      </c>
      <c r="V706" t="s">
        <v>102</v>
      </c>
    </row>
    <row r="707" spans="1:22">
      <c r="A707" t="s">
        <v>1175</v>
      </c>
      <c r="B707" s="10">
        <v>43062.766192129631</v>
      </c>
      <c r="C707" s="10">
        <v>43062.788738425923</v>
      </c>
      <c r="D707" s="10">
        <v>43068.983912037038</v>
      </c>
      <c r="E707" s="10">
        <v>43074.039548611108</v>
      </c>
      <c r="F707" s="10">
        <v>43076</v>
      </c>
      <c r="G707" t="s">
        <v>8</v>
      </c>
      <c r="H707" t="s">
        <v>179</v>
      </c>
      <c r="I707" t="s">
        <v>141</v>
      </c>
      <c r="J707" s="11">
        <v>1</v>
      </c>
      <c r="K707" s="12">
        <v>34.78</v>
      </c>
      <c r="L707" s="12">
        <v>8.7200000000000006</v>
      </c>
      <c r="M707" s="13">
        <v>5</v>
      </c>
      <c r="N707" s="13">
        <f t="shared" si="88"/>
        <v>11.273356481477094</v>
      </c>
      <c r="O707" s="13">
        <f t="shared" si="89"/>
        <v>0</v>
      </c>
      <c r="P707" t="str">
        <f t="shared" si="90"/>
        <v>On Time</v>
      </c>
      <c r="Q707" s="13">
        <f t="shared" si="91"/>
        <v>0.54111111100064591</v>
      </c>
      <c r="R707" s="13">
        <f t="shared" si="92"/>
        <v>6.195173611115024</v>
      </c>
      <c r="S707" s="13">
        <f t="shared" si="93"/>
        <v>5.0556365740703768</v>
      </c>
      <c r="T707" t="str">
        <f t="shared" si="94"/>
        <v>On Time/Early</v>
      </c>
      <c r="U707" t="str">
        <f t="shared" si="95"/>
        <v>Normal</v>
      </c>
      <c r="V707" t="s">
        <v>102</v>
      </c>
    </row>
    <row r="708" spans="1:22">
      <c r="A708" t="s">
        <v>1176</v>
      </c>
      <c r="B708" s="10">
        <v>43062.784062500003</v>
      </c>
      <c r="C708" s="10">
        <v>43063.401770833334</v>
      </c>
      <c r="D708" s="10">
        <v>43063.772164351853</v>
      </c>
      <c r="E708" s="10">
        <v>43084.06150462963</v>
      </c>
      <c r="F708" s="10">
        <v>43088</v>
      </c>
      <c r="G708" t="s">
        <v>206</v>
      </c>
      <c r="H708" t="s">
        <v>1177</v>
      </c>
      <c r="I708" t="s">
        <v>115</v>
      </c>
      <c r="J708" s="11">
        <v>2</v>
      </c>
      <c r="K708" s="12">
        <v>78</v>
      </c>
      <c r="L708" s="12">
        <v>68.3</v>
      </c>
      <c r="M708" s="13">
        <v>5</v>
      </c>
      <c r="N708" s="13">
        <f t="shared" si="88"/>
        <v>21.277442129627161</v>
      </c>
      <c r="O708" s="13">
        <f t="shared" si="89"/>
        <v>0</v>
      </c>
      <c r="P708" t="str">
        <f t="shared" si="90"/>
        <v>On Time</v>
      </c>
      <c r="Q708" s="13">
        <f t="shared" si="91"/>
        <v>14.824999999953434</v>
      </c>
      <c r="R708" s="13">
        <f t="shared" si="92"/>
        <v>0.37039351851854008</v>
      </c>
      <c r="S708" s="13">
        <f t="shared" si="93"/>
        <v>20.289340277777228</v>
      </c>
      <c r="T708" t="str">
        <f t="shared" si="94"/>
        <v>On Time/Early</v>
      </c>
      <c r="U708" t="str">
        <f t="shared" si="95"/>
        <v>Normal</v>
      </c>
      <c r="V708" t="s">
        <v>102</v>
      </c>
    </row>
    <row r="709" spans="1:22">
      <c r="A709" t="s">
        <v>1178</v>
      </c>
      <c r="B709" s="10">
        <v>43062.955983796295</v>
      </c>
      <c r="C709" s="10">
        <v>43062.964155092595</v>
      </c>
      <c r="D709" s="10">
        <v>43063.901863425926</v>
      </c>
      <c r="E709" s="10">
        <v>43071.728379629632</v>
      </c>
      <c r="F709" s="10">
        <v>43083</v>
      </c>
      <c r="G709" t="s">
        <v>20</v>
      </c>
      <c r="H709" t="s">
        <v>104</v>
      </c>
      <c r="I709" t="s">
        <v>128</v>
      </c>
      <c r="J709" s="11">
        <v>2</v>
      </c>
      <c r="K709" s="12">
        <v>98</v>
      </c>
      <c r="L709" s="12">
        <v>35.340000000000003</v>
      </c>
      <c r="M709" s="13">
        <v>1</v>
      </c>
      <c r="N709" s="13">
        <f t="shared" si="88"/>
        <v>8.7723958333372138</v>
      </c>
      <c r="O709" s="13">
        <f t="shared" si="89"/>
        <v>0</v>
      </c>
      <c r="P709" t="str">
        <f t="shared" si="90"/>
        <v>On Time</v>
      </c>
      <c r="Q709" s="13">
        <f t="shared" si="91"/>
        <v>0.19611111120320857</v>
      </c>
      <c r="R709" s="13">
        <f t="shared" si="92"/>
        <v>0.93770833333110204</v>
      </c>
      <c r="S709" s="13">
        <f t="shared" si="93"/>
        <v>7.8265162037059781</v>
      </c>
      <c r="T709" t="str">
        <f t="shared" si="94"/>
        <v>On Time/Early</v>
      </c>
      <c r="U709" t="str">
        <f t="shared" si="95"/>
        <v>Normal</v>
      </c>
      <c r="V709" t="s">
        <v>102</v>
      </c>
    </row>
    <row r="710" spans="1:22">
      <c r="A710" t="s">
        <v>1179</v>
      </c>
      <c r="B710" s="10">
        <v>43063.01284722222</v>
      </c>
      <c r="C710" s="10">
        <v>43063.539224537039</v>
      </c>
      <c r="D710" s="10">
        <v>43067.933738425927</v>
      </c>
      <c r="E710" s="10">
        <v>43087.499039351853</v>
      </c>
      <c r="F710" s="10">
        <v>43083</v>
      </c>
      <c r="G710" t="s">
        <v>16</v>
      </c>
      <c r="H710" t="s">
        <v>138</v>
      </c>
      <c r="I710" t="s">
        <v>1180</v>
      </c>
      <c r="J710" s="11">
        <v>1</v>
      </c>
      <c r="K710" s="12">
        <v>242</v>
      </c>
      <c r="L710" s="12">
        <v>17.940000000000001</v>
      </c>
      <c r="M710" s="13">
        <v>1</v>
      </c>
      <c r="N710" s="13">
        <f t="shared" si="88"/>
        <v>24.4861921296324</v>
      </c>
      <c r="O710" s="13">
        <f t="shared" si="89"/>
        <v>4.4990393518528435</v>
      </c>
      <c r="P710" t="str">
        <f t="shared" si="90"/>
        <v>Delayed</v>
      </c>
      <c r="Q710" s="13">
        <f t="shared" si="91"/>
        <v>12.633055555634201</v>
      </c>
      <c r="R710" s="13">
        <f t="shared" si="92"/>
        <v>4.3945138888884685</v>
      </c>
      <c r="S710" s="13">
        <f t="shared" si="93"/>
        <v>19.56530092592584</v>
      </c>
      <c r="T710" t="str">
        <f t="shared" si="94"/>
        <v>4-7 Days Late</v>
      </c>
      <c r="U710" t="str">
        <f t="shared" si="95"/>
        <v>Needs Review</v>
      </c>
      <c r="V710" t="s">
        <v>102</v>
      </c>
    </row>
    <row r="711" spans="1:22">
      <c r="A711" t="s">
        <v>1181</v>
      </c>
      <c r="B711" s="10">
        <v>43063.025081018517</v>
      </c>
      <c r="C711" s="10">
        <v>43063.048738425925</v>
      </c>
      <c r="D711" s="10">
        <v>43066.699305555558</v>
      </c>
      <c r="E711" s="10">
        <v>43072.804768518516</v>
      </c>
      <c r="F711" s="10">
        <v>43089</v>
      </c>
      <c r="G711" t="s">
        <v>23</v>
      </c>
      <c r="H711" t="s">
        <v>1182</v>
      </c>
      <c r="I711" t="s">
        <v>136</v>
      </c>
      <c r="J711" s="11">
        <v>1</v>
      </c>
      <c r="K711" s="12">
        <v>44.5</v>
      </c>
      <c r="L711" s="12">
        <v>16.79</v>
      </c>
      <c r="M711" s="13">
        <v>5</v>
      </c>
      <c r="N711" s="13">
        <f t="shared" si="88"/>
        <v>9.7796874999985448</v>
      </c>
      <c r="O711" s="13">
        <f t="shared" si="89"/>
        <v>0</v>
      </c>
      <c r="P711" t="str">
        <f t="shared" si="90"/>
        <v>On Time</v>
      </c>
      <c r="Q711" s="13">
        <f t="shared" si="91"/>
        <v>0.56777777778916061</v>
      </c>
      <c r="R711" s="13">
        <f t="shared" si="92"/>
        <v>3.6505671296326909</v>
      </c>
      <c r="S711" s="13">
        <f t="shared" si="93"/>
        <v>6.1054629629579722</v>
      </c>
      <c r="T711" t="str">
        <f t="shared" si="94"/>
        <v>On Time/Early</v>
      </c>
      <c r="U711" t="str">
        <f t="shared" si="95"/>
        <v>Normal</v>
      </c>
      <c r="V711" t="s">
        <v>102</v>
      </c>
    </row>
    <row r="712" spans="1:22">
      <c r="A712" t="s">
        <v>1183</v>
      </c>
      <c r="B712" s="10">
        <v>43063.066157407404</v>
      </c>
      <c r="C712" s="10">
        <v>43063.075277777774</v>
      </c>
      <c r="D712" s="10">
        <v>43064.699166666665</v>
      </c>
      <c r="E712" s="10">
        <v>43068.835879629631</v>
      </c>
      <c r="F712" s="10">
        <v>43081</v>
      </c>
      <c r="G712" t="s">
        <v>8</v>
      </c>
      <c r="H712" t="s">
        <v>1184</v>
      </c>
      <c r="I712" t="s">
        <v>112</v>
      </c>
      <c r="J712" s="11">
        <v>2</v>
      </c>
      <c r="K712" s="12">
        <v>139.80000000000001</v>
      </c>
      <c r="L712" s="12">
        <v>18.05</v>
      </c>
      <c r="M712" s="13">
        <v>5</v>
      </c>
      <c r="N712" s="13">
        <f t="shared" si="88"/>
        <v>5.7697222222268465</v>
      </c>
      <c r="O712" s="13">
        <f t="shared" si="89"/>
        <v>0</v>
      </c>
      <c r="P712" t="str">
        <f t="shared" si="90"/>
        <v>On Time</v>
      </c>
      <c r="Q712" s="13">
        <f t="shared" si="91"/>
        <v>0.218888888892252</v>
      </c>
      <c r="R712" s="13">
        <f t="shared" si="92"/>
        <v>1.6238888888910878</v>
      </c>
      <c r="S712" s="13">
        <f t="shared" si="93"/>
        <v>4.1367129629652482</v>
      </c>
      <c r="T712" t="str">
        <f t="shared" si="94"/>
        <v>On Time/Early</v>
      </c>
      <c r="U712" t="str">
        <f t="shared" si="95"/>
        <v>Normal</v>
      </c>
      <c r="V712" t="s">
        <v>102</v>
      </c>
    </row>
    <row r="713" spans="1:22">
      <c r="A713" t="s">
        <v>1185</v>
      </c>
      <c r="B713" s="10">
        <v>43063.381805555553</v>
      </c>
      <c r="C713" s="10">
        <v>43063.42527777778</v>
      </c>
      <c r="D713" s="10">
        <v>43068.798020833332</v>
      </c>
      <c r="E713" s="10">
        <v>43080.895162037035</v>
      </c>
      <c r="F713" s="10">
        <v>43088</v>
      </c>
      <c r="G713" t="s">
        <v>20</v>
      </c>
      <c r="H713" t="s">
        <v>104</v>
      </c>
      <c r="I713" t="s">
        <v>34</v>
      </c>
      <c r="J713" s="11">
        <v>1</v>
      </c>
      <c r="K713" s="12">
        <v>29.9</v>
      </c>
      <c r="L713" s="12">
        <v>15.79</v>
      </c>
      <c r="M713" s="13">
        <v>5</v>
      </c>
      <c r="N713" s="13">
        <f t="shared" si="88"/>
        <v>17.513356481482333</v>
      </c>
      <c r="O713" s="13">
        <f t="shared" si="89"/>
        <v>0</v>
      </c>
      <c r="P713" t="str">
        <f t="shared" si="90"/>
        <v>On Time</v>
      </c>
      <c r="Q713" s="13">
        <f t="shared" si="91"/>
        <v>1.0433333334513009</v>
      </c>
      <c r="R713" s="13">
        <f t="shared" si="92"/>
        <v>5.3727430555518367</v>
      </c>
      <c r="S713" s="13">
        <f t="shared" si="93"/>
        <v>12.097141203703359</v>
      </c>
      <c r="T713" t="str">
        <f t="shared" si="94"/>
        <v>On Time/Early</v>
      </c>
      <c r="U713" t="str">
        <f t="shared" si="95"/>
        <v>Normal</v>
      </c>
      <c r="V713" t="s">
        <v>102</v>
      </c>
    </row>
    <row r="714" spans="1:22">
      <c r="A714" t="s">
        <v>1186</v>
      </c>
      <c r="B714" s="10">
        <v>43063.42800925926</v>
      </c>
      <c r="C714" s="10">
        <v>43064.148645833331</v>
      </c>
      <c r="D714" s="10">
        <v>43066.961099537039</v>
      </c>
      <c r="E714" s="10">
        <v>43068.956354166665</v>
      </c>
      <c r="F714" s="10">
        <v>43083</v>
      </c>
      <c r="G714" t="s">
        <v>8</v>
      </c>
      <c r="H714" t="s">
        <v>1187</v>
      </c>
      <c r="I714" t="s">
        <v>279</v>
      </c>
      <c r="J714" s="11">
        <v>1</v>
      </c>
      <c r="K714" s="12">
        <v>43.8</v>
      </c>
      <c r="L714" s="12">
        <v>11.85</v>
      </c>
      <c r="M714" s="13">
        <v>4</v>
      </c>
      <c r="N714" s="13">
        <f t="shared" si="88"/>
        <v>5.5283449074049713</v>
      </c>
      <c r="O714" s="13">
        <f t="shared" si="89"/>
        <v>0</v>
      </c>
      <c r="P714" t="str">
        <f t="shared" si="90"/>
        <v>On Time</v>
      </c>
      <c r="Q714" s="13">
        <f t="shared" si="91"/>
        <v>17.295277777709998</v>
      </c>
      <c r="R714" s="13">
        <f t="shared" si="92"/>
        <v>2.8124537037074333</v>
      </c>
      <c r="S714" s="13">
        <f t="shared" si="93"/>
        <v>1.9952546296262881</v>
      </c>
      <c r="T714" t="str">
        <f t="shared" si="94"/>
        <v>On Time/Early</v>
      </c>
      <c r="U714" t="str">
        <f t="shared" si="95"/>
        <v>Normal</v>
      </c>
      <c r="V714" t="s">
        <v>102</v>
      </c>
    </row>
    <row r="715" spans="1:22">
      <c r="A715" t="s">
        <v>1188</v>
      </c>
      <c r="B715" s="10">
        <v>43063.438796296294</v>
      </c>
      <c r="C715" s="10">
        <v>43063.581655092596</v>
      </c>
      <c r="D715" s="10">
        <v>43063.908148148148</v>
      </c>
      <c r="E715" s="10">
        <v>43066.800567129627</v>
      </c>
      <c r="F715" s="10">
        <v>43077</v>
      </c>
      <c r="G715" t="s">
        <v>8</v>
      </c>
      <c r="H715" t="s">
        <v>140</v>
      </c>
      <c r="I715" t="s">
        <v>246</v>
      </c>
      <c r="J715" s="11">
        <v>1</v>
      </c>
      <c r="K715" s="12">
        <v>19.989999999999998</v>
      </c>
      <c r="L715" s="12">
        <v>9.34</v>
      </c>
      <c r="M715" s="13">
        <v>5</v>
      </c>
      <c r="N715" s="13">
        <f t="shared" si="88"/>
        <v>3.3617708333331393</v>
      </c>
      <c r="O715" s="13">
        <f t="shared" si="89"/>
        <v>0</v>
      </c>
      <c r="P715" t="str">
        <f t="shared" si="90"/>
        <v>On Time</v>
      </c>
      <c r="Q715" s="13">
        <f t="shared" si="91"/>
        <v>3.4286111112451181</v>
      </c>
      <c r="R715" s="13">
        <f t="shared" si="92"/>
        <v>0.32649305555241881</v>
      </c>
      <c r="S715" s="13">
        <f t="shared" si="93"/>
        <v>2.8924189814788406</v>
      </c>
      <c r="T715" t="str">
        <f t="shared" si="94"/>
        <v>On Time/Early</v>
      </c>
      <c r="U715" t="str">
        <f t="shared" si="95"/>
        <v>Normal</v>
      </c>
      <c r="V715" t="s">
        <v>102</v>
      </c>
    </row>
    <row r="716" spans="1:22">
      <c r="A716" t="s">
        <v>1189</v>
      </c>
      <c r="B716" s="10">
        <v>43063.453587962962</v>
      </c>
      <c r="C716" s="10">
        <v>43063.522349537037</v>
      </c>
      <c r="D716" s="10">
        <v>43063.860289351855</v>
      </c>
      <c r="E716" s="10">
        <v>43076.914652777778</v>
      </c>
      <c r="F716" s="10">
        <v>43083</v>
      </c>
      <c r="G716" t="s">
        <v>16</v>
      </c>
      <c r="H716" t="s">
        <v>138</v>
      </c>
      <c r="I716" t="s">
        <v>143</v>
      </c>
      <c r="J716" s="11">
        <v>1</v>
      </c>
      <c r="K716" s="12">
        <v>233</v>
      </c>
      <c r="L716" s="12">
        <v>16.39</v>
      </c>
      <c r="M716" s="13">
        <v>5</v>
      </c>
      <c r="N716" s="13">
        <f t="shared" si="88"/>
        <v>13.461064814815472</v>
      </c>
      <c r="O716" s="13">
        <f t="shared" si="89"/>
        <v>0</v>
      </c>
      <c r="P716" t="str">
        <f t="shared" si="90"/>
        <v>On Time</v>
      </c>
      <c r="Q716" s="13">
        <f t="shared" si="91"/>
        <v>1.6502777778077871</v>
      </c>
      <c r="R716" s="13">
        <f t="shared" si="92"/>
        <v>0.33793981481721858</v>
      </c>
      <c r="S716" s="13">
        <f t="shared" si="93"/>
        <v>13.054363425922929</v>
      </c>
      <c r="T716" t="str">
        <f t="shared" si="94"/>
        <v>On Time/Early</v>
      </c>
      <c r="U716" t="str">
        <f t="shared" si="95"/>
        <v>Normal</v>
      </c>
      <c r="V716" t="s">
        <v>102</v>
      </c>
    </row>
    <row r="717" spans="1:22">
      <c r="A717" t="s">
        <v>1190</v>
      </c>
      <c r="B717" s="10">
        <v>43063.497812499998</v>
      </c>
      <c r="C717" s="10">
        <v>43063.609039351853</v>
      </c>
      <c r="D717" s="10">
        <v>43067.913032407407</v>
      </c>
      <c r="E717" s="10">
        <v>43097.531284722223</v>
      </c>
      <c r="F717" s="10">
        <v>43090</v>
      </c>
      <c r="G717" t="s">
        <v>16</v>
      </c>
      <c r="H717" t="s">
        <v>1191</v>
      </c>
      <c r="I717" t="s">
        <v>34</v>
      </c>
      <c r="J717" s="11">
        <v>1</v>
      </c>
      <c r="K717" s="12">
        <v>249</v>
      </c>
      <c r="L717" s="12">
        <v>17.5</v>
      </c>
      <c r="M717" s="13">
        <v>3</v>
      </c>
      <c r="N717" s="13">
        <f t="shared" si="88"/>
        <v>34.0334722222251</v>
      </c>
      <c r="O717" s="13">
        <f t="shared" si="89"/>
        <v>7.531284722223063</v>
      </c>
      <c r="P717" t="str">
        <f t="shared" si="90"/>
        <v>Delayed</v>
      </c>
      <c r="Q717" s="13">
        <f t="shared" si="91"/>
        <v>2.6694444445311092</v>
      </c>
      <c r="R717" s="13">
        <f t="shared" si="92"/>
        <v>4.3039930555532919</v>
      </c>
      <c r="S717" s="13">
        <f t="shared" si="93"/>
        <v>29.618252314816345</v>
      </c>
      <c r="T717" t="str">
        <f t="shared" si="94"/>
        <v>8+ Days Late</v>
      </c>
      <c r="U717" t="str">
        <f t="shared" si="95"/>
        <v>Needs Review</v>
      </c>
      <c r="V717" t="s">
        <v>102</v>
      </c>
    </row>
    <row r="718" spans="1:22">
      <c r="A718" t="s">
        <v>1192</v>
      </c>
      <c r="B718" s="10">
        <v>43063.524409722224</v>
      </c>
      <c r="C718" s="10">
        <v>43063.619837962964</v>
      </c>
      <c r="D718" s="10">
        <v>43068.691863425927</v>
      </c>
      <c r="E718" s="10">
        <v>43078.71837962963</v>
      </c>
      <c r="F718" s="10">
        <v>43096</v>
      </c>
      <c r="G718" t="s">
        <v>30</v>
      </c>
      <c r="H718" t="s">
        <v>1193</v>
      </c>
      <c r="I718" t="s">
        <v>141</v>
      </c>
      <c r="J718" s="11">
        <v>1</v>
      </c>
      <c r="K718" s="12">
        <v>19.98</v>
      </c>
      <c r="L718" s="12">
        <v>16.11</v>
      </c>
      <c r="M718" s="13">
        <v>5</v>
      </c>
      <c r="N718" s="13">
        <f t="shared" si="88"/>
        <v>15.193969907406427</v>
      </c>
      <c r="O718" s="13">
        <f t="shared" si="89"/>
        <v>0</v>
      </c>
      <c r="P718" t="str">
        <f t="shared" si="90"/>
        <v>On Time</v>
      </c>
      <c r="Q718" s="13">
        <f t="shared" si="91"/>
        <v>2.2902777777635492</v>
      </c>
      <c r="R718" s="13">
        <f t="shared" si="92"/>
        <v>5.0720254629632109</v>
      </c>
      <c r="S718" s="13">
        <f t="shared" si="93"/>
        <v>10.026516203703068</v>
      </c>
      <c r="T718" t="str">
        <f t="shared" si="94"/>
        <v>On Time/Early</v>
      </c>
      <c r="U718" t="str">
        <f t="shared" si="95"/>
        <v>Normal</v>
      </c>
      <c r="V718" t="s">
        <v>102</v>
      </c>
    </row>
    <row r="719" spans="1:22">
      <c r="A719" t="s">
        <v>1194</v>
      </c>
      <c r="B719" s="10">
        <v>43063.546840277777</v>
      </c>
      <c r="C719" s="10">
        <v>43063.635416666664</v>
      </c>
      <c r="D719" s="10">
        <v>43068.848692129628</v>
      </c>
      <c r="E719" s="10">
        <v>43076.753275462965</v>
      </c>
      <c r="F719" s="10">
        <v>43095</v>
      </c>
      <c r="G719" t="s">
        <v>134</v>
      </c>
      <c r="H719" t="s">
        <v>1195</v>
      </c>
      <c r="I719" t="s">
        <v>185</v>
      </c>
      <c r="J719" s="11">
        <v>1</v>
      </c>
      <c r="K719" s="12">
        <v>117.3</v>
      </c>
      <c r="L719" s="12">
        <v>28.2</v>
      </c>
      <c r="M719" s="13">
        <v>5</v>
      </c>
      <c r="N719" s="13">
        <f t="shared" si="88"/>
        <v>13.206435185187729</v>
      </c>
      <c r="O719" s="13">
        <f t="shared" si="89"/>
        <v>0</v>
      </c>
      <c r="P719" t="str">
        <f t="shared" si="90"/>
        <v>On Time</v>
      </c>
      <c r="Q719" s="13">
        <f t="shared" si="91"/>
        <v>2.1258333332953043</v>
      </c>
      <c r="R719" s="13">
        <f t="shared" si="92"/>
        <v>5.213275462963793</v>
      </c>
      <c r="S719" s="13">
        <f t="shared" si="93"/>
        <v>7.9045833333366318</v>
      </c>
      <c r="T719" t="str">
        <f t="shared" si="94"/>
        <v>On Time/Early</v>
      </c>
      <c r="U719" t="str">
        <f t="shared" si="95"/>
        <v>Normal</v>
      </c>
      <c r="V719" t="s">
        <v>102</v>
      </c>
    </row>
    <row r="720" spans="1:22">
      <c r="A720" t="s">
        <v>1196</v>
      </c>
      <c r="B720" s="10">
        <v>43063.555486111109</v>
      </c>
      <c r="C720" s="10">
        <v>43063.648101851853</v>
      </c>
      <c r="D720" s="10">
        <v>43067.43582175926</v>
      </c>
      <c r="E720" s="10">
        <v>43069.703692129631</v>
      </c>
      <c r="F720" s="10">
        <v>43087</v>
      </c>
      <c r="G720" t="s">
        <v>8</v>
      </c>
      <c r="H720" t="s">
        <v>821</v>
      </c>
      <c r="I720" t="s">
        <v>101</v>
      </c>
      <c r="J720" s="11">
        <v>2</v>
      </c>
      <c r="K720" s="12">
        <v>59.8</v>
      </c>
      <c r="L720" s="12">
        <v>23.7</v>
      </c>
      <c r="M720" s="13">
        <v>5</v>
      </c>
      <c r="N720" s="13">
        <f t="shared" si="88"/>
        <v>6.1482060185226146</v>
      </c>
      <c r="O720" s="13">
        <f t="shared" si="89"/>
        <v>0</v>
      </c>
      <c r="P720" t="str">
        <f t="shared" si="90"/>
        <v>On Time</v>
      </c>
      <c r="Q720" s="13">
        <f t="shared" si="91"/>
        <v>2.2227777778753079</v>
      </c>
      <c r="R720" s="13">
        <f t="shared" si="92"/>
        <v>3.7877199074064265</v>
      </c>
      <c r="S720" s="13">
        <f t="shared" si="93"/>
        <v>2.2678703703713836</v>
      </c>
      <c r="T720" t="str">
        <f t="shared" si="94"/>
        <v>On Time/Early</v>
      </c>
      <c r="U720" t="str">
        <f t="shared" si="95"/>
        <v>Normal</v>
      </c>
      <c r="V720" t="s">
        <v>102</v>
      </c>
    </row>
    <row r="721" spans="1:22">
      <c r="A721" t="s">
        <v>1197</v>
      </c>
      <c r="B721" s="10">
        <v>43063.571134259262</v>
      </c>
      <c r="C721" s="10">
        <v>43063.662719907406</v>
      </c>
      <c r="D721" s="10">
        <v>43067.859097222223</v>
      </c>
      <c r="E721" s="10">
        <v>43085.825486111113</v>
      </c>
      <c r="F721" s="10">
        <v>43087</v>
      </c>
      <c r="G721" t="s">
        <v>16</v>
      </c>
      <c r="H721" t="s">
        <v>561</v>
      </c>
      <c r="I721" t="s">
        <v>128</v>
      </c>
      <c r="J721" s="11">
        <v>1</v>
      </c>
      <c r="K721" s="12">
        <v>49</v>
      </c>
      <c r="L721" s="12">
        <v>17.670000000000002</v>
      </c>
      <c r="M721" s="13">
        <v>5</v>
      </c>
      <c r="N721" s="13">
        <f t="shared" si="88"/>
        <v>22.254351851850515</v>
      </c>
      <c r="O721" s="13">
        <f t="shared" si="89"/>
        <v>0</v>
      </c>
      <c r="P721" t="str">
        <f t="shared" si="90"/>
        <v>On Time</v>
      </c>
      <c r="Q721" s="13">
        <f t="shared" si="91"/>
        <v>2.1980555554619059</v>
      </c>
      <c r="R721" s="13">
        <f t="shared" si="92"/>
        <v>4.1963773148163455</v>
      </c>
      <c r="S721" s="13">
        <f t="shared" si="93"/>
        <v>17.966388888889924</v>
      </c>
      <c r="T721" t="str">
        <f t="shared" si="94"/>
        <v>On Time/Early</v>
      </c>
      <c r="U721" t="str">
        <f t="shared" si="95"/>
        <v>Normal</v>
      </c>
      <c r="V721" t="s">
        <v>102</v>
      </c>
    </row>
    <row r="722" spans="1:22">
      <c r="A722" t="s">
        <v>1198</v>
      </c>
      <c r="B722" s="10">
        <v>43063.588356481479</v>
      </c>
      <c r="C722" s="10">
        <v>43063.677129629628</v>
      </c>
      <c r="D722" s="10">
        <v>43067.534108796295</v>
      </c>
      <c r="E722" s="10">
        <v>43118.926111111112</v>
      </c>
      <c r="F722" s="10">
        <v>43091</v>
      </c>
      <c r="G722" t="s">
        <v>30</v>
      </c>
      <c r="H722" t="s">
        <v>365</v>
      </c>
      <c r="I722" t="s">
        <v>185</v>
      </c>
      <c r="J722" s="11">
        <v>1</v>
      </c>
      <c r="K722" s="12">
        <v>57.6</v>
      </c>
      <c r="L722" s="12">
        <v>17.649999999999999</v>
      </c>
      <c r="M722" s="13">
        <v>1</v>
      </c>
      <c r="N722" s="13">
        <f t="shared" si="88"/>
        <v>55.3377546296324</v>
      </c>
      <c r="O722" s="13">
        <f t="shared" si="89"/>
        <v>27.926111111111823</v>
      </c>
      <c r="P722" t="str">
        <f t="shared" si="90"/>
        <v>Delayed</v>
      </c>
      <c r="Q722" s="13">
        <f t="shared" si="91"/>
        <v>2.1305555555736646</v>
      </c>
      <c r="R722" s="13">
        <f t="shared" si="92"/>
        <v>3.8569791666668607</v>
      </c>
      <c r="S722" s="13">
        <f t="shared" si="93"/>
        <v>51.392002314816636</v>
      </c>
      <c r="T722" t="str">
        <f t="shared" si="94"/>
        <v>8+ Days Late</v>
      </c>
      <c r="U722" t="str">
        <f t="shared" si="95"/>
        <v>Needs Review</v>
      </c>
      <c r="V722" t="s">
        <v>102</v>
      </c>
    </row>
    <row r="723" spans="1:22">
      <c r="A723" t="s">
        <v>1199</v>
      </c>
      <c r="B723" s="10">
        <v>43063.598437499997</v>
      </c>
      <c r="C723" s="10">
        <v>43063.69</v>
      </c>
      <c r="D723" s="10">
        <v>43069.695902777778</v>
      </c>
      <c r="E723" s="10">
        <v>43077.929131944446</v>
      </c>
      <c r="F723" s="10">
        <v>43083</v>
      </c>
      <c r="G723" t="s">
        <v>8</v>
      </c>
      <c r="H723" t="s">
        <v>403</v>
      </c>
      <c r="I723" t="s">
        <v>118</v>
      </c>
      <c r="J723" s="11">
        <v>1</v>
      </c>
      <c r="K723" s="12">
        <v>29.99</v>
      </c>
      <c r="L723" s="12">
        <v>11.85</v>
      </c>
      <c r="M723" s="13">
        <v>4</v>
      </c>
      <c r="N723" s="13">
        <f t="shared" si="88"/>
        <v>14.330694444448454</v>
      </c>
      <c r="O723" s="13">
        <f t="shared" si="89"/>
        <v>0</v>
      </c>
      <c r="P723" t="str">
        <f t="shared" si="90"/>
        <v>On Time</v>
      </c>
      <c r="Q723" s="13">
        <f t="shared" si="91"/>
        <v>2.1975000001257285</v>
      </c>
      <c r="R723" s="13">
        <f t="shared" si="92"/>
        <v>6.0059027777751908</v>
      </c>
      <c r="S723" s="13">
        <f t="shared" si="93"/>
        <v>8.2332291666680248</v>
      </c>
      <c r="T723" t="str">
        <f t="shared" si="94"/>
        <v>On Time/Early</v>
      </c>
      <c r="U723" t="str">
        <f t="shared" si="95"/>
        <v>Normal</v>
      </c>
      <c r="V723" t="s">
        <v>102</v>
      </c>
    </row>
    <row r="724" spans="1:22">
      <c r="A724" t="s">
        <v>1200</v>
      </c>
      <c r="B724" s="10">
        <v>43063.608749999999</v>
      </c>
      <c r="C724" s="10">
        <v>43063.69195601852</v>
      </c>
      <c r="D724" s="10">
        <v>43076.814571759256</v>
      </c>
      <c r="E724" s="10">
        <v>43084.800393518519</v>
      </c>
      <c r="F724" s="10">
        <v>43083</v>
      </c>
      <c r="G724" t="s">
        <v>16</v>
      </c>
      <c r="H724" t="s">
        <v>138</v>
      </c>
      <c r="I724" t="s">
        <v>31</v>
      </c>
      <c r="J724" s="11">
        <v>1</v>
      </c>
      <c r="K724" s="12">
        <v>199.99</v>
      </c>
      <c r="L724" s="12">
        <v>15.15</v>
      </c>
      <c r="M724" s="13">
        <v>5</v>
      </c>
      <c r="N724" s="13">
        <f t="shared" si="88"/>
        <v>21.191643518519413</v>
      </c>
      <c r="O724" s="13">
        <f t="shared" si="89"/>
        <v>1.8003935185188311</v>
      </c>
      <c r="P724" t="str">
        <f t="shared" si="90"/>
        <v>Delayed</v>
      </c>
      <c r="Q724" s="13">
        <f t="shared" si="91"/>
        <v>1.9969444444868714</v>
      </c>
      <c r="R724" s="13">
        <f t="shared" si="92"/>
        <v>13.122615740736364</v>
      </c>
      <c r="S724" s="13">
        <f t="shared" si="93"/>
        <v>7.9858217592627625</v>
      </c>
      <c r="T724" t="str">
        <f t="shared" si="94"/>
        <v>1-3 Days Late</v>
      </c>
      <c r="U724" t="str">
        <f t="shared" si="95"/>
        <v>Needs Review</v>
      </c>
      <c r="V724" t="s">
        <v>102</v>
      </c>
    </row>
    <row r="725" spans="1:22">
      <c r="A725" t="s">
        <v>1201</v>
      </c>
      <c r="B725" s="10">
        <v>43063.664120370369</v>
      </c>
      <c r="C725" s="10">
        <v>43063.818009259259</v>
      </c>
      <c r="D725" s="10">
        <v>43067.859131944446</v>
      </c>
      <c r="E725" s="10">
        <v>43075.089548611111</v>
      </c>
      <c r="F725" s="10">
        <v>43083</v>
      </c>
      <c r="G725" t="s">
        <v>8</v>
      </c>
      <c r="H725" t="s">
        <v>140</v>
      </c>
      <c r="I725" t="s">
        <v>128</v>
      </c>
      <c r="J725" s="11">
        <v>1</v>
      </c>
      <c r="K725" s="12">
        <v>49</v>
      </c>
      <c r="L725" s="12">
        <v>13.44</v>
      </c>
      <c r="M725" s="13">
        <v>4</v>
      </c>
      <c r="N725" s="13">
        <f t="shared" si="88"/>
        <v>11.425428240741894</v>
      </c>
      <c r="O725" s="13">
        <f t="shared" si="89"/>
        <v>0</v>
      </c>
      <c r="P725" t="str">
        <f t="shared" si="90"/>
        <v>On Time</v>
      </c>
      <c r="Q725" s="13">
        <f t="shared" si="91"/>
        <v>3.6933333333581686</v>
      </c>
      <c r="R725" s="13">
        <f t="shared" si="92"/>
        <v>4.0411226851865649</v>
      </c>
      <c r="S725" s="13">
        <f t="shared" si="93"/>
        <v>7.2304166666654055</v>
      </c>
      <c r="T725" t="str">
        <f t="shared" si="94"/>
        <v>On Time/Early</v>
      </c>
      <c r="U725" t="str">
        <f t="shared" si="95"/>
        <v>Normal</v>
      </c>
      <c r="V725" t="s">
        <v>102</v>
      </c>
    </row>
    <row r="726" spans="1:22">
      <c r="A726" t="s">
        <v>1202</v>
      </c>
      <c r="B726" s="10">
        <v>43063.701817129629</v>
      </c>
      <c r="C726" s="10">
        <v>43063.856863425928</v>
      </c>
      <c r="D726" s="10">
        <v>43067.904085648152</v>
      </c>
      <c r="E726" s="10">
        <v>43070.859618055554</v>
      </c>
      <c r="F726" s="10">
        <v>43083</v>
      </c>
      <c r="G726" t="s">
        <v>8</v>
      </c>
      <c r="H726" t="s">
        <v>1203</v>
      </c>
      <c r="I726" t="s">
        <v>128</v>
      </c>
      <c r="J726" s="11">
        <v>1</v>
      </c>
      <c r="K726" s="12">
        <v>49</v>
      </c>
      <c r="L726" s="12">
        <v>35.93</v>
      </c>
      <c r="M726" s="13">
        <v>4</v>
      </c>
      <c r="N726" s="13">
        <f t="shared" si="88"/>
        <v>7.1578009259246755</v>
      </c>
      <c r="O726" s="13">
        <f t="shared" si="89"/>
        <v>0</v>
      </c>
      <c r="P726" t="str">
        <f t="shared" si="90"/>
        <v>On Time</v>
      </c>
      <c r="Q726" s="13">
        <f t="shared" si="91"/>
        <v>3.721111111168284</v>
      </c>
      <c r="R726" s="13">
        <f t="shared" si="92"/>
        <v>4.047222222223354</v>
      </c>
      <c r="S726" s="13">
        <f t="shared" si="93"/>
        <v>2.955532407402643</v>
      </c>
      <c r="T726" t="str">
        <f t="shared" si="94"/>
        <v>On Time/Early</v>
      </c>
      <c r="U726" t="str">
        <f t="shared" si="95"/>
        <v>Normal</v>
      </c>
      <c r="V726" t="s">
        <v>102</v>
      </c>
    </row>
    <row r="727" spans="1:22">
      <c r="A727" t="s">
        <v>1204</v>
      </c>
      <c r="B727" s="10">
        <v>43063.861597222225</v>
      </c>
      <c r="C727" s="10">
        <v>43064.46912037037</v>
      </c>
      <c r="D727" s="10">
        <v>43066.970185185186</v>
      </c>
      <c r="E727" s="10">
        <v>43073.795081018521</v>
      </c>
      <c r="F727" s="10">
        <v>43083</v>
      </c>
      <c r="G727" t="s">
        <v>20</v>
      </c>
      <c r="H727" t="s">
        <v>1205</v>
      </c>
      <c r="I727" t="s">
        <v>246</v>
      </c>
      <c r="J727" s="11">
        <v>1</v>
      </c>
      <c r="K727" s="12">
        <v>82.9</v>
      </c>
      <c r="L727" s="12">
        <v>14.31</v>
      </c>
      <c r="M727" s="13">
        <v>5</v>
      </c>
      <c r="N727" s="13">
        <f t="shared" si="88"/>
        <v>9.9334837962960592</v>
      </c>
      <c r="O727" s="13">
        <f t="shared" si="89"/>
        <v>0</v>
      </c>
      <c r="P727" t="str">
        <f t="shared" si="90"/>
        <v>On Time</v>
      </c>
      <c r="Q727" s="13">
        <f t="shared" si="91"/>
        <v>14.580555555468891</v>
      </c>
      <c r="R727" s="13">
        <f t="shared" si="92"/>
        <v>2.5010648148163455</v>
      </c>
      <c r="S727" s="13">
        <f t="shared" si="93"/>
        <v>6.8248958333351766</v>
      </c>
      <c r="T727" t="str">
        <f t="shared" si="94"/>
        <v>On Time/Early</v>
      </c>
      <c r="U727" t="str">
        <f t="shared" si="95"/>
        <v>Normal</v>
      </c>
      <c r="V727" t="s">
        <v>102</v>
      </c>
    </row>
    <row r="728" spans="1:22">
      <c r="A728" t="s">
        <v>1206</v>
      </c>
      <c r="B728" s="10">
        <v>43063.878240740742</v>
      </c>
      <c r="C728" s="10">
        <v>43067.157210648147</v>
      </c>
      <c r="D728" s="10">
        <v>43067.749467592592</v>
      </c>
      <c r="E728" s="10">
        <v>43070.67046296296</v>
      </c>
      <c r="F728" s="10">
        <v>43083</v>
      </c>
      <c r="G728" t="s">
        <v>8</v>
      </c>
      <c r="H728" t="s">
        <v>1207</v>
      </c>
      <c r="I728" t="s">
        <v>339</v>
      </c>
      <c r="J728" s="11">
        <v>1</v>
      </c>
      <c r="K728" s="12">
        <v>68</v>
      </c>
      <c r="L728" s="12">
        <v>13.5</v>
      </c>
      <c r="M728" s="13">
        <v>5</v>
      </c>
      <c r="N728" s="13">
        <f t="shared" si="88"/>
        <v>6.7922222222186974</v>
      </c>
      <c r="O728" s="13">
        <f t="shared" si="89"/>
        <v>0</v>
      </c>
      <c r="P728" t="str">
        <f t="shared" si="90"/>
        <v>On Time</v>
      </c>
      <c r="Q728" s="13">
        <f t="shared" si="91"/>
        <v>78.695277777733281</v>
      </c>
      <c r="R728" s="13">
        <f t="shared" si="92"/>
        <v>0.59225694444467081</v>
      </c>
      <c r="S728" s="13">
        <f t="shared" si="93"/>
        <v>2.9209953703684732</v>
      </c>
      <c r="T728" t="str">
        <f t="shared" si="94"/>
        <v>On Time/Early</v>
      </c>
      <c r="U728" t="str">
        <f t="shared" si="95"/>
        <v>Normal</v>
      </c>
      <c r="V728" t="s">
        <v>102</v>
      </c>
    </row>
    <row r="729" spans="1:22">
      <c r="A729" t="s">
        <v>1208</v>
      </c>
      <c r="B729" s="10">
        <v>43063.943923611114</v>
      </c>
      <c r="C729" s="10">
        <v>43064.27076388889</v>
      </c>
      <c r="D729" s="10">
        <v>43068.495046296295</v>
      </c>
      <c r="E729" s="10">
        <v>43077.859340277777</v>
      </c>
      <c r="F729" s="10">
        <v>43091</v>
      </c>
      <c r="G729" t="s">
        <v>30</v>
      </c>
      <c r="H729" t="s">
        <v>1209</v>
      </c>
      <c r="I729" t="s">
        <v>118</v>
      </c>
      <c r="J729" s="11">
        <v>1</v>
      </c>
      <c r="K729" s="12">
        <v>27.99</v>
      </c>
      <c r="L729" s="12">
        <v>15.1</v>
      </c>
      <c r="M729" s="13">
        <v>5</v>
      </c>
      <c r="N729" s="13">
        <f t="shared" si="88"/>
        <v>13.915416666663077</v>
      </c>
      <c r="O729" s="13">
        <f t="shared" si="89"/>
        <v>0</v>
      </c>
      <c r="P729" t="str">
        <f t="shared" si="90"/>
        <v>On Time</v>
      </c>
      <c r="Q729" s="13">
        <f t="shared" si="91"/>
        <v>7.8441666666185483</v>
      </c>
      <c r="R729" s="13">
        <f t="shared" si="92"/>
        <v>4.2242824074055534</v>
      </c>
      <c r="S729" s="13">
        <f t="shared" si="93"/>
        <v>9.364293981481751</v>
      </c>
      <c r="T729" t="str">
        <f t="shared" si="94"/>
        <v>On Time/Early</v>
      </c>
      <c r="U729" t="str">
        <f t="shared" si="95"/>
        <v>Normal</v>
      </c>
      <c r="V729" t="s">
        <v>102</v>
      </c>
    </row>
    <row r="730" spans="1:22">
      <c r="A730" t="s">
        <v>1210</v>
      </c>
      <c r="B730" s="10">
        <v>43063.949143518519</v>
      </c>
      <c r="C730" s="10">
        <v>43064.078252314815</v>
      </c>
      <c r="D730" s="10">
        <v>43066.964756944442</v>
      </c>
      <c r="E730" s="10">
        <v>43088.997881944444</v>
      </c>
      <c r="F730" s="10">
        <v>43091</v>
      </c>
      <c r="G730" t="s">
        <v>20</v>
      </c>
      <c r="H730" t="s">
        <v>104</v>
      </c>
      <c r="I730" t="s">
        <v>185</v>
      </c>
      <c r="J730" s="11">
        <v>1</v>
      </c>
      <c r="K730" s="12">
        <v>62.9</v>
      </c>
      <c r="L730" s="12">
        <v>18.010000000000002</v>
      </c>
      <c r="M730" s="13">
        <v>5</v>
      </c>
      <c r="N730" s="13">
        <f t="shared" si="88"/>
        <v>25.048738425924967</v>
      </c>
      <c r="O730" s="13">
        <f t="shared" si="89"/>
        <v>0</v>
      </c>
      <c r="P730" t="str">
        <f t="shared" si="90"/>
        <v>On Time</v>
      </c>
      <c r="Q730" s="13">
        <f t="shared" si="91"/>
        <v>3.0986111111124046</v>
      </c>
      <c r="R730" s="13">
        <f t="shared" si="92"/>
        <v>2.8865046296268702</v>
      </c>
      <c r="S730" s="13">
        <f t="shared" si="93"/>
        <v>22.033125000001746</v>
      </c>
      <c r="T730" t="str">
        <f t="shared" si="94"/>
        <v>On Time/Early</v>
      </c>
      <c r="U730" t="str">
        <f t="shared" si="95"/>
        <v>Normal</v>
      </c>
      <c r="V730" t="s">
        <v>102</v>
      </c>
    </row>
    <row r="731" spans="1:22">
      <c r="A731" t="s">
        <v>1211</v>
      </c>
      <c r="B731" s="10">
        <v>43063.959363425929</v>
      </c>
      <c r="C731" s="10">
        <v>43064.082256944443</v>
      </c>
      <c r="D731" s="10">
        <v>43069.760798611111</v>
      </c>
      <c r="E731" s="10">
        <v>43080.760347222225</v>
      </c>
      <c r="F731" s="10">
        <v>43102</v>
      </c>
      <c r="G731" t="s">
        <v>20</v>
      </c>
      <c r="H731" t="s">
        <v>1212</v>
      </c>
      <c r="I731" t="s">
        <v>123</v>
      </c>
      <c r="J731" s="11">
        <v>1</v>
      </c>
      <c r="K731" s="12">
        <v>139.9</v>
      </c>
      <c r="L731" s="12">
        <v>19.84</v>
      </c>
      <c r="M731" s="13">
        <v>5</v>
      </c>
      <c r="N731" s="13">
        <f t="shared" si="88"/>
        <v>16.80098379629635</v>
      </c>
      <c r="O731" s="13">
        <f t="shared" si="89"/>
        <v>0</v>
      </c>
      <c r="P731" t="str">
        <f t="shared" si="90"/>
        <v>On Time</v>
      </c>
      <c r="Q731" s="13">
        <f t="shared" si="91"/>
        <v>2.9494444443262182</v>
      </c>
      <c r="R731" s="13">
        <f t="shared" si="92"/>
        <v>5.6785416666680248</v>
      </c>
      <c r="S731" s="13">
        <f t="shared" si="93"/>
        <v>10.999548611114733</v>
      </c>
      <c r="T731" t="str">
        <f t="shared" si="94"/>
        <v>On Time/Early</v>
      </c>
      <c r="U731" t="str">
        <f t="shared" si="95"/>
        <v>Normal</v>
      </c>
      <c r="V731" t="s">
        <v>102</v>
      </c>
    </row>
    <row r="732" spans="1:22">
      <c r="A732" t="s">
        <v>1213</v>
      </c>
      <c r="B732" s="10">
        <v>43063.984583333331</v>
      </c>
      <c r="C732" s="10">
        <v>43064.096851851849</v>
      </c>
      <c r="D732" s="10">
        <v>43067.895069444443</v>
      </c>
      <c r="E732" s="10">
        <v>43098.537557870368</v>
      </c>
      <c r="F732" s="10">
        <v>43089</v>
      </c>
      <c r="G732" t="s">
        <v>320</v>
      </c>
      <c r="H732" t="s">
        <v>321</v>
      </c>
      <c r="I732" t="s">
        <v>143</v>
      </c>
      <c r="J732" s="11">
        <v>1</v>
      </c>
      <c r="K732" s="12">
        <v>56.99</v>
      </c>
      <c r="L732" s="12">
        <v>14.15</v>
      </c>
      <c r="M732" s="13">
        <v>1</v>
      </c>
      <c r="N732" s="13">
        <f t="shared" si="88"/>
        <v>34.552974537036789</v>
      </c>
      <c r="O732" s="13">
        <f t="shared" si="89"/>
        <v>9.5375578703678912</v>
      </c>
      <c r="P732" t="str">
        <f t="shared" si="90"/>
        <v>Delayed</v>
      </c>
      <c r="Q732" s="13">
        <f t="shared" si="91"/>
        <v>2.6944444444379769</v>
      </c>
      <c r="R732" s="13">
        <f t="shared" si="92"/>
        <v>3.7982175925935735</v>
      </c>
      <c r="S732" s="13">
        <f t="shared" si="93"/>
        <v>30.642488425924967</v>
      </c>
      <c r="T732" t="str">
        <f t="shared" si="94"/>
        <v>8+ Days Late</v>
      </c>
      <c r="U732" t="str">
        <f t="shared" si="95"/>
        <v>Needs Review</v>
      </c>
      <c r="V732" t="s">
        <v>102</v>
      </c>
    </row>
    <row r="733" spans="1:22">
      <c r="A733" t="s">
        <v>1214</v>
      </c>
      <c r="B733" s="10">
        <v>43064.014363425929</v>
      </c>
      <c r="C733" s="10">
        <v>43064.133217592593</v>
      </c>
      <c r="D733" s="10">
        <v>43067.731608796297</v>
      </c>
      <c r="E733" s="10">
        <v>43081.950532407405</v>
      </c>
      <c r="F733" s="10">
        <v>43097</v>
      </c>
      <c r="G733" t="s">
        <v>50</v>
      </c>
      <c r="H733" t="s">
        <v>1215</v>
      </c>
      <c r="I733" t="s">
        <v>221</v>
      </c>
      <c r="J733" s="11">
        <v>1</v>
      </c>
      <c r="K733" s="12">
        <v>209.9</v>
      </c>
      <c r="L733" s="12">
        <v>26.75</v>
      </c>
      <c r="M733" s="13">
        <v>5</v>
      </c>
      <c r="N733" s="13">
        <f t="shared" si="88"/>
        <v>17.93616898147593</v>
      </c>
      <c r="O733" s="13">
        <f t="shared" si="89"/>
        <v>0</v>
      </c>
      <c r="P733" t="str">
        <f t="shared" si="90"/>
        <v>On Time</v>
      </c>
      <c r="Q733" s="13">
        <f t="shared" si="91"/>
        <v>2.8524999999208376</v>
      </c>
      <c r="R733" s="13">
        <f t="shared" si="92"/>
        <v>3.5983912037045229</v>
      </c>
      <c r="S733" s="13">
        <f t="shared" si="93"/>
        <v>14.218923611108039</v>
      </c>
      <c r="T733" t="str">
        <f t="shared" si="94"/>
        <v>On Time/Early</v>
      </c>
      <c r="U733" t="str">
        <f t="shared" si="95"/>
        <v>Normal</v>
      </c>
      <c r="V733" t="s">
        <v>102</v>
      </c>
    </row>
    <row r="734" spans="1:22">
      <c r="A734" t="s">
        <v>1216</v>
      </c>
      <c r="B734" s="10">
        <v>43064.083865740744</v>
      </c>
      <c r="C734" s="10">
        <v>43064.176759259259</v>
      </c>
      <c r="D734" s="10">
        <v>43066.841377314813</v>
      </c>
      <c r="E734" s="10">
        <v>43088.825474537036</v>
      </c>
      <c r="F734" s="10">
        <v>43089</v>
      </c>
      <c r="G734" t="s">
        <v>23</v>
      </c>
      <c r="H734" t="s">
        <v>275</v>
      </c>
      <c r="I734" t="s">
        <v>58</v>
      </c>
      <c r="J734" s="11">
        <v>1</v>
      </c>
      <c r="K734" s="12">
        <v>69.900000000000006</v>
      </c>
      <c r="L734" s="12">
        <v>28.89</v>
      </c>
      <c r="M734" s="13">
        <v>5</v>
      </c>
      <c r="N734" s="13">
        <f t="shared" si="88"/>
        <v>24.741608796291985</v>
      </c>
      <c r="O734" s="13">
        <f t="shared" si="89"/>
        <v>0</v>
      </c>
      <c r="P734" t="str">
        <f t="shared" si="90"/>
        <v>On Time</v>
      </c>
      <c r="Q734" s="13">
        <f t="shared" si="91"/>
        <v>2.2294444443541579</v>
      </c>
      <c r="R734" s="13">
        <f t="shared" si="92"/>
        <v>2.6646180555544561</v>
      </c>
      <c r="S734" s="13">
        <f t="shared" si="93"/>
        <v>21.984097222222772</v>
      </c>
      <c r="T734" t="str">
        <f t="shared" si="94"/>
        <v>On Time/Early</v>
      </c>
      <c r="U734" t="str">
        <f t="shared" si="95"/>
        <v>Normal</v>
      </c>
      <c r="V734" t="s">
        <v>102</v>
      </c>
    </row>
    <row r="735" spans="1:22">
      <c r="A735" t="s">
        <v>1217</v>
      </c>
      <c r="B735" s="10">
        <v>43064.113298611112</v>
      </c>
      <c r="C735" s="10">
        <v>43064.122731481482</v>
      </c>
      <c r="D735" s="10">
        <v>43068.883275462962</v>
      </c>
      <c r="E735" s="10">
        <v>43082.815289351849</v>
      </c>
      <c r="F735" s="10">
        <v>43089</v>
      </c>
      <c r="G735" t="s">
        <v>33</v>
      </c>
      <c r="H735" t="s">
        <v>1218</v>
      </c>
      <c r="I735" t="s">
        <v>101</v>
      </c>
      <c r="J735" s="11">
        <v>2</v>
      </c>
      <c r="K735" s="12">
        <v>119.8</v>
      </c>
      <c r="L735" s="12">
        <v>32.36</v>
      </c>
      <c r="M735" s="13">
        <v>5</v>
      </c>
      <c r="N735" s="13">
        <f t="shared" si="88"/>
        <v>18.701990740737529</v>
      </c>
      <c r="O735" s="13">
        <f t="shared" si="89"/>
        <v>0</v>
      </c>
      <c r="P735" t="str">
        <f t="shared" si="90"/>
        <v>On Time</v>
      </c>
      <c r="Q735" s="13">
        <f t="shared" si="91"/>
        <v>0.22638888889923692</v>
      </c>
      <c r="R735" s="13">
        <f t="shared" si="92"/>
        <v>4.7605439814797137</v>
      </c>
      <c r="S735" s="13">
        <f t="shared" si="93"/>
        <v>13.932013888887013</v>
      </c>
      <c r="T735" t="str">
        <f t="shared" si="94"/>
        <v>On Time/Early</v>
      </c>
      <c r="U735" t="str">
        <f t="shared" si="95"/>
        <v>Normal</v>
      </c>
      <c r="V735" t="s">
        <v>102</v>
      </c>
    </row>
    <row r="736" spans="1:22">
      <c r="A736" t="s">
        <v>1219</v>
      </c>
      <c r="B736" s="10">
        <v>43064.417858796296</v>
      </c>
      <c r="C736" s="10">
        <v>43064.426990740743</v>
      </c>
      <c r="D736" s="10">
        <v>43066.932638888888</v>
      </c>
      <c r="E736" s="10">
        <v>43070.703472222223</v>
      </c>
      <c r="F736" s="10">
        <v>43090</v>
      </c>
      <c r="G736" t="s">
        <v>20</v>
      </c>
      <c r="H736" t="s">
        <v>752</v>
      </c>
      <c r="I736" t="s">
        <v>34</v>
      </c>
      <c r="J736" s="11">
        <v>1</v>
      </c>
      <c r="K736" s="12">
        <v>39.9</v>
      </c>
      <c r="L736" s="12">
        <v>15.1</v>
      </c>
      <c r="M736" s="13">
        <v>5</v>
      </c>
      <c r="N736" s="13">
        <f t="shared" si="88"/>
        <v>6.2856134259272949</v>
      </c>
      <c r="O736" s="13">
        <f t="shared" si="89"/>
        <v>0</v>
      </c>
      <c r="P736" t="str">
        <f t="shared" si="90"/>
        <v>On Time</v>
      </c>
      <c r="Q736" s="13">
        <f t="shared" si="91"/>
        <v>0.21916666673496366</v>
      </c>
      <c r="R736" s="13">
        <f t="shared" si="92"/>
        <v>2.5056481481442461</v>
      </c>
      <c r="S736" s="13">
        <f t="shared" si="93"/>
        <v>3.7708333333357587</v>
      </c>
      <c r="T736" t="str">
        <f t="shared" si="94"/>
        <v>On Time/Early</v>
      </c>
      <c r="U736" t="str">
        <f t="shared" si="95"/>
        <v>Normal</v>
      </c>
      <c r="V736" t="s">
        <v>102</v>
      </c>
    </row>
    <row r="737" spans="1:22">
      <c r="A737" t="s">
        <v>1220</v>
      </c>
      <c r="B737" s="10">
        <v>43064.567037037035</v>
      </c>
      <c r="C737" s="10">
        <v>43064.572581018518</v>
      </c>
      <c r="D737" s="10">
        <v>43066.765694444446</v>
      </c>
      <c r="E737" s="10">
        <v>43073.883773148147</v>
      </c>
      <c r="F737" s="10">
        <v>43084</v>
      </c>
      <c r="G737" t="s">
        <v>8</v>
      </c>
      <c r="H737" t="s">
        <v>1221</v>
      </c>
      <c r="I737" t="s">
        <v>123</v>
      </c>
      <c r="J737" s="11">
        <v>1</v>
      </c>
      <c r="K737" s="12">
        <v>139.99</v>
      </c>
      <c r="L737" s="12">
        <v>14</v>
      </c>
      <c r="M737" s="13">
        <v>5</v>
      </c>
      <c r="N737" s="13">
        <f t="shared" si="88"/>
        <v>9.3167361111118225</v>
      </c>
      <c r="O737" s="13">
        <f t="shared" si="89"/>
        <v>0</v>
      </c>
      <c r="P737" t="str">
        <f t="shared" si="90"/>
        <v>On Time</v>
      </c>
      <c r="Q737" s="13">
        <f t="shared" si="91"/>
        <v>0.13305555557599291</v>
      </c>
      <c r="R737" s="13">
        <f t="shared" si="92"/>
        <v>2.193113425928459</v>
      </c>
      <c r="S737" s="13">
        <f t="shared" si="93"/>
        <v>7.1180787037010305</v>
      </c>
      <c r="T737" t="str">
        <f t="shared" si="94"/>
        <v>On Time/Early</v>
      </c>
      <c r="U737" t="str">
        <f t="shared" si="95"/>
        <v>Normal</v>
      </c>
      <c r="V737" t="s">
        <v>102</v>
      </c>
    </row>
    <row r="738" spans="1:22">
      <c r="A738" t="s">
        <v>1222</v>
      </c>
      <c r="B738" s="10">
        <v>43064.725289351853</v>
      </c>
      <c r="C738" s="10">
        <v>43064.733043981483</v>
      </c>
      <c r="D738" s="10">
        <v>43078.007037037038</v>
      </c>
      <c r="E738" s="10">
        <v>43098.920173611114</v>
      </c>
      <c r="F738" s="10">
        <v>43089</v>
      </c>
      <c r="G738" t="s">
        <v>16</v>
      </c>
      <c r="H738" t="s">
        <v>138</v>
      </c>
      <c r="I738" t="s">
        <v>180</v>
      </c>
      <c r="J738" s="11">
        <v>1</v>
      </c>
      <c r="K738" s="12">
        <v>219.9</v>
      </c>
      <c r="L738" s="12">
        <v>22.03</v>
      </c>
      <c r="M738" s="13">
        <v>1</v>
      </c>
      <c r="N738" s="13">
        <f t="shared" si="88"/>
        <v>34.194884259261016</v>
      </c>
      <c r="O738" s="13">
        <f t="shared" si="89"/>
        <v>9.9201736111135688</v>
      </c>
      <c r="P738" t="str">
        <f t="shared" si="90"/>
        <v>Delayed</v>
      </c>
      <c r="Q738" s="13">
        <f t="shared" si="91"/>
        <v>0.18611111113568768</v>
      </c>
      <c r="R738" s="13">
        <f t="shared" si="92"/>
        <v>13.273993055554456</v>
      </c>
      <c r="S738" s="13">
        <f t="shared" si="93"/>
        <v>20.913136574075907</v>
      </c>
      <c r="T738" t="str">
        <f t="shared" si="94"/>
        <v>8+ Days Late</v>
      </c>
      <c r="U738" t="str">
        <f t="shared" si="95"/>
        <v>Needs Review</v>
      </c>
      <c r="V738" t="s">
        <v>102</v>
      </c>
    </row>
    <row r="739" spans="1:22">
      <c r="A739" t="s">
        <v>1223</v>
      </c>
      <c r="B739" s="10">
        <v>43064.818437499998</v>
      </c>
      <c r="C739" s="10">
        <v>43064.829733796294</v>
      </c>
      <c r="D739" s="10">
        <v>43070.609143518515</v>
      </c>
      <c r="E739" s="10">
        <v>43085.009525462963</v>
      </c>
      <c r="F739" s="10">
        <v>43088</v>
      </c>
      <c r="G739" t="s">
        <v>43</v>
      </c>
      <c r="H739" t="s">
        <v>167</v>
      </c>
      <c r="I739" t="s">
        <v>115</v>
      </c>
      <c r="J739" s="11">
        <v>1</v>
      </c>
      <c r="K739" s="12">
        <v>24.5</v>
      </c>
      <c r="L739" s="12">
        <v>15.1</v>
      </c>
      <c r="M739" s="13">
        <v>3</v>
      </c>
      <c r="N739" s="13">
        <f t="shared" si="88"/>
        <v>20.191087962964957</v>
      </c>
      <c r="O739" s="13">
        <f t="shared" si="89"/>
        <v>0</v>
      </c>
      <c r="P739" t="str">
        <f t="shared" si="90"/>
        <v>On Time</v>
      </c>
      <c r="Q739" s="13">
        <f t="shared" si="91"/>
        <v>0.27111111109843478</v>
      </c>
      <c r="R739" s="13">
        <f t="shared" si="92"/>
        <v>5.7794097222213168</v>
      </c>
      <c r="S739" s="13">
        <f t="shared" si="93"/>
        <v>14.400381944447872</v>
      </c>
      <c r="T739" t="str">
        <f t="shared" si="94"/>
        <v>On Time/Early</v>
      </c>
      <c r="U739" t="str">
        <f t="shared" si="95"/>
        <v>Normal</v>
      </c>
      <c r="V739" t="s">
        <v>102</v>
      </c>
    </row>
    <row r="740" spans="1:22">
      <c r="A740" t="s">
        <v>1224</v>
      </c>
      <c r="B740" s="10">
        <v>43065.062407407408</v>
      </c>
      <c r="C740" s="10">
        <v>43065.067916666667</v>
      </c>
      <c r="D740" s="10">
        <v>43068.861944444441</v>
      </c>
      <c r="E740" s="10">
        <v>43076.749340277776</v>
      </c>
      <c r="F740" s="10">
        <v>43084</v>
      </c>
      <c r="G740" t="s">
        <v>8</v>
      </c>
      <c r="H740" t="s">
        <v>1225</v>
      </c>
      <c r="I740" t="s">
        <v>221</v>
      </c>
      <c r="J740" s="11">
        <v>1</v>
      </c>
      <c r="K740" s="12">
        <v>185.99</v>
      </c>
      <c r="L740" s="12">
        <v>13.64</v>
      </c>
      <c r="M740" s="13">
        <v>5</v>
      </c>
      <c r="N740" s="13">
        <f t="shared" si="88"/>
        <v>11.686932870368764</v>
      </c>
      <c r="O740" s="13">
        <f t="shared" si="89"/>
        <v>0</v>
      </c>
      <c r="P740" t="str">
        <f t="shared" si="90"/>
        <v>On Time</v>
      </c>
      <c r="Q740" s="13">
        <f t="shared" si="91"/>
        <v>0.13222222222248092</v>
      </c>
      <c r="R740" s="13">
        <f t="shared" si="92"/>
        <v>3.7940277777743177</v>
      </c>
      <c r="S740" s="13">
        <f t="shared" si="93"/>
        <v>7.8873958333351766</v>
      </c>
      <c r="T740" t="str">
        <f t="shared" si="94"/>
        <v>On Time/Early</v>
      </c>
      <c r="U740" t="str">
        <f t="shared" si="95"/>
        <v>Normal</v>
      </c>
      <c r="V740" t="s">
        <v>102</v>
      </c>
    </row>
    <row r="741" spans="1:22">
      <c r="A741" t="s">
        <v>1226</v>
      </c>
      <c r="B741" s="10">
        <v>43065.435358796298</v>
      </c>
      <c r="C741" s="10">
        <v>43065.441736111112</v>
      </c>
      <c r="D741" s="10">
        <v>43066.951249999998</v>
      </c>
      <c r="E741" s="10">
        <v>43085.121481481481</v>
      </c>
      <c r="F741" s="10">
        <v>43103</v>
      </c>
      <c r="G741" t="s">
        <v>175</v>
      </c>
      <c r="H741" t="s">
        <v>338</v>
      </c>
      <c r="I741" t="s">
        <v>120</v>
      </c>
      <c r="J741" s="11">
        <v>1</v>
      </c>
      <c r="K741" s="12">
        <v>45.73</v>
      </c>
      <c r="L741" s="12">
        <v>25.63</v>
      </c>
      <c r="M741" s="13">
        <v>4</v>
      </c>
      <c r="N741" s="13">
        <f t="shared" si="88"/>
        <v>19.686122685183364</v>
      </c>
      <c r="O741" s="13">
        <f t="shared" si="89"/>
        <v>0</v>
      </c>
      <c r="P741" t="str">
        <f t="shared" si="90"/>
        <v>On Time</v>
      </c>
      <c r="Q741" s="13">
        <f t="shared" si="91"/>
        <v>0.1530555555364117</v>
      </c>
      <c r="R741" s="13">
        <f t="shared" si="92"/>
        <v>1.5095138888864312</v>
      </c>
      <c r="S741" s="13">
        <f t="shared" si="93"/>
        <v>18.170231481482915</v>
      </c>
      <c r="T741" t="str">
        <f t="shared" si="94"/>
        <v>On Time/Early</v>
      </c>
      <c r="U741" t="str">
        <f t="shared" si="95"/>
        <v>Normal</v>
      </c>
      <c r="V741" t="s">
        <v>102</v>
      </c>
    </row>
    <row r="742" spans="1:22">
      <c r="A742" t="s">
        <v>1227</v>
      </c>
      <c r="B742" s="10">
        <v>43065.435567129629</v>
      </c>
      <c r="C742" s="10">
        <v>43065.441724537035</v>
      </c>
      <c r="D742" s="10">
        <v>43066.789687500001</v>
      </c>
      <c r="E742" s="10">
        <v>43080.632245370369</v>
      </c>
      <c r="F742" s="10">
        <v>43089</v>
      </c>
      <c r="G742" t="s">
        <v>20</v>
      </c>
      <c r="H742" t="s">
        <v>1228</v>
      </c>
      <c r="I742" t="s">
        <v>101</v>
      </c>
      <c r="J742" s="11">
        <v>1</v>
      </c>
      <c r="K742" s="12">
        <v>83.9</v>
      </c>
      <c r="L742" s="12">
        <v>17.84</v>
      </c>
      <c r="M742" s="13">
        <v>4</v>
      </c>
      <c r="N742" s="13">
        <f t="shared" si="88"/>
        <v>15.196678240739857</v>
      </c>
      <c r="O742" s="13">
        <f t="shared" si="89"/>
        <v>0</v>
      </c>
      <c r="P742" t="str">
        <f t="shared" si="90"/>
        <v>On Time</v>
      </c>
      <c r="Q742" s="13">
        <f t="shared" si="91"/>
        <v>0.14777777774725109</v>
      </c>
      <c r="R742" s="13">
        <f t="shared" si="92"/>
        <v>1.3479629629655392</v>
      </c>
      <c r="S742" s="13">
        <f t="shared" si="93"/>
        <v>13.842557870368182</v>
      </c>
      <c r="T742" t="str">
        <f t="shared" si="94"/>
        <v>On Time/Early</v>
      </c>
      <c r="U742" t="str">
        <f t="shared" si="95"/>
        <v>Normal</v>
      </c>
      <c r="V742" t="s">
        <v>102</v>
      </c>
    </row>
    <row r="743" spans="1:22">
      <c r="A743" t="s">
        <v>1229</v>
      </c>
      <c r="B743" s="10">
        <v>43065.436365740738</v>
      </c>
      <c r="C743" s="10">
        <v>43065.45108796296</v>
      </c>
      <c r="D743" s="10">
        <v>43068.533206018517</v>
      </c>
      <c r="E743" s="10">
        <v>43080.949363425927</v>
      </c>
      <c r="F743" s="10">
        <v>43091</v>
      </c>
      <c r="G743" t="s">
        <v>16</v>
      </c>
      <c r="H743" t="s">
        <v>1230</v>
      </c>
      <c r="I743" t="s">
        <v>128</v>
      </c>
      <c r="J743" s="11">
        <v>1</v>
      </c>
      <c r="K743" s="12">
        <v>179.99</v>
      </c>
      <c r="L743" s="12">
        <v>45.72</v>
      </c>
      <c r="M743" s="13">
        <v>5</v>
      </c>
      <c r="N743" s="13">
        <f t="shared" si="88"/>
        <v>15.512997685189475</v>
      </c>
      <c r="O743" s="13">
        <f t="shared" si="89"/>
        <v>0</v>
      </c>
      <c r="P743" t="str">
        <f t="shared" si="90"/>
        <v>On Time</v>
      </c>
      <c r="Q743" s="13">
        <f t="shared" si="91"/>
        <v>0.35333333333255723</v>
      </c>
      <c r="R743" s="13">
        <f t="shared" si="92"/>
        <v>3.0821180555576575</v>
      </c>
      <c r="S743" s="13">
        <f t="shared" si="93"/>
        <v>12.416157407409628</v>
      </c>
      <c r="T743" t="str">
        <f t="shared" si="94"/>
        <v>On Time/Early</v>
      </c>
      <c r="U743" t="str">
        <f t="shared" si="95"/>
        <v>Normal</v>
      </c>
      <c r="V743" t="s">
        <v>102</v>
      </c>
    </row>
    <row r="744" spans="1:22">
      <c r="A744" t="s">
        <v>1231</v>
      </c>
      <c r="B744" s="10">
        <v>43065.482488425929</v>
      </c>
      <c r="C744" s="10">
        <v>43067.522152777776</v>
      </c>
      <c r="D744" s="10">
        <v>43067.827766203707</v>
      </c>
      <c r="E744" s="10">
        <v>43083.562407407408</v>
      </c>
      <c r="F744" s="10">
        <v>43097</v>
      </c>
      <c r="G744" t="s">
        <v>30</v>
      </c>
      <c r="H744" t="s">
        <v>1232</v>
      </c>
      <c r="I744" t="s">
        <v>128</v>
      </c>
      <c r="J744" s="11">
        <v>3</v>
      </c>
      <c r="K744" s="12">
        <v>166</v>
      </c>
      <c r="L744" s="12">
        <v>49.56</v>
      </c>
      <c r="M744" s="13">
        <v>4</v>
      </c>
      <c r="N744" s="13">
        <f t="shared" si="88"/>
        <v>18.079918981478841</v>
      </c>
      <c r="O744" s="13">
        <f t="shared" si="89"/>
        <v>0</v>
      </c>
      <c r="P744" t="str">
        <f t="shared" si="90"/>
        <v>On Time</v>
      </c>
      <c r="Q744" s="13">
        <f t="shared" si="91"/>
        <v>48.951944444328547</v>
      </c>
      <c r="R744" s="13">
        <f t="shared" si="92"/>
        <v>0.30561342593136942</v>
      </c>
      <c r="S744" s="13">
        <f t="shared" si="93"/>
        <v>15.734641203700448</v>
      </c>
      <c r="T744" t="str">
        <f t="shared" si="94"/>
        <v>On Time/Early</v>
      </c>
      <c r="U744" t="str">
        <f t="shared" si="95"/>
        <v>Normal</v>
      </c>
      <c r="V744" t="s">
        <v>102</v>
      </c>
    </row>
    <row r="745" spans="1:22">
      <c r="A745" t="s">
        <v>1233</v>
      </c>
      <c r="B745" s="10">
        <v>43065.582337962966</v>
      </c>
      <c r="C745" s="10">
        <v>43065.591539351852</v>
      </c>
      <c r="D745" s="10">
        <v>43067.918796296297</v>
      </c>
      <c r="E745" s="10">
        <v>43111.652743055558</v>
      </c>
      <c r="F745" s="10">
        <v>43084</v>
      </c>
      <c r="G745" t="s">
        <v>16</v>
      </c>
      <c r="H745" t="s">
        <v>138</v>
      </c>
      <c r="I745" t="s">
        <v>118</v>
      </c>
      <c r="J745" s="11">
        <v>1</v>
      </c>
      <c r="K745" s="12">
        <v>27.99</v>
      </c>
      <c r="L745" s="12">
        <v>14.1</v>
      </c>
      <c r="M745" s="13">
        <v>2</v>
      </c>
      <c r="N745" s="13">
        <f t="shared" si="88"/>
        <v>46.070405092592409</v>
      </c>
      <c r="O745" s="13">
        <f t="shared" si="89"/>
        <v>27.652743055557949</v>
      </c>
      <c r="P745" t="str">
        <f t="shared" si="90"/>
        <v>Delayed</v>
      </c>
      <c r="Q745" s="13">
        <f t="shared" si="91"/>
        <v>0.22083333326736465</v>
      </c>
      <c r="R745" s="13">
        <f t="shared" si="92"/>
        <v>2.3272569444452529</v>
      </c>
      <c r="S745" s="13">
        <f t="shared" si="93"/>
        <v>43.733946759261016</v>
      </c>
      <c r="T745" t="str">
        <f t="shared" si="94"/>
        <v>8+ Days Late</v>
      </c>
      <c r="U745" t="str">
        <f t="shared" si="95"/>
        <v>Needs Review</v>
      </c>
      <c r="V745" t="s">
        <v>102</v>
      </c>
    </row>
    <row r="746" spans="1:22">
      <c r="A746" t="s">
        <v>1234</v>
      </c>
      <c r="B746" s="10">
        <v>43065.696342592593</v>
      </c>
      <c r="C746" s="10">
        <v>43066.665868055556</v>
      </c>
      <c r="D746" s="10">
        <v>43070.879999999997</v>
      </c>
      <c r="E746" s="10">
        <v>43087.815474537034</v>
      </c>
      <c r="F746" s="10">
        <v>43088</v>
      </c>
      <c r="G746" t="s">
        <v>43</v>
      </c>
      <c r="H746" t="s">
        <v>377</v>
      </c>
      <c r="I746" t="s">
        <v>180</v>
      </c>
      <c r="J746" s="11">
        <v>2</v>
      </c>
      <c r="K746" s="12">
        <v>289.8</v>
      </c>
      <c r="L746" s="12">
        <v>43</v>
      </c>
      <c r="M746" s="13">
        <v>5</v>
      </c>
      <c r="N746" s="13">
        <f t="shared" si="88"/>
        <v>22.119131944440596</v>
      </c>
      <c r="O746" s="13">
        <f t="shared" si="89"/>
        <v>0</v>
      </c>
      <c r="P746" t="str">
        <f t="shared" si="90"/>
        <v>On Time</v>
      </c>
      <c r="Q746" s="13">
        <f t="shared" si="91"/>
        <v>23.268611111096106</v>
      </c>
      <c r="R746" s="13">
        <f t="shared" si="92"/>
        <v>4.2141319444417604</v>
      </c>
      <c r="S746" s="13">
        <f t="shared" si="93"/>
        <v>16.935474537036498</v>
      </c>
      <c r="T746" t="str">
        <f t="shared" si="94"/>
        <v>On Time/Early</v>
      </c>
      <c r="U746" t="str">
        <f t="shared" si="95"/>
        <v>Normal</v>
      </c>
      <c r="V746" t="s">
        <v>102</v>
      </c>
    </row>
    <row r="747" spans="1:22">
      <c r="A747" t="s">
        <v>1235</v>
      </c>
      <c r="B747" s="10">
        <v>43065.750902777778</v>
      </c>
      <c r="C747" s="10">
        <v>43065.759120370371</v>
      </c>
      <c r="D747" s="10">
        <v>43068.560219907406</v>
      </c>
      <c r="E747" s="10">
        <v>43071.536886574075</v>
      </c>
      <c r="F747" s="10">
        <v>43088</v>
      </c>
      <c r="G747" t="s">
        <v>20</v>
      </c>
      <c r="H747" t="s">
        <v>1205</v>
      </c>
      <c r="I747" t="s">
        <v>185</v>
      </c>
      <c r="J747" s="11">
        <v>1</v>
      </c>
      <c r="K747" s="12">
        <v>117.3</v>
      </c>
      <c r="L747" s="12">
        <v>25.66</v>
      </c>
      <c r="M747" s="13">
        <v>5</v>
      </c>
      <c r="N747" s="13">
        <f t="shared" si="88"/>
        <v>5.7859837962969323</v>
      </c>
      <c r="O747" s="13">
        <f t="shared" si="89"/>
        <v>0</v>
      </c>
      <c r="P747" t="str">
        <f t="shared" si="90"/>
        <v>On Time</v>
      </c>
      <c r="Q747" s="13">
        <f t="shared" si="91"/>
        <v>0.19722222222480923</v>
      </c>
      <c r="R747" s="13">
        <f t="shared" si="92"/>
        <v>2.8010995370350429</v>
      </c>
      <c r="S747" s="13">
        <f t="shared" si="93"/>
        <v>2.976666666669189</v>
      </c>
      <c r="T747" t="str">
        <f t="shared" si="94"/>
        <v>On Time/Early</v>
      </c>
      <c r="U747" t="str">
        <f t="shared" si="95"/>
        <v>Normal</v>
      </c>
      <c r="V747" t="s">
        <v>102</v>
      </c>
    </row>
    <row r="748" spans="1:22">
      <c r="A748" t="s">
        <v>1236</v>
      </c>
      <c r="B748" s="10">
        <v>43065.856458333335</v>
      </c>
      <c r="C748" s="10">
        <v>43065.870324074072</v>
      </c>
      <c r="D748" s="10">
        <v>43066.91920138889</v>
      </c>
      <c r="E748" s="10">
        <v>43071.850277777776</v>
      </c>
      <c r="F748" s="10">
        <v>43080</v>
      </c>
      <c r="G748" t="s">
        <v>8</v>
      </c>
      <c r="H748" t="s">
        <v>907</v>
      </c>
      <c r="I748" t="s">
        <v>136</v>
      </c>
      <c r="J748" s="11">
        <v>1</v>
      </c>
      <c r="K748" s="12">
        <v>39.9</v>
      </c>
      <c r="L748" s="12">
        <v>8.7200000000000006</v>
      </c>
      <c r="M748" s="13">
        <v>4</v>
      </c>
      <c r="N748" s="13">
        <f t="shared" si="88"/>
        <v>5.9938194444403052</v>
      </c>
      <c r="O748" s="13">
        <f t="shared" si="89"/>
        <v>0</v>
      </c>
      <c r="P748" t="str">
        <f t="shared" si="90"/>
        <v>On Time</v>
      </c>
      <c r="Q748" s="13">
        <f t="shared" si="91"/>
        <v>0.33277777768671513</v>
      </c>
      <c r="R748" s="13">
        <f t="shared" si="92"/>
        <v>1.0488773148172186</v>
      </c>
      <c r="S748" s="13">
        <f t="shared" si="93"/>
        <v>4.9310763888861402</v>
      </c>
      <c r="T748" t="str">
        <f t="shared" si="94"/>
        <v>On Time/Early</v>
      </c>
      <c r="U748" t="str">
        <f t="shared" si="95"/>
        <v>Normal</v>
      </c>
      <c r="V748" t="s">
        <v>102</v>
      </c>
    </row>
    <row r="749" spans="1:22">
      <c r="A749" t="s">
        <v>1237</v>
      </c>
      <c r="B749" s="10">
        <v>43065.918402777781</v>
      </c>
      <c r="C749" s="10">
        <v>43065.925995370373</v>
      </c>
      <c r="D749" s="10">
        <v>43068.011550925927</v>
      </c>
      <c r="E749" s="10">
        <v>43075.856898148151</v>
      </c>
      <c r="F749" s="10">
        <v>43087</v>
      </c>
      <c r="G749" t="s">
        <v>320</v>
      </c>
      <c r="H749" t="s">
        <v>321</v>
      </c>
      <c r="I749" t="s">
        <v>246</v>
      </c>
      <c r="J749" s="11">
        <v>1</v>
      </c>
      <c r="K749" s="12">
        <v>248.99</v>
      </c>
      <c r="L749" s="12">
        <v>60.29</v>
      </c>
      <c r="M749" s="13">
        <v>5</v>
      </c>
      <c r="N749" s="13">
        <f t="shared" si="88"/>
        <v>9.9384953703702195</v>
      </c>
      <c r="O749" s="13">
        <f t="shared" si="89"/>
        <v>0</v>
      </c>
      <c r="P749" t="str">
        <f t="shared" si="90"/>
        <v>On Time</v>
      </c>
      <c r="Q749" s="13">
        <f t="shared" si="91"/>
        <v>0.18222222221083939</v>
      </c>
      <c r="R749" s="13">
        <f t="shared" si="92"/>
        <v>2.085555555553583</v>
      </c>
      <c r="S749" s="13">
        <f t="shared" si="93"/>
        <v>7.8453472222245182</v>
      </c>
      <c r="T749" t="str">
        <f t="shared" si="94"/>
        <v>On Time/Early</v>
      </c>
      <c r="U749" t="str">
        <f t="shared" si="95"/>
        <v>Normal</v>
      </c>
      <c r="V749" t="s">
        <v>102</v>
      </c>
    </row>
    <row r="750" spans="1:22">
      <c r="A750" t="s">
        <v>1238</v>
      </c>
      <c r="B750" s="10">
        <v>43066.481840277775</v>
      </c>
      <c r="C750" s="10">
        <v>43066.496446759258</v>
      </c>
      <c r="D750" s="10">
        <v>43069.872094907405</v>
      </c>
      <c r="E750" s="10">
        <v>43071.696157407408</v>
      </c>
      <c r="F750" s="10">
        <v>43083</v>
      </c>
      <c r="G750" t="s">
        <v>8</v>
      </c>
      <c r="H750" t="s">
        <v>140</v>
      </c>
      <c r="I750" t="s">
        <v>180</v>
      </c>
      <c r="J750" s="11">
        <v>1</v>
      </c>
      <c r="K750" s="12">
        <v>89.9</v>
      </c>
      <c r="L750" s="12">
        <v>12.33</v>
      </c>
      <c r="M750" s="13">
        <v>5</v>
      </c>
      <c r="N750" s="13">
        <f t="shared" si="88"/>
        <v>5.2143171296338551</v>
      </c>
      <c r="O750" s="13">
        <f t="shared" si="89"/>
        <v>0</v>
      </c>
      <c r="P750" t="str">
        <f t="shared" si="90"/>
        <v>On Time</v>
      </c>
      <c r="Q750" s="13">
        <f t="shared" si="91"/>
        <v>0.35055555560393259</v>
      </c>
      <c r="R750" s="13">
        <f t="shared" si="92"/>
        <v>3.3756481481468654</v>
      </c>
      <c r="S750" s="13">
        <f t="shared" si="93"/>
        <v>1.8240625000034925</v>
      </c>
      <c r="T750" t="str">
        <f t="shared" si="94"/>
        <v>On Time/Early</v>
      </c>
      <c r="U750" t="str">
        <f t="shared" si="95"/>
        <v>Normal</v>
      </c>
      <c r="V750" t="s">
        <v>102</v>
      </c>
    </row>
    <row r="751" spans="1:22">
      <c r="A751" t="s">
        <v>1239</v>
      </c>
      <c r="B751" s="10">
        <v>43066.520231481481</v>
      </c>
      <c r="C751" s="10">
        <v>43066.527384259258</v>
      </c>
      <c r="D751" s="10">
        <v>43067.808831018519</v>
      </c>
      <c r="E751" s="10">
        <v>43090.862118055556</v>
      </c>
      <c r="F751" s="10">
        <v>43104</v>
      </c>
      <c r="G751" t="s">
        <v>175</v>
      </c>
      <c r="H751" t="s">
        <v>1240</v>
      </c>
      <c r="I751" t="s">
        <v>252</v>
      </c>
      <c r="J751" s="11">
        <v>1</v>
      </c>
      <c r="K751" s="12">
        <v>35.9</v>
      </c>
      <c r="L751" s="12">
        <v>25.63</v>
      </c>
      <c r="M751" s="13">
        <v>3</v>
      </c>
      <c r="N751" s="13">
        <f t="shared" si="88"/>
        <v>24.341886574075033</v>
      </c>
      <c r="O751" s="13">
        <f t="shared" si="89"/>
        <v>0</v>
      </c>
      <c r="P751" t="str">
        <f t="shared" si="90"/>
        <v>On Time</v>
      </c>
      <c r="Q751" s="13">
        <f t="shared" si="91"/>
        <v>0.17166666663251817</v>
      </c>
      <c r="R751" s="13">
        <f t="shared" si="92"/>
        <v>1.2814467592615983</v>
      </c>
      <c r="S751" s="13">
        <f t="shared" si="93"/>
        <v>23.05328703703708</v>
      </c>
      <c r="T751" t="str">
        <f t="shared" si="94"/>
        <v>On Time/Early</v>
      </c>
      <c r="U751" t="str">
        <f t="shared" si="95"/>
        <v>Normal</v>
      </c>
      <c r="V751" t="s">
        <v>102</v>
      </c>
    </row>
    <row r="752" spans="1:22">
      <c r="A752" t="s">
        <v>1241</v>
      </c>
      <c r="B752" s="10">
        <v>43066.581782407404</v>
      </c>
      <c r="C752" s="10">
        <v>43066.597083333334</v>
      </c>
      <c r="D752" s="10">
        <v>43066.923877314817</v>
      </c>
      <c r="E752" s="10">
        <v>43068.920497685183</v>
      </c>
      <c r="F752" s="10">
        <v>43080</v>
      </c>
      <c r="G752" t="s">
        <v>8</v>
      </c>
      <c r="H752" t="s">
        <v>161</v>
      </c>
      <c r="I752" t="s">
        <v>154</v>
      </c>
      <c r="J752" s="11">
        <v>1</v>
      </c>
      <c r="K752" s="12">
        <v>15.9</v>
      </c>
      <c r="L752" s="12">
        <v>8.27</v>
      </c>
      <c r="M752" s="13">
        <v>5</v>
      </c>
      <c r="N752" s="13">
        <f t="shared" si="88"/>
        <v>2.3387152777795563</v>
      </c>
      <c r="O752" s="13">
        <f t="shared" si="89"/>
        <v>0</v>
      </c>
      <c r="P752" t="str">
        <f t="shared" si="90"/>
        <v>On Time</v>
      </c>
      <c r="Q752" s="13">
        <f t="shared" si="91"/>
        <v>0.36722222232492641</v>
      </c>
      <c r="R752" s="13">
        <f t="shared" si="92"/>
        <v>0.32679398148320615</v>
      </c>
      <c r="S752" s="13">
        <f t="shared" si="93"/>
        <v>1.9966203703661449</v>
      </c>
      <c r="T752" t="str">
        <f t="shared" si="94"/>
        <v>On Time/Early</v>
      </c>
      <c r="U752" t="str">
        <f t="shared" si="95"/>
        <v>Normal</v>
      </c>
      <c r="V752" t="s">
        <v>102</v>
      </c>
    </row>
    <row r="753" spans="1:22">
      <c r="A753" t="s">
        <v>1242</v>
      </c>
      <c r="B753" s="10">
        <v>43066.592905092592</v>
      </c>
      <c r="C753" s="10">
        <v>43066.598298611112</v>
      </c>
      <c r="D753" s="10">
        <v>43067.81150462963</v>
      </c>
      <c r="E753" s="10">
        <v>43081.989259259259</v>
      </c>
      <c r="F753" s="10">
        <v>43095</v>
      </c>
      <c r="G753" t="s">
        <v>23</v>
      </c>
      <c r="H753" t="s">
        <v>1243</v>
      </c>
      <c r="I753" t="s">
        <v>221</v>
      </c>
      <c r="J753" s="11">
        <v>1</v>
      </c>
      <c r="K753" s="12">
        <v>34.9</v>
      </c>
      <c r="L753" s="12">
        <v>17.920000000000002</v>
      </c>
      <c r="M753" s="13">
        <v>4</v>
      </c>
      <c r="N753" s="13">
        <f t="shared" si="88"/>
        <v>15.396354166667152</v>
      </c>
      <c r="O753" s="13">
        <f t="shared" si="89"/>
        <v>0</v>
      </c>
      <c r="P753" t="str">
        <f t="shared" si="90"/>
        <v>On Time</v>
      </c>
      <c r="Q753" s="13">
        <f t="shared" si="91"/>
        <v>0.12944444449385628</v>
      </c>
      <c r="R753" s="13">
        <f t="shared" si="92"/>
        <v>1.213206018517667</v>
      </c>
      <c r="S753" s="13">
        <f t="shared" si="93"/>
        <v>14.177754629628907</v>
      </c>
      <c r="T753" t="str">
        <f t="shared" si="94"/>
        <v>On Time/Early</v>
      </c>
      <c r="U753" t="str">
        <f t="shared" si="95"/>
        <v>Normal</v>
      </c>
      <c r="V753" t="s">
        <v>102</v>
      </c>
    </row>
    <row r="754" spans="1:22">
      <c r="A754" t="s">
        <v>1244</v>
      </c>
      <c r="B754" s="10">
        <v>43066.620567129627</v>
      </c>
      <c r="C754" s="10">
        <v>43067.138784722221</v>
      </c>
      <c r="D754" s="10">
        <v>43067.884456018517</v>
      </c>
      <c r="E754" s="10">
        <v>43084.005439814813</v>
      </c>
      <c r="F754" s="10">
        <v>43091</v>
      </c>
      <c r="G754" t="s">
        <v>36</v>
      </c>
      <c r="H754" t="s">
        <v>1245</v>
      </c>
      <c r="I754" t="s">
        <v>143</v>
      </c>
      <c r="J754" s="11">
        <v>1</v>
      </c>
      <c r="K754" s="12">
        <v>62.9</v>
      </c>
      <c r="L754" s="12">
        <v>15.19</v>
      </c>
      <c r="M754" s="13">
        <v>5</v>
      </c>
      <c r="N754" s="13">
        <f t="shared" si="88"/>
        <v>17.384872685186565</v>
      </c>
      <c r="O754" s="13">
        <f t="shared" si="89"/>
        <v>0</v>
      </c>
      <c r="P754" t="str">
        <f t="shared" si="90"/>
        <v>On Time</v>
      </c>
      <c r="Q754" s="13">
        <f t="shared" si="91"/>
        <v>12.437222222273704</v>
      </c>
      <c r="R754" s="13">
        <f t="shared" si="92"/>
        <v>0.74567129629576812</v>
      </c>
      <c r="S754" s="13">
        <f t="shared" si="93"/>
        <v>16.120983796296059</v>
      </c>
      <c r="T754" t="str">
        <f t="shared" si="94"/>
        <v>On Time/Early</v>
      </c>
      <c r="U754" t="str">
        <f t="shared" si="95"/>
        <v>Normal</v>
      </c>
      <c r="V754" t="s">
        <v>102</v>
      </c>
    </row>
    <row r="755" spans="1:22">
      <c r="A755" t="s">
        <v>1246</v>
      </c>
      <c r="B755" s="10">
        <v>43066.661030092589</v>
      </c>
      <c r="C755" s="10">
        <v>43068.097662037035</v>
      </c>
      <c r="D755" s="10">
        <v>43069.852164351854</v>
      </c>
      <c r="E755" s="10">
        <v>43073.685983796298</v>
      </c>
      <c r="F755" s="10">
        <v>43080</v>
      </c>
      <c r="G755" t="s">
        <v>8</v>
      </c>
      <c r="H755" t="s">
        <v>161</v>
      </c>
      <c r="I755" t="s">
        <v>136</v>
      </c>
      <c r="J755" s="11">
        <v>1</v>
      </c>
      <c r="K755" s="12">
        <v>44.32</v>
      </c>
      <c r="L755" s="12">
        <v>8.27</v>
      </c>
      <c r="M755" s="13">
        <v>5</v>
      </c>
      <c r="N755" s="13">
        <f t="shared" si="88"/>
        <v>7.0249537037088885</v>
      </c>
      <c r="O755" s="13">
        <f t="shared" si="89"/>
        <v>0</v>
      </c>
      <c r="P755" t="str">
        <f t="shared" si="90"/>
        <v>On Time</v>
      </c>
      <c r="Q755" s="13">
        <f t="shared" si="91"/>
        <v>34.479166666686069</v>
      </c>
      <c r="R755" s="13">
        <f t="shared" si="92"/>
        <v>1.7545023148195469</v>
      </c>
      <c r="S755" s="13">
        <f t="shared" si="93"/>
        <v>3.8338194444440887</v>
      </c>
      <c r="T755" t="str">
        <f t="shared" si="94"/>
        <v>On Time/Early</v>
      </c>
      <c r="U755" t="str">
        <f t="shared" si="95"/>
        <v>Normal</v>
      </c>
      <c r="V755" t="s">
        <v>102</v>
      </c>
    </row>
    <row r="756" spans="1:22">
      <c r="A756" t="s">
        <v>1247</v>
      </c>
      <c r="B756" s="10">
        <v>43066.694976851853</v>
      </c>
      <c r="C756" s="10">
        <v>43066.703194444446</v>
      </c>
      <c r="D756" s="10">
        <v>43069.665520833332</v>
      </c>
      <c r="E756" s="10">
        <v>43073.87809027778</v>
      </c>
      <c r="F756" s="10">
        <v>43084</v>
      </c>
      <c r="G756" t="s">
        <v>8</v>
      </c>
      <c r="H756" t="s">
        <v>212</v>
      </c>
      <c r="I756" t="s">
        <v>34</v>
      </c>
      <c r="J756" s="11">
        <v>1</v>
      </c>
      <c r="K756" s="12">
        <v>134.9</v>
      </c>
      <c r="L756" s="12">
        <v>13.28</v>
      </c>
      <c r="M756" s="13">
        <v>5</v>
      </c>
      <c r="N756" s="13">
        <f t="shared" si="88"/>
        <v>7.1831134259264218</v>
      </c>
      <c r="O756" s="13">
        <f t="shared" si="89"/>
        <v>0</v>
      </c>
      <c r="P756" t="str">
        <f t="shared" si="90"/>
        <v>On Time</v>
      </c>
      <c r="Q756" s="13">
        <f t="shared" si="91"/>
        <v>0.19722222222480923</v>
      </c>
      <c r="R756" s="13">
        <f t="shared" si="92"/>
        <v>2.9623263888861402</v>
      </c>
      <c r="S756" s="13">
        <f t="shared" si="93"/>
        <v>4.2125694444475812</v>
      </c>
      <c r="T756" t="str">
        <f t="shared" si="94"/>
        <v>On Time/Early</v>
      </c>
      <c r="U756" t="str">
        <f t="shared" si="95"/>
        <v>Normal</v>
      </c>
      <c r="V756" t="s">
        <v>102</v>
      </c>
    </row>
    <row r="757" spans="1:22">
      <c r="A757" t="s">
        <v>1248</v>
      </c>
      <c r="B757" s="10">
        <v>43066.708726851852</v>
      </c>
      <c r="C757" s="10">
        <v>43066.722175925926</v>
      </c>
      <c r="D757" s="10">
        <v>43067.943472222221</v>
      </c>
      <c r="E757" s="10">
        <v>43069.987581018519</v>
      </c>
      <c r="F757" s="10">
        <v>43087</v>
      </c>
      <c r="G757" t="s">
        <v>36</v>
      </c>
      <c r="H757" t="s">
        <v>467</v>
      </c>
      <c r="I757" t="s">
        <v>185</v>
      </c>
      <c r="J757" s="11">
        <v>1</v>
      </c>
      <c r="K757" s="12">
        <v>179.49</v>
      </c>
      <c r="L757" s="12">
        <v>16.02</v>
      </c>
      <c r="M757" s="13">
        <v>5</v>
      </c>
      <c r="N757" s="13">
        <f t="shared" si="88"/>
        <v>3.2788541666668607</v>
      </c>
      <c r="O757" s="13">
        <f t="shared" si="89"/>
        <v>0</v>
      </c>
      <c r="P757" t="str">
        <f t="shared" si="90"/>
        <v>On Time</v>
      </c>
      <c r="Q757" s="13">
        <f t="shared" si="91"/>
        <v>0.32277777779381722</v>
      </c>
      <c r="R757" s="13">
        <f t="shared" si="92"/>
        <v>1.221296296294895</v>
      </c>
      <c r="S757" s="13">
        <f t="shared" si="93"/>
        <v>2.0441087962972233</v>
      </c>
      <c r="T757" t="str">
        <f t="shared" si="94"/>
        <v>On Time/Early</v>
      </c>
      <c r="U757" t="str">
        <f t="shared" si="95"/>
        <v>Normal</v>
      </c>
      <c r="V757" t="s">
        <v>102</v>
      </c>
    </row>
    <row r="758" spans="1:22">
      <c r="A758" t="s">
        <v>1249</v>
      </c>
      <c r="B758" s="10">
        <v>43066.813611111109</v>
      </c>
      <c r="C758" s="10">
        <v>43068.098819444444</v>
      </c>
      <c r="D758" s="10">
        <v>43074.996203703704</v>
      </c>
      <c r="E758" s="10">
        <v>43112.942175925928</v>
      </c>
      <c r="F758" s="10">
        <v>43104</v>
      </c>
      <c r="G758" t="s">
        <v>175</v>
      </c>
      <c r="H758" t="s">
        <v>1250</v>
      </c>
      <c r="I758" t="s">
        <v>279</v>
      </c>
      <c r="J758" s="11">
        <v>1</v>
      </c>
      <c r="K758" s="12">
        <v>33.6</v>
      </c>
      <c r="L758" s="12">
        <v>25.63</v>
      </c>
      <c r="M758" s="13">
        <v>1</v>
      </c>
      <c r="N758" s="13">
        <f t="shared" si="88"/>
        <v>46.128564814818674</v>
      </c>
      <c r="O758" s="13">
        <f t="shared" si="89"/>
        <v>8.9421759259275859</v>
      </c>
      <c r="P758" t="str">
        <f t="shared" si="90"/>
        <v>Delayed</v>
      </c>
      <c r="Q758" s="13">
        <f t="shared" si="91"/>
        <v>30.845000000030268</v>
      </c>
      <c r="R758" s="13">
        <f t="shared" si="92"/>
        <v>6.8973842592604342</v>
      </c>
      <c r="S758" s="13">
        <f t="shared" si="93"/>
        <v>37.945972222223645</v>
      </c>
      <c r="T758" t="str">
        <f t="shared" si="94"/>
        <v>8+ Days Late</v>
      </c>
      <c r="U758" t="str">
        <f t="shared" si="95"/>
        <v>Needs Review</v>
      </c>
      <c r="V758" t="s">
        <v>102</v>
      </c>
    </row>
    <row r="759" spans="1:22">
      <c r="A759" t="s">
        <v>1251</v>
      </c>
      <c r="B759" s="10">
        <v>43066.891770833332</v>
      </c>
      <c r="C759" s="10">
        <v>43068.099004629628</v>
      </c>
      <c r="D759" s="10">
        <v>43068.70275462963</v>
      </c>
      <c r="E759" s="10">
        <v>43081.827662037038</v>
      </c>
      <c r="F759" s="10">
        <v>43089</v>
      </c>
      <c r="G759" t="s">
        <v>320</v>
      </c>
      <c r="H759" t="s">
        <v>321</v>
      </c>
      <c r="I759" t="s">
        <v>136</v>
      </c>
      <c r="J759" s="11">
        <v>1</v>
      </c>
      <c r="K759" s="12">
        <v>54.9</v>
      </c>
      <c r="L759" s="12">
        <v>25.66</v>
      </c>
      <c r="M759" s="13">
        <v>5</v>
      </c>
      <c r="N759" s="13">
        <f t="shared" si="88"/>
        <v>14.935891203705978</v>
      </c>
      <c r="O759" s="13">
        <f t="shared" si="89"/>
        <v>0</v>
      </c>
      <c r="P759" t="str">
        <f t="shared" si="90"/>
        <v>On Time</v>
      </c>
      <c r="Q759" s="13">
        <f t="shared" si="91"/>
        <v>28.973611111112405</v>
      </c>
      <c r="R759" s="13">
        <f t="shared" si="92"/>
        <v>0.60375000000203727</v>
      </c>
      <c r="S759" s="13">
        <f t="shared" si="93"/>
        <v>13.124907407407591</v>
      </c>
      <c r="T759" t="str">
        <f t="shared" si="94"/>
        <v>On Time/Early</v>
      </c>
      <c r="U759" t="str">
        <f t="shared" si="95"/>
        <v>Normal</v>
      </c>
      <c r="V759" t="s">
        <v>102</v>
      </c>
    </row>
    <row r="760" spans="1:22">
      <c r="A760" t="s">
        <v>1252</v>
      </c>
      <c r="B760" s="10">
        <v>43067.489560185182</v>
      </c>
      <c r="C760" s="10">
        <v>43068.095555555556</v>
      </c>
      <c r="D760" s="10">
        <v>43068.665925925925</v>
      </c>
      <c r="E760" s="10">
        <v>43074.051412037035</v>
      </c>
      <c r="F760" s="10">
        <v>43087</v>
      </c>
      <c r="G760" t="s">
        <v>8</v>
      </c>
      <c r="H760" t="s">
        <v>140</v>
      </c>
      <c r="I760" t="s">
        <v>120</v>
      </c>
      <c r="J760" s="11">
        <v>1</v>
      </c>
      <c r="K760" s="12">
        <v>39.99</v>
      </c>
      <c r="L760" s="12">
        <v>14.1</v>
      </c>
      <c r="M760" s="13">
        <v>5</v>
      </c>
      <c r="N760" s="13">
        <f t="shared" si="88"/>
        <v>6.5618518518531346</v>
      </c>
      <c r="O760" s="13">
        <f t="shared" si="89"/>
        <v>0</v>
      </c>
      <c r="P760" t="str">
        <f t="shared" si="90"/>
        <v>On Time</v>
      </c>
      <c r="Q760" s="13">
        <f t="shared" si="91"/>
        <v>14.543888888962101</v>
      </c>
      <c r="R760" s="13">
        <f t="shared" si="92"/>
        <v>0.57037037036934635</v>
      </c>
      <c r="S760" s="13">
        <f t="shared" si="93"/>
        <v>5.3854861111103673</v>
      </c>
      <c r="T760" t="str">
        <f t="shared" si="94"/>
        <v>On Time/Early</v>
      </c>
      <c r="U760" t="str">
        <f t="shared" si="95"/>
        <v>Normal</v>
      </c>
      <c r="V760" t="s">
        <v>102</v>
      </c>
    </row>
    <row r="761" spans="1:22">
      <c r="A761" t="s">
        <v>1253</v>
      </c>
      <c r="B761" s="10">
        <v>43067.517766203702</v>
      </c>
      <c r="C761" s="10">
        <v>43069.098692129628</v>
      </c>
      <c r="D761" s="10">
        <v>43077.540486111109</v>
      </c>
      <c r="E761" s="10">
        <v>43088.045763888891</v>
      </c>
      <c r="F761" s="10">
        <v>43109</v>
      </c>
      <c r="G761" t="s">
        <v>175</v>
      </c>
      <c r="H761" t="s">
        <v>338</v>
      </c>
      <c r="I761" t="s">
        <v>37</v>
      </c>
      <c r="J761" s="11">
        <v>1</v>
      </c>
      <c r="K761" s="12">
        <v>196.99</v>
      </c>
      <c r="L761" s="12">
        <v>65.5</v>
      </c>
      <c r="M761" s="13">
        <v>5</v>
      </c>
      <c r="N761" s="13">
        <f t="shared" si="88"/>
        <v>20.527997685188893</v>
      </c>
      <c r="O761" s="13">
        <f t="shared" si="89"/>
        <v>0</v>
      </c>
      <c r="P761" t="str">
        <f t="shared" si="90"/>
        <v>On Time</v>
      </c>
      <c r="Q761" s="13">
        <f t="shared" si="91"/>
        <v>37.942222222220153</v>
      </c>
      <c r="R761" s="13">
        <f t="shared" si="92"/>
        <v>8.4417939814811689</v>
      </c>
      <c r="S761" s="13">
        <f t="shared" si="93"/>
        <v>10.505277777781885</v>
      </c>
      <c r="T761" t="str">
        <f t="shared" si="94"/>
        <v>On Time/Early</v>
      </c>
      <c r="U761" t="str">
        <f t="shared" si="95"/>
        <v>Normal</v>
      </c>
      <c r="V761" t="s">
        <v>102</v>
      </c>
    </row>
    <row r="762" spans="1:22">
      <c r="A762" t="s">
        <v>1254</v>
      </c>
      <c r="B762" s="10">
        <v>43067.734247685185</v>
      </c>
      <c r="C762" s="10">
        <v>43067.746898148151</v>
      </c>
      <c r="D762" s="10">
        <v>43068.839618055557</v>
      </c>
      <c r="E762" s="10">
        <v>43081.923981481479</v>
      </c>
      <c r="F762" s="10">
        <v>43083</v>
      </c>
      <c r="G762" t="s">
        <v>8</v>
      </c>
      <c r="H762" t="s">
        <v>140</v>
      </c>
      <c r="I762" t="s">
        <v>185</v>
      </c>
      <c r="J762" s="11">
        <v>1</v>
      </c>
      <c r="K762" s="12">
        <v>69.900000000000006</v>
      </c>
      <c r="L762" s="12">
        <v>8.27</v>
      </c>
      <c r="M762" s="13">
        <v>2</v>
      </c>
      <c r="N762" s="13">
        <f t="shared" si="88"/>
        <v>14.189733796294604</v>
      </c>
      <c r="O762" s="13">
        <f t="shared" si="89"/>
        <v>0</v>
      </c>
      <c r="P762" t="str">
        <f t="shared" si="90"/>
        <v>On Time</v>
      </c>
      <c r="Q762" s="13">
        <f t="shared" si="91"/>
        <v>0.30361111118691042</v>
      </c>
      <c r="R762" s="13">
        <f t="shared" si="92"/>
        <v>1.0927199074067175</v>
      </c>
      <c r="S762" s="13">
        <f t="shared" si="93"/>
        <v>13.084363425921765</v>
      </c>
      <c r="T762" t="str">
        <f t="shared" si="94"/>
        <v>On Time/Early</v>
      </c>
      <c r="U762" t="str">
        <f t="shared" si="95"/>
        <v>Normal</v>
      </c>
      <c r="V762" t="s">
        <v>102</v>
      </c>
    </row>
    <row r="763" spans="1:22">
      <c r="A763" t="s">
        <v>1255</v>
      </c>
      <c r="B763" s="10">
        <v>43067.811932870369</v>
      </c>
      <c r="C763" s="10">
        <v>43067.85460648148</v>
      </c>
      <c r="D763" s="10">
        <v>43081.696331018517</v>
      </c>
      <c r="E763" s="10">
        <v>43083.873043981483</v>
      </c>
      <c r="F763" s="10">
        <v>43081</v>
      </c>
      <c r="G763" t="s">
        <v>8</v>
      </c>
      <c r="H763" t="s">
        <v>907</v>
      </c>
      <c r="I763" t="s">
        <v>101</v>
      </c>
      <c r="J763" s="11">
        <v>1</v>
      </c>
      <c r="K763" s="12">
        <v>250</v>
      </c>
      <c r="L763" s="12">
        <v>28.19</v>
      </c>
      <c r="M763" s="13">
        <v>1</v>
      </c>
      <c r="N763" s="13">
        <f t="shared" si="88"/>
        <v>16.06111111111386</v>
      </c>
      <c r="O763" s="13">
        <f t="shared" si="89"/>
        <v>2.8730439814826241</v>
      </c>
      <c r="P763" t="str">
        <f t="shared" si="90"/>
        <v>Delayed</v>
      </c>
      <c r="Q763" s="13">
        <f t="shared" si="91"/>
        <v>1.0241666666697711</v>
      </c>
      <c r="R763" s="13">
        <f t="shared" si="92"/>
        <v>13.841724537036498</v>
      </c>
      <c r="S763" s="13">
        <f t="shared" si="93"/>
        <v>2.1767129629661213</v>
      </c>
      <c r="T763" t="str">
        <f t="shared" si="94"/>
        <v>1-3 Days Late</v>
      </c>
      <c r="U763" t="str">
        <f t="shared" si="95"/>
        <v>Needs Review</v>
      </c>
      <c r="V763" t="s">
        <v>102</v>
      </c>
    </row>
    <row r="764" spans="1:22">
      <c r="A764" t="s">
        <v>1256</v>
      </c>
      <c r="B764" s="10">
        <v>43067.888240740744</v>
      </c>
      <c r="C764" s="10">
        <v>43067.900462962964</v>
      </c>
      <c r="D764" s="10">
        <v>43074.665856481479</v>
      </c>
      <c r="E764" s="10">
        <v>43083.870358796295</v>
      </c>
      <c r="F764" s="10">
        <v>43090</v>
      </c>
      <c r="G764" t="s">
        <v>8</v>
      </c>
      <c r="H764" t="s">
        <v>771</v>
      </c>
      <c r="I764" t="s">
        <v>112</v>
      </c>
      <c r="J764" s="11">
        <v>1</v>
      </c>
      <c r="K764" s="12">
        <v>179.99</v>
      </c>
      <c r="L764" s="12">
        <v>21.75</v>
      </c>
      <c r="M764" s="13">
        <v>5</v>
      </c>
      <c r="N764" s="13">
        <f t="shared" si="88"/>
        <v>15.982118055551837</v>
      </c>
      <c r="O764" s="13">
        <f t="shared" si="89"/>
        <v>0</v>
      </c>
      <c r="P764" t="str">
        <f t="shared" si="90"/>
        <v>On Time</v>
      </c>
      <c r="Q764" s="13">
        <f t="shared" si="91"/>
        <v>0.29333333327667788</v>
      </c>
      <c r="R764" s="13">
        <f t="shared" si="92"/>
        <v>6.7653935185153387</v>
      </c>
      <c r="S764" s="13">
        <f t="shared" si="93"/>
        <v>9.2045023148166365</v>
      </c>
      <c r="T764" t="str">
        <f t="shared" si="94"/>
        <v>On Time/Early</v>
      </c>
      <c r="U764" t="str">
        <f t="shared" si="95"/>
        <v>Normal</v>
      </c>
      <c r="V764" t="s">
        <v>102</v>
      </c>
    </row>
    <row r="765" spans="1:22">
      <c r="A765" t="s">
        <v>1257</v>
      </c>
      <c r="B765" s="10">
        <v>43067.948634259257</v>
      </c>
      <c r="C765" s="10">
        <v>43067.956377314818</v>
      </c>
      <c r="D765" s="10">
        <v>43068.710231481484</v>
      </c>
      <c r="E765" s="10">
        <v>43077.798738425925</v>
      </c>
      <c r="F765" s="10">
        <v>43088</v>
      </c>
      <c r="G765" t="s">
        <v>8</v>
      </c>
      <c r="H765" t="s">
        <v>245</v>
      </c>
      <c r="I765" t="s">
        <v>141</v>
      </c>
      <c r="J765" s="11">
        <v>1</v>
      </c>
      <c r="K765" s="12">
        <v>59.9</v>
      </c>
      <c r="L765" s="12">
        <v>13.44</v>
      </c>
      <c r="M765" s="13">
        <v>5</v>
      </c>
      <c r="N765" s="13">
        <f t="shared" si="88"/>
        <v>9.8501041666677338</v>
      </c>
      <c r="O765" s="13">
        <f t="shared" si="89"/>
        <v>0</v>
      </c>
      <c r="P765" t="str">
        <f t="shared" si="90"/>
        <v>On Time</v>
      </c>
      <c r="Q765" s="13">
        <f t="shared" si="91"/>
        <v>0.185833333467599</v>
      </c>
      <c r="R765" s="13">
        <f t="shared" si="92"/>
        <v>0.7538541666654055</v>
      </c>
      <c r="S765" s="13">
        <f t="shared" si="93"/>
        <v>9.0885069444411783</v>
      </c>
      <c r="T765" t="str">
        <f t="shared" si="94"/>
        <v>On Time/Early</v>
      </c>
      <c r="U765" t="str">
        <f t="shared" si="95"/>
        <v>Normal</v>
      </c>
      <c r="V765" t="s">
        <v>102</v>
      </c>
    </row>
    <row r="766" spans="1:22">
      <c r="A766" t="s">
        <v>1258</v>
      </c>
      <c r="B766" s="10">
        <v>43068.401238425926</v>
      </c>
      <c r="C766" s="10">
        <v>43069.100370370368</v>
      </c>
      <c r="D766" s="10">
        <v>43074.117962962962</v>
      </c>
      <c r="E766" s="10">
        <v>43088.947129629632</v>
      </c>
      <c r="F766" s="10">
        <v>43097</v>
      </c>
      <c r="G766" t="s">
        <v>36</v>
      </c>
      <c r="H766" t="s">
        <v>467</v>
      </c>
      <c r="I766" t="s">
        <v>58</v>
      </c>
      <c r="J766" s="11">
        <v>1</v>
      </c>
      <c r="K766" s="12">
        <v>19.899999999999999</v>
      </c>
      <c r="L766" s="12">
        <v>15.1</v>
      </c>
      <c r="M766" s="13">
        <v>5</v>
      </c>
      <c r="N766" s="13">
        <f t="shared" si="88"/>
        <v>20.54589120370656</v>
      </c>
      <c r="O766" s="13">
        <f t="shared" si="89"/>
        <v>0</v>
      </c>
      <c r="P766" t="str">
        <f t="shared" si="90"/>
        <v>On Time</v>
      </c>
      <c r="Q766" s="13">
        <f t="shared" si="91"/>
        <v>16.77916666661622</v>
      </c>
      <c r="R766" s="13">
        <f t="shared" si="92"/>
        <v>5.0175925925941556</v>
      </c>
      <c r="S766" s="13">
        <f t="shared" si="93"/>
        <v>14.829166666670062</v>
      </c>
      <c r="T766" t="str">
        <f t="shared" si="94"/>
        <v>On Time/Early</v>
      </c>
      <c r="U766" t="str">
        <f t="shared" si="95"/>
        <v>Normal</v>
      </c>
      <c r="V766" t="s">
        <v>102</v>
      </c>
    </row>
    <row r="767" spans="1:22">
      <c r="A767" t="s">
        <v>1259</v>
      </c>
      <c r="B767" s="10">
        <v>43068.423101851855</v>
      </c>
      <c r="C767" s="10">
        <v>43069.100138888891</v>
      </c>
      <c r="D767" s="10">
        <v>43070.86791666667</v>
      </c>
      <c r="E767" s="10">
        <v>43088.777013888888</v>
      </c>
      <c r="F767" s="10">
        <v>43096</v>
      </c>
      <c r="G767" t="s">
        <v>33</v>
      </c>
      <c r="H767" t="s">
        <v>1260</v>
      </c>
      <c r="I767" t="s">
        <v>136</v>
      </c>
      <c r="J767" s="11">
        <v>1</v>
      </c>
      <c r="K767" s="12">
        <v>115</v>
      </c>
      <c r="L767" s="12">
        <v>21.3</v>
      </c>
      <c r="M767" s="13">
        <v>3</v>
      </c>
      <c r="N767" s="13">
        <f t="shared" si="88"/>
        <v>20.353912037033297</v>
      </c>
      <c r="O767" s="13">
        <f t="shared" si="89"/>
        <v>0</v>
      </c>
      <c r="P767" t="str">
        <f t="shared" si="90"/>
        <v>On Time</v>
      </c>
      <c r="Q767" s="13">
        <f t="shared" si="91"/>
        <v>16.248888888861984</v>
      </c>
      <c r="R767" s="13">
        <f t="shared" si="92"/>
        <v>1.7677777777789743</v>
      </c>
      <c r="S767" s="13">
        <f t="shared" si="93"/>
        <v>17.909097222218406</v>
      </c>
      <c r="T767" t="str">
        <f t="shared" si="94"/>
        <v>On Time/Early</v>
      </c>
      <c r="U767" t="str">
        <f t="shared" si="95"/>
        <v>Normal</v>
      </c>
      <c r="V767" t="s">
        <v>102</v>
      </c>
    </row>
    <row r="768" spans="1:22">
      <c r="A768" t="s">
        <v>1261</v>
      </c>
      <c r="B768" s="10">
        <v>43068.442048611112</v>
      </c>
      <c r="C768" s="10">
        <v>43068.458298611113</v>
      </c>
      <c r="D768" s="10">
        <v>43068.877523148149</v>
      </c>
      <c r="E768" s="10">
        <v>43090.638101851851</v>
      </c>
      <c r="F768" s="10">
        <v>43091</v>
      </c>
      <c r="G768" t="s">
        <v>20</v>
      </c>
      <c r="H768" t="s">
        <v>1262</v>
      </c>
      <c r="I768" t="s">
        <v>120</v>
      </c>
      <c r="J768" s="11">
        <v>1</v>
      </c>
      <c r="K768" s="12">
        <v>39.950000000000003</v>
      </c>
      <c r="L768" s="12">
        <v>15.1</v>
      </c>
      <c r="M768" s="13">
        <v>3</v>
      </c>
      <c r="N768" s="13">
        <f t="shared" si="88"/>
        <v>22.196053240739275</v>
      </c>
      <c r="O768" s="13">
        <f t="shared" si="89"/>
        <v>0</v>
      </c>
      <c r="P768" t="str">
        <f t="shared" si="90"/>
        <v>On Time</v>
      </c>
      <c r="Q768" s="13">
        <f t="shared" si="91"/>
        <v>0.39000000001396984</v>
      </c>
      <c r="R768" s="13">
        <f t="shared" si="92"/>
        <v>0.419224537035916</v>
      </c>
      <c r="S768" s="13">
        <f t="shared" si="93"/>
        <v>21.760578703702777</v>
      </c>
      <c r="T768" t="str">
        <f t="shared" si="94"/>
        <v>On Time/Early</v>
      </c>
      <c r="U768" t="str">
        <f t="shared" si="95"/>
        <v>Normal</v>
      </c>
      <c r="V768" t="s">
        <v>102</v>
      </c>
    </row>
    <row r="769" spans="1:22">
      <c r="A769" t="s">
        <v>1263</v>
      </c>
      <c r="B769" s="10">
        <v>43068.504328703704</v>
      </c>
      <c r="C769" s="10">
        <v>43070.47991898148</v>
      </c>
      <c r="D769" s="10">
        <v>43074.988298611112</v>
      </c>
      <c r="E769" s="10">
        <v>43075.614270833335</v>
      </c>
      <c r="F769" s="10">
        <v>43095</v>
      </c>
      <c r="G769" t="s">
        <v>8</v>
      </c>
      <c r="H769" t="s">
        <v>1264</v>
      </c>
      <c r="I769" t="s">
        <v>1265</v>
      </c>
      <c r="J769" s="11">
        <v>1</v>
      </c>
      <c r="K769" s="12">
        <v>29.99</v>
      </c>
      <c r="L769" s="12">
        <v>9.09</v>
      </c>
      <c r="M769" s="13">
        <v>1</v>
      </c>
      <c r="N769" s="13">
        <f t="shared" si="88"/>
        <v>7.1099421296312357</v>
      </c>
      <c r="O769" s="13">
        <f t="shared" si="89"/>
        <v>0</v>
      </c>
      <c r="P769" t="str">
        <f t="shared" si="90"/>
        <v>On Time</v>
      </c>
      <c r="Q769" s="13">
        <f t="shared" si="91"/>
        <v>47.414166666625533</v>
      </c>
      <c r="R769" s="13">
        <f t="shared" si="92"/>
        <v>4.5083796296312357</v>
      </c>
      <c r="S769" s="13">
        <f t="shared" si="93"/>
        <v>0.62597222222393611</v>
      </c>
      <c r="T769" t="str">
        <f t="shared" si="94"/>
        <v>On Time/Early</v>
      </c>
      <c r="U769" t="str">
        <f t="shared" si="95"/>
        <v>Normal</v>
      </c>
      <c r="V769" t="s">
        <v>102</v>
      </c>
    </row>
    <row r="770" spans="1:22">
      <c r="A770" t="s">
        <v>1266</v>
      </c>
      <c r="B770" s="10">
        <v>43068.523321759261</v>
      </c>
      <c r="C770" s="10">
        <v>43068.529699074075</v>
      </c>
      <c r="D770" s="10">
        <v>43068.901273148149</v>
      </c>
      <c r="E770" s="10">
        <v>43095.933113425926</v>
      </c>
      <c r="F770" s="10">
        <v>43091</v>
      </c>
      <c r="G770" t="s">
        <v>33</v>
      </c>
      <c r="H770" t="s">
        <v>488</v>
      </c>
      <c r="I770" t="s">
        <v>118</v>
      </c>
      <c r="J770" s="11">
        <v>1</v>
      </c>
      <c r="K770" s="12">
        <v>118.9</v>
      </c>
      <c r="L770" s="12">
        <v>15.58</v>
      </c>
      <c r="M770" s="13">
        <v>3</v>
      </c>
      <c r="N770" s="13">
        <f t="shared" ref="N770:N833" si="96">IFERROR(E770-B770,"")</f>
        <v>27.409791666665114</v>
      </c>
      <c r="O770" s="13">
        <f t="shared" ref="O770:O833" si="97">IFERROR(MAX(0,E770-F770),"")</f>
        <v>4.9331134259264218</v>
      </c>
      <c r="P770" t="str">
        <f t="shared" ref="P770:P833" si="98">IF(O770&gt;0,"Delayed","On Time")</f>
        <v>Delayed</v>
      </c>
      <c r="Q770" s="13">
        <f t="shared" ref="Q770:Q833" si="99">IFERROR((C770-B770)*24,"")</f>
        <v>0.1530555555364117</v>
      </c>
      <c r="R770" s="13">
        <f t="shared" ref="R770:R833" si="100">IFERROR(D770-C770,"")</f>
        <v>0.37157407407357823</v>
      </c>
      <c r="S770" s="13">
        <f t="shared" ref="S770:S833" si="101">IFERROR(E770-D770,"")</f>
        <v>27.031840277777519</v>
      </c>
      <c r="T770" t="str">
        <f t="shared" ref="T770:T833" si="102">IF(O770=0,"On Time/Early",IF(O770&lt;=3,"1-3 Days Late",IF(O770&lt;=7,"4-7 Days Late","8+ Days Late")))</f>
        <v>4-7 Days Late</v>
      </c>
      <c r="U770" t="str">
        <f t="shared" ref="U770:U833" si="103">IF(P770="Delayed","Needs Review","Normal")</f>
        <v>Needs Review</v>
      </c>
      <c r="V770" t="s">
        <v>102</v>
      </c>
    </row>
    <row r="771" spans="1:22">
      <c r="A771" t="s">
        <v>1267</v>
      </c>
      <c r="B771" s="10">
        <v>43068.757349537038</v>
      </c>
      <c r="C771" s="10">
        <v>43068.76357638889</v>
      </c>
      <c r="D771" s="10">
        <v>43070.742094907408</v>
      </c>
      <c r="E771" s="10">
        <v>43082.621736111112</v>
      </c>
      <c r="F771" s="10">
        <v>43090</v>
      </c>
      <c r="G771" t="s">
        <v>320</v>
      </c>
      <c r="H771" t="s">
        <v>321</v>
      </c>
      <c r="I771" t="s">
        <v>58</v>
      </c>
      <c r="J771" s="11">
        <v>1</v>
      </c>
      <c r="K771" s="12">
        <v>149.9</v>
      </c>
      <c r="L771" s="12">
        <v>15.8</v>
      </c>
      <c r="M771" s="13">
        <v>1</v>
      </c>
      <c r="N771" s="13">
        <f t="shared" si="96"/>
        <v>13.86438657407416</v>
      </c>
      <c r="O771" s="13">
        <f t="shared" si="97"/>
        <v>0</v>
      </c>
      <c r="P771" t="str">
        <f t="shared" si="98"/>
        <v>On Time</v>
      </c>
      <c r="Q771" s="13">
        <f t="shared" si="99"/>
        <v>0.14944444445427507</v>
      </c>
      <c r="R771" s="13">
        <f t="shared" si="100"/>
        <v>1.9785185185173759</v>
      </c>
      <c r="S771" s="13">
        <f t="shared" si="101"/>
        <v>11.879641203704523</v>
      </c>
      <c r="T771" t="str">
        <f t="shared" si="102"/>
        <v>On Time/Early</v>
      </c>
      <c r="U771" t="str">
        <f t="shared" si="103"/>
        <v>Normal</v>
      </c>
      <c r="V771" t="s">
        <v>102</v>
      </c>
    </row>
    <row r="772" spans="1:22">
      <c r="A772" t="s">
        <v>1268</v>
      </c>
      <c r="B772" s="10">
        <v>43069.620717592596</v>
      </c>
      <c r="C772" s="10">
        <v>43070.480173611111</v>
      </c>
      <c r="D772" s="10">
        <v>43074.860208333332</v>
      </c>
      <c r="E772" s="10">
        <v>43082.806990740741</v>
      </c>
      <c r="F772" s="10">
        <v>43097</v>
      </c>
      <c r="G772" t="s">
        <v>36</v>
      </c>
      <c r="H772" t="s">
        <v>467</v>
      </c>
      <c r="I772" t="s">
        <v>221</v>
      </c>
      <c r="J772" s="11">
        <v>1</v>
      </c>
      <c r="K772" s="12">
        <v>348.8</v>
      </c>
      <c r="L772" s="12">
        <v>16.190000000000001</v>
      </c>
      <c r="M772" s="13">
        <v>5</v>
      </c>
      <c r="N772" s="13">
        <f t="shared" si="96"/>
        <v>13.186273148145119</v>
      </c>
      <c r="O772" s="13">
        <f t="shared" si="97"/>
        <v>0</v>
      </c>
      <c r="P772" t="str">
        <f t="shared" si="98"/>
        <v>On Time</v>
      </c>
      <c r="Q772" s="13">
        <f t="shared" si="99"/>
        <v>20.626944444375113</v>
      </c>
      <c r="R772" s="13">
        <f t="shared" si="100"/>
        <v>4.3800347222204437</v>
      </c>
      <c r="S772" s="13">
        <f t="shared" si="101"/>
        <v>7.9467824074090458</v>
      </c>
      <c r="T772" t="str">
        <f t="shared" si="102"/>
        <v>On Time/Early</v>
      </c>
      <c r="U772" t="str">
        <f t="shared" si="103"/>
        <v>Normal</v>
      </c>
      <c r="V772" t="s">
        <v>102</v>
      </c>
    </row>
    <row r="773" spans="1:22">
      <c r="A773" t="s">
        <v>1269</v>
      </c>
      <c r="B773" s="10">
        <v>43069.672546296293</v>
      </c>
      <c r="C773" s="10">
        <v>43069.67732638889</v>
      </c>
      <c r="D773" s="10">
        <v>43070.749328703707</v>
      </c>
      <c r="E773" s="10">
        <v>43072.545324074075</v>
      </c>
      <c r="F773" s="10">
        <v>43087</v>
      </c>
      <c r="G773" t="s">
        <v>8</v>
      </c>
      <c r="H773" t="s">
        <v>140</v>
      </c>
      <c r="I773" t="s">
        <v>123</v>
      </c>
      <c r="J773" s="11">
        <v>1</v>
      </c>
      <c r="K773" s="12">
        <v>118.9</v>
      </c>
      <c r="L773" s="12">
        <v>8.58</v>
      </c>
      <c r="M773" s="13">
        <v>4</v>
      </c>
      <c r="N773" s="13">
        <f t="shared" si="96"/>
        <v>2.8727777777821757</v>
      </c>
      <c r="O773" s="13">
        <f t="shared" si="97"/>
        <v>0</v>
      </c>
      <c r="P773" t="str">
        <f t="shared" si="98"/>
        <v>On Time</v>
      </c>
      <c r="Q773" s="13">
        <f t="shared" si="99"/>
        <v>0.1147222223225981</v>
      </c>
      <c r="R773" s="13">
        <f t="shared" si="100"/>
        <v>1.0720023148169275</v>
      </c>
      <c r="S773" s="13">
        <f t="shared" si="101"/>
        <v>1.7959953703684732</v>
      </c>
      <c r="T773" t="str">
        <f t="shared" si="102"/>
        <v>On Time/Early</v>
      </c>
      <c r="U773" t="str">
        <f t="shared" si="103"/>
        <v>Normal</v>
      </c>
      <c r="V773" t="s">
        <v>102</v>
      </c>
    </row>
    <row r="774" spans="1:22">
      <c r="A774" t="s">
        <v>1270</v>
      </c>
      <c r="B774" s="10">
        <v>43070.32340277778</v>
      </c>
      <c r="C774" s="10">
        <v>43070.480127314811</v>
      </c>
      <c r="D774" s="10">
        <v>43075.065196759257</v>
      </c>
      <c r="E774" s="10">
        <v>43091.027060185188</v>
      </c>
      <c r="F774" s="10">
        <v>43098</v>
      </c>
      <c r="G774" t="s">
        <v>20</v>
      </c>
      <c r="H774" t="s">
        <v>104</v>
      </c>
      <c r="I774" t="s">
        <v>112</v>
      </c>
      <c r="J774" s="11">
        <v>1</v>
      </c>
      <c r="K774" s="12">
        <v>139</v>
      </c>
      <c r="L774" s="12">
        <v>19.21</v>
      </c>
      <c r="M774" s="13">
        <v>5</v>
      </c>
      <c r="N774" s="13">
        <f t="shared" si="96"/>
        <v>20.703657407408173</v>
      </c>
      <c r="O774" s="13">
        <f t="shared" si="97"/>
        <v>0</v>
      </c>
      <c r="P774" t="str">
        <f t="shared" si="98"/>
        <v>On Time</v>
      </c>
      <c r="Q774" s="13">
        <f t="shared" si="99"/>
        <v>3.7613888887572102</v>
      </c>
      <c r="R774" s="13">
        <f t="shared" si="100"/>
        <v>4.5850694444452529</v>
      </c>
      <c r="S774" s="13">
        <f t="shared" si="101"/>
        <v>15.961863425931369</v>
      </c>
      <c r="T774" t="str">
        <f t="shared" si="102"/>
        <v>On Time/Early</v>
      </c>
      <c r="U774" t="str">
        <f t="shared" si="103"/>
        <v>Normal</v>
      </c>
      <c r="V774" t="s">
        <v>102</v>
      </c>
    </row>
    <row r="775" spans="1:22">
      <c r="A775" t="s">
        <v>1271</v>
      </c>
      <c r="B775" s="10">
        <v>43070.358495370368</v>
      </c>
      <c r="C775" s="10">
        <v>43070.479814814818</v>
      </c>
      <c r="D775" s="10">
        <v>43074.038576388892</v>
      </c>
      <c r="E775" s="10">
        <v>43080.471967592595</v>
      </c>
      <c r="F775" s="10">
        <v>43095</v>
      </c>
      <c r="G775" t="s">
        <v>8</v>
      </c>
      <c r="H775" t="s">
        <v>1272</v>
      </c>
      <c r="I775" t="s">
        <v>120</v>
      </c>
      <c r="J775" s="11">
        <v>4</v>
      </c>
      <c r="K775" s="12">
        <v>120</v>
      </c>
      <c r="L775" s="12">
        <v>50.76</v>
      </c>
      <c r="M775" s="13">
        <v>4</v>
      </c>
      <c r="N775" s="13">
        <f t="shared" si="96"/>
        <v>10.113472222226846</v>
      </c>
      <c r="O775" s="13">
        <f t="shared" si="97"/>
        <v>0</v>
      </c>
      <c r="P775" t="str">
        <f t="shared" si="98"/>
        <v>On Time</v>
      </c>
      <c r="Q775" s="13">
        <f t="shared" si="99"/>
        <v>2.9116666667978279</v>
      </c>
      <c r="R775" s="13">
        <f t="shared" si="100"/>
        <v>3.5587615740732872</v>
      </c>
      <c r="S775" s="13">
        <f t="shared" si="101"/>
        <v>6.4333912037036498</v>
      </c>
      <c r="T775" t="str">
        <f t="shared" si="102"/>
        <v>On Time/Early</v>
      </c>
      <c r="U775" t="str">
        <f t="shared" si="103"/>
        <v>Normal</v>
      </c>
      <c r="V775" t="s">
        <v>102</v>
      </c>
    </row>
    <row r="776" spans="1:22">
      <c r="A776" t="s">
        <v>1273</v>
      </c>
      <c r="B776" s="10">
        <v>43070.450833333336</v>
      </c>
      <c r="C776" s="10">
        <v>43070.521909722222</v>
      </c>
      <c r="D776" s="10">
        <v>43070.884317129632</v>
      </c>
      <c r="E776" s="10">
        <v>43080.884479166663</v>
      </c>
      <c r="F776" s="10">
        <v>43103</v>
      </c>
      <c r="G776" t="s">
        <v>20</v>
      </c>
      <c r="H776" t="s">
        <v>1274</v>
      </c>
      <c r="I776" t="s">
        <v>141</v>
      </c>
      <c r="J776" s="11">
        <v>1</v>
      </c>
      <c r="K776" s="12">
        <v>32.9</v>
      </c>
      <c r="L776" s="12">
        <v>16.79</v>
      </c>
      <c r="M776" s="13">
        <v>4</v>
      </c>
      <c r="N776" s="13">
        <f t="shared" si="96"/>
        <v>10.433645833327319</v>
      </c>
      <c r="O776" s="13">
        <f t="shared" si="97"/>
        <v>0</v>
      </c>
      <c r="P776" t="str">
        <f t="shared" si="98"/>
        <v>On Time</v>
      </c>
      <c r="Q776" s="13">
        <f t="shared" si="99"/>
        <v>1.7058333332533948</v>
      </c>
      <c r="R776" s="13">
        <f t="shared" si="100"/>
        <v>0.36240740741050104</v>
      </c>
      <c r="S776" s="13">
        <f t="shared" si="101"/>
        <v>10.000162037031259</v>
      </c>
      <c r="T776" t="str">
        <f t="shared" si="102"/>
        <v>On Time/Early</v>
      </c>
      <c r="U776" t="str">
        <f t="shared" si="103"/>
        <v>Normal</v>
      </c>
      <c r="V776" t="s">
        <v>102</v>
      </c>
    </row>
    <row r="777" spans="1:22">
      <c r="A777" t="s">
        <v>1275</v>
      </c>
      <c r="B777" s="10">
        <v>43070.465671296297</v>
      </c>
      <c r="C777" s="10">
        <v>43071.119004629632</v>
      </c>
      <c r="D777" s="10">
        <v>43073.807905092595</v>
      </c>
      <c r="E777" s="10">
        <v>43080.529849537037</v>
      </c>
      <c r="F777" s="10">
        <v>43098</v>
      </c>
      <c r="G777" t="s">
        <v>43</v>
      </c>
      <c r="H777" t="s">
        <v>1276</v>
      </c>
      <c r="I777" t="s">
        <v>177</v>
      </c>
      <c r="J777" s="11">
        <v>1</v>
      </c>
      <c r="K777" s="12">
        <v>120</v>
      </c>
      <c r="L777" s="12">
        <v>15.59</v>
      </c>
      <c r="M777" s="13">
        <v>3</v>
      </c>
      <c r="N777" s="13">
        <f t="shared" si="96"/>
        <v>10.064178240740148</v>
      </c>
      <c r="O777" s="13">
        <f t="shared" si="97"/>
        <v>0</v>
      </c>
      <c r="P777" t="str">
        <f t="shared" si="98"/>
        <v>On Time</v>
      </c>
      <c r="Q777" s="13">
        <f t="shared" si="99"/>
        <v>15.680000000051223</v>
      </c>
      <c r="R777" s="13">
        <f t="shared" si="100"/>
        <v>2.6889004629629198</v>
      </c>
      <c r="S777" s="13">
        <f t="shared" si="101"/>
        <v>6.7219444444417604</v>
      </c>
      <c r="T777" t="str">
        <f t="shared" si="102"/>
        <v>On Time/Early</v>
      </c>
      <c r="U777" t="str">
        <f t="shared" si="103"/>
        <v>Normal</v>
      </c>
      <c r="V777" t="s">
        <v>102</v>
      </c>
    </row>
    <row r="778" spans="1:22">
      <c r="A778" t="s">
        <v>1277</v>
      </c>
      <c r="B778" s="10">
        <v>43070.501909722225</v>
      </c>
      <c r="C778" s="10">
        <v>43070.521874999999</v>
      </c>
      <c r="D778" s="10">
        <v>43077.76326388889</v>
      </c>
      <c r="E778" s="10">
        <v>43084.787939814814</v>
      </c>
      <c r="F778" s="10">
        <v>43095</v>
      </c>
      <c r="G778" t="s">
        <v>8</v>
      </c>
      <c r="H778" t="s">
        <v>171</v>
      </c>
      <c r="I778" t="s">
        <v>112</v>
      </c>
      <c r="J778" s="11">
        <v>1</v>
      </c>
      <c r="K778" s="12">
        <v>53.8</v>
      </c>
      <c r="L778" s="12">
        <v>11.88</v>
      </c>
      <c r="M778" s="13">
        <v>4</v>
      </c>
      <c r="N778" s="13">
        <f t="shared" si="96"/>
        <v>14.286030092589499</v>
      </c>
      <c r="O778" s="13">
        <f t="shared" si="97"/>
        <v>0</v>
      </c>
      <c r="P778" t="str">
        <f t="shared" si="98"/>
        <v>On Time</v>
      </c>
      <c r="Q778" s="13">
        <f t="shared" si="99"/>
        <v>0.4791666665696539</v>
      </c>
      <c r="R778" s="13">
        <f t="shared" si="100"/>
        <v>7.2413888888913789</v>
      </c>
      <c r="S778" s="13">
        <f t="shared" si="101"/>
        <v>7.0246759259243845</v>
      </c>
      <c r="T778" t="str">
        <f t="shared" si="102"/>
        <v>On Time/Early</v>
      </c>
      <c r="U778" t="str">
        <f t="shared" si="103"/>
        <v>Normal</v>
      </c>
      <c r="V778" t="s">
        <v>102</v>
      </c>
    </row>
    <row r="779" spans="1:22">
      <c r="A779" t="s">
        <v>1278</v>
      </c>
      <c r="B779" s="10">
        <v>43070.566342592596</v>
      </c>
      <c r="C779" s="10">
        <v>43070.582256944443</v>
      </c>
      <c r="D779" s="10">
        <v>43073.904826388891</v>
      </c>
      <c r="E779" s="10">
        <v>43077.016250000001</v>
      </c>
      <c r="F779" s="10">
        <v>43098</v>
      </c>
      <c r="G779" t="s">
        <v>36</v>
      </c>
      <c r="H779" t="s">
        <v>467</v>
      </c>
      <c r="I779" t="s">
        <v>143</v>
      </c>
      <c r="J779" s="11">
        <v>1</v>
      </c>
      <c r="K779" s="12">
        <v>84.99</v>
      </c>
      <c r="L779" s="12">
        <v>15.35</v>
      </c>
      <c r="M779" s="13">
        <v>5</v>
      </c>
      <c r="N779" s="13">
        <f t="shared" si="96"/>
        <v>6.4499074074046803</v>
      </c>
      <c r="O779" s="13">
        <f t="shared" si="97"/>
        <v>0</v>
      </c>
      <c r="P779" t="str">
        <f t="shared" si="98"/>
        <v>On Time</v>
      </c>
      <c r="Q779" s="13">
        <f t="shared" si="99"/>
        <v>0.3819444443215616</v>
      </c>
      <c r="R779" s="13">
        <f t="shared" si="100"/>
        <v>3.3225694444481633</v>
      </c>
      <c r="S779" s="13">
        <f t="shared" si="101"/>
        <v>3.1114236111097853</v>
      </c>
      <c r="T779" t="str">
        <f t="shared" si="102"/>
        <v>On Time/Early</v>
      </c>
      <c r="U779" t="str">
        <f t="shared" si="103"/>
        <v>Normal</v>
      </c>
      <c r="V779" t="s">
        <v>102</v>
      </c>
    </row>
    <row r="780" spans="1:22">
      <c r="A780" t="s">
        <v>1279</v>
      </c>
      <c r="B780" s="10">
        <v>43070.750613425924</v>
      </c>
      <c r="C780" s="10">
        <v>43070.758611111109</v>
      </c>
      <c r="D780" s="10">
        <v>43074.018136574072</v>
      </c>
      <c r="E780" s="10">
        <v>43083.53696759259</v>
      </c>
      <c r="F780" s="10">
        <v>43103</v>
      </c>
      <c r="G780" t="s">
        <v>57</v>
      </c>
      <c r="H780" t="s">
        <v>254</v>
      </c>
      <c r="I780" t="s">
        <v>136</v>
      </c>
      <c r="J780" s="11">
        <v>2</v>
      </c>
      <c r="K780" s="12">
        <v>157.56</v>
      </c>
      <c r="L780" s="12">
        <v>38.17</v>
      </c>
      <c r="M780" s="13">
        <v>4</v>
      </c>
      <c r="N780" s="13">
        <f t="shared" si="96"/>
        <v>12.78635416666657</v>
      </c>
      <c r="O780" s="13">
        <f t="shared" si="97"/>
        <v>0</v>
      </c>
      <c r="P780" t="str">
        <f t="shared" si="98"/>
        <v>On Time</v>
      </c>
      <c r="Q780" s="13">
        <f t="shared" si="99"/>
        <v>0.19194444443564862</v>
      </c>
      <c r="R780" s="13">
        <f t="shared" si="100"/>
        <v>3.2595254629632109</v>
      </c>
      <c r="S780" s="13">
        <f t="shared" si="101"/>
        <v>9.5188310185185401</v>
      </c>
      <c r="T780" t="str">
        <f t="shared" si="102"/>
        <v>On Time/Early</v>
      </c>
      <c r="U780" t="str">
        <f t="shared" si="103"/>
        <v>Normal</v>
      </c>
      <c r="V780" t="s">
        <v>102</v>
      </c>
    </row>
    <row r="781" spans="1:22">
      <c r="A781" t="s">
        <v>1280</v>
      </c>
      <c r="B781" s="10">
        <v>43071.321539351855</v>
      </c>
      <c r="C781" s="10">
        <v>43071.372847222221</v>
      </c>
      <c r="D781" s="10">
        <v>43073.953518518516</v>
      </c>
      <c r="E781" s="10">
        <v>43078.845023148147</v>
      </c>
      <c r="F781" s="10">
        <v>43096</v>
      </c>
      <c r="G781" t="s">
        <v>20</v>
      </c>
      <c r="H781" t="s">
        <v>104</v>
      </c>
      <c r="I781" t="s">
        <v>136</v>
      </c>
      <c r="J781" s="11">
        <v>1</v>
      </c>
      <c r="K781" s="12">
        <v>49.9</v>
      </c>
      <c r="L781" s="12">
        <v>14.1</v>
      </c>
      <c r="M781" s="13">
        <v>5</v>
      </c>
      <c r="N781" s="13">
        <f t="shared" si="96"/>
        <v>7.5234837962925667</v>
      </c>
      <c r="O781" s="13">
        <f t="shared" si="97"/>
        <v>0</v>
      </c>
      <c r="P781" t="str">
        <f t="shared" si="98"/>
        <v>On Time</v>
      </c>
      <c r="Q781" s="13">
        <f t="shared" si="99"/>
        <v>1.2313888887874782</v>
      </c>
      <c r="R781" s="13">
        <f t="shared" si="100"/>
        <v>2.580671296294895</v>
      </c>
      <c r="S781" s="13">
        <f t="shared" si="101"/>
        <v>4.8915046296315268</v>
      </c>
      <c r="T781" t="str">
        <f t="shared" si="102"/>
        <v>On Time/Early</v>
      </c>
      <c r="U781" t="str">
        <f t="shared" si="103"/>
        <v>Normal</v>
      </c>
      <c r="V781" t="s">
        <v>102</v>
      </c>
    </row>
    <row r="782" spans="1:22">
      <c r="A782" t="s">
        <v>1281</v>
      </c>
      <c r="B782" s="10">
        <v>43071.41511574074</v>
      </c>
      <c r="C782" s="10">
        <v>43071.429502314815</v>
      </c>
      <c r="D782" s="10">
        <v>43073.893645833334</v>
      </c>
      <c r="E782" s="10">
        <v>43082.81863425926</v>
      </c>
      <c r="F782" s="10">
        <v>43096</v>
      </c>
      <c r="G782" t="s">
        <v>20</v>
      </c>
      <c r="H782" t="s">
        <v>130</v>
      </c>
      <c r="I782" t="s">
        <v>246</v>
      </c>
      <c r="J782" s="11">
        <v>2</v>
      </c>
      <c r="K782" s="12">
        <v>132.80000000000001</v>
      </c>
      <c r="L782" s="12">
        <v>27.69</v>
      </c>
      <c r="M782" s="13">
        <v>4</v>
      </c>
      <c r="N782" s="13">
        <f t="shared" si="96"/>
        <v>11.403518518520286</v>
      </c>
      <c r="O782" s="13">
        <f t="shared" si="97"/>
        <v>0</v>
      </c>
      <c r="P782" t="str">
        <f t="shared" si="98"/>
        <v>On Time</v>
      </c>
      <c r="Q782" s="13">
        <f t="shared" si="99"/>
        <v>0.34527777781477198</v>
      </c>
      <c r="R782" s="13">
        <f t="shared" si="100"/>
        <v>2.4641435185185401</v>
      </c>
      <c r="S782" s="13">
        <f t="shared" si="101"/>
        <v>8.9249884259261307</v>
      </c>
      <c r="T782" t="str">
        <f t="shared" si="102"/>
        <v>On Time/Early</v>
      </c>
      <c r="U782" t="str">
        <f t="shared" si="103"/>
        <v>Normal</v>
      </c>
      <c r="V782" t="s">
        <v>102</v>
      </c>
    </row>
    <row r="783" spans="1:22">
      <c r="A783" t="s">
        <v>1282</v>
      </c>
      <c r="B783" s="10">
        <v>43071.86509259259</v>
      </c>
      <c r="C783" s="10">
        <v>43071.872604166667</v>
      </c>
      <c r="D783" s="10">
        <v>43074.941458333335</v>
      </c>
      <c r="E783" s="10">
        <v>43081.899525462963</v>
      </c>
      <c r="F783" s="10">
        <v>43096</v>
      </c>
      <c r="G783" t="s">
        <v>8</v>
      </c>
      <c r="H783" t="s">
        <v>620</v>
      </c>
      <c r="I783" t="s">
        <v>118</v>
      </c>
      <c r="J783" s="11">
        <v>1</v>
      </c>
      <c r="K783" s="12">
        <v>27.99</v>
      </c>
      <c r="L783" s="12">
        <v>11.85</v>
      </c>
      <c r="M783" s="13">
        <v>5</v>
      </c>
      <c r="N783" s="13">
        <f t="shared" si="96"/>
        <v>10.034432870372257</v>
      </c>
      <c r="O783" s="13">
        <f t="shared" si="97"/>
        <v>0</v>
      </c>
      <c r="P783" t="str">
        <f t="shared" si="98"/>
        <v>On Time</v>
      </c>
      <c r="Q783" s="13">
        <f t="shared" si="99"/>
        <v>0.18027777783572674</v>
      </c>
      <c r="R783" s="13">
        <f t="shared" si="100"/>
        <v>3.0688541666677338</v>
      </c>
      <c r="S783" s="13">
        <f t="shared" si="101"/>
        <v>6.9580671296280343</v>
      </c>
      <c r="T783" t="str">
        <f t="shared" si="102"/>
        <v>On Time/Early</v>
      </c>
      <c r="U783" t="str">
        <f t="shared" si="103"/>
        <v>Normal</v>
      </c>
      <c r="V783" t="s">
        <v>102</v>
      </c>
    </row>
    <row r="784" spans="1:22">
      <c r="A784" t="s">
        <v>1283</v>
      </c>
      <c r="B784" s="10">
        <v>43072.384699074071</v>
      </c>
      <c r="C784" s="10">
        <v>43074.386805555558</v>
      </c>
      <c r="D784" s="10">
        <v>43074.77715277778</v>
      </c>
      <c r="E784" s="10">
        <v>43084.923530092594</v>
      </c>
      <c r="F784" s="10">
        <v>43111</v>
      </c>
      <c r="G784" t="s">
        <v>8</v>
      </c>
      <c r="H784" t="s">
        <v>1284</v>
      </c>
      <c r="I784" t="s">
        <v>252</v>
      </c>
      <c r="J784" s="11">
        <v>1</v>
      </c>
      <c r="K784" s="12">
        <v>30</v>
      </c>
      <c r="L784" s="12">
        <v>11.85</v>
      </c>
      <c r="M784" s="13">
        <v>5</v>
      </c>
      <c r="N784" s="13">
        <f t="shared" si="96"/>
        <v>12.538831018522615</v>
      </c>
      <c r="O784" s="13">
        <f t="shared" si="97"/>
        <v>0</v>
      </c>
      <c r="P784" t="str">
        <f t="shared" si="98"/>
        <v>On Time</v>
      </c>
      <c r="Q784" s="13">
        <f t="shared" si="99"/>
        <v>48.050555555673782</v>
      </c>
      <c r="R784" s="13">
        <f t="shared" si="100"/>
        <v>0.39034722222277196</v>
      </c>
      <c r="S784" s="13">
        <f t="shared" si="101"/>
        <v>10.146377314813435</v>
      </c>
      <c r="T784" t="str">
        <f t="shared" si="102"/>
        <v>On Time/Early</v>
      </c>
      <c r="U784" t="str">
        <f t="shared" si="103"/>
        <v>Normal</v>
      </c>
      <c r="V784" t="s">
        <v>102</v>
      </c>
    </row>
    <row r="785" spans="1:22">
      <c r="A785" t="s">
        <v>1285</v>
      </c>
      <c r="B785" s="10">
        <v>43072.41982638889</v>
      </c>
      <c r="C785" s="10">
        <v>43072.455138888887</v>
      </c>
      <c r="D785" s="10">
        <v>43076.582465277781</v>
      </c>
      <c r="E785" s="10">
        <v>43078.112118055556</v>
      </c>
      <c r="F785" s="10">
        <v>43089</v>
      </c>
      <c r="G785" t="s">
        <v>8</v>
      </c>
      <c r="H785" t="s">
        <v>140</v>
      </c>
      <c r="I785" t="s">
        <v>31</v>
      </c>
      <c r="J785" s="11">
        <v>1</v>
      </c>
      <c r="K785" s="12">
        <v>29</v>
      </c>
      <c r="L785" s="12">
        <v>8.7200000000000006</v>
      </c>
      <c r="M785" s="13">
        <v>5</v>
      </c>
      <c r="N785" s="13">
        <f t="shared" si="96"/>
        <v>5.6922916666662786</v>
      </c>
      <c r="O785" s="13">
        <f t="shared" si="97"/>
        <v>0</v>
      </c>
      <c r="P785" t="str">
        <f t="shared" si="98"/>
        <v>On Time</v>
      </c>
      <c r="Q785" s="13">
        <f t="shared" si="99"/>
        <v>0.84749999991618097</v>
      </c>
      <c r="R785" s="13">
        <f t="shared" si="100"/>
        <v>4.1273263888942893</v>
      </c>
      <c r="S785" s="13">
        <f t="shared" si="101"/>
        <v>1.5296527777754818</v>
      </c>
      <c r="T785" t="str">
        <f t="shared" si="102"/>
        <v>On Time/Early</v>
      </c>
      <c r="U785" t="str">
        <f t="shared" si="103"/>
        <v>Normal</v>
      </c>
      <c r="V785" t="s">
        <v>102</v>
      </c>
    </row>
    <row r="786" spans="1:22">
      <c r="A786" t="s">
        <v>1286</v>
      </c>
      <c r="B786" s="10">
        <v>43072.467557870368</v>
      </c>
      <c r="C786" s="10">
        <v>43072.480613425927</v>
      </c>
      <c r="D786" s="10">
        <v>43075.894131944442</v>
      </c>
      <c r="E786" s="10">
        <v>43082.880324074074</v>
      </c>
      <c r="F786" s="10">
        <v>43109</v>
      </c>
      <c r="G786" t="s">
        <v>30</v>
      </c>
      <c r="H786" t="s">
        <v>1287</v>
      </c>
      <c r="I786" t="s">
        <v>368</v>
      </c>
      <c r="J786" s="11">
        <v>2</v>
      </c>
      <c r="K786" s="12">
        <v>158</v>
      </c>
      <c r="L786" s="12">
        <v>20</v>
      </c>
      <c r="M786" s="13">
        <v>1</v>
      </c>
      <c r="N786" s="13">
        <f t="shared" si="96"/>
        <v>10.412766203706269</v>
      </c>
      <c r="O786" s="13">
        <f t="shared" si="97"/>
        <v>0</v>
      </c>
      <c r="P786" t="str">
        <f t="shared" si="98"/>
        <v>On Time</v>
      </c>
      <c r="Q786" s="13">
        <f t="shared" si="99"/>
        <v>0.31333333341171965</v>
      </c>
      <c r="R786" s="13">
        <f t="shared" si="100"/>
        <v>3.4135185185150476</v>
      </c>
      <c r="S786" s="13">
        <f t="shared" si="101"/>
        <v>6.9861921296323999</v>
      </c>
      <c r="T786" t="str">
        <f t="shared" si="102"/>
        <v>On Time/Early</v>
      </c>
      <c r="U786" t="str">
        <f t="shared" si="103"/>
        <v>Normal</v>
      </c>
      <c r="V786" t="s">
        <v>102</v>
      </c>
    </row>
    <row r="787" spans="1:22">
      <c r="A787" t="s">
        <v>1288</v>
      </c>
      <c r="B787" s="10">
        <v>43072.555150462962</v>
      </c>
      <c r="C787" s="10">
        <v>43072.564722222225</v>
      </c>
      <c r="D787" s="10">
        <v>43073.782986111109</v>
      </c>
      <c r="E787" s="10">
        <v>43081.766956018517</v>
      </c>
      <c r="F787" s="10">
        <v>43096</v>
      </c>
      <c r="G787" t="s">
        <v>8</v>
      </c>
      <c r="H787" t="s">
        <v>140</v>
      </c>
      <c r="I787" t="s">
        <v>339</v>
      </c>
      <c r="J787" s="11">
        <v>2</v>
      </c>
      <c r="K787" s="12">
        <v>87</v>
      </c>
      <c r="L787" s="12">
        <v>25.25</v>
      </c>
      <c r="M787" s="13">
        <v>1</v>
      </c>
      <c r="N787" s="13">
        <f t="shared" si="96"/>
        <v>9.2118055555547471</v>
      </c>
      <c r="O787" s="13">
        <f t="shared" si="97"/>
        <v>0</v>
      </c>
      <c r="P787" t="str">
        <f t="shared" si="98"/>
        <v>On Time</v>
      </c>
      <c r="Q787" s="13">
        <f t="shared" si="99"/>
        <v>0.22972222231328487</v>
      </c>
      <c r="R787" s="13">
        <f t="shared" si="100"/>
        <v>1.218263888884394</v>
      </c>
      <c r="S787" s="13">
        <f t="shared" si="101"/>
        <v>7.9839699074072996</v>
      </c>
      <c r="T787" t="str">
        <f t="shared" si="102"/>
        <v>On Time/Early</v>
      </c>
      <c r="U787" t="str">
        <f t="shared" si="103"/>
        <v>Normal</v>
      </c>
      <c r="V787" t="s">
        <v>102</v>
      </c>
    </row>
    <row r="788" spans="1:22">
      <c r="A788" t="s">
        <v>1289</v>
      </c>
      <c r="B788" s="10">
        <v>43072.885682870372</v>
      </c>
      <c r="C788" s="10">
        <v>43074.175243055557</v>
      </c>
      <c r="D788" s="10">
        <v>43076.956284722219</v>
      </c>
      <c r="E788" s="10">
        <v>43105.545671296299</v>
      </c>
      <c r="F788" s="10">
        <v>43102</v>
      </c>
      <c r="G788" t="s">
        <v>20</v>
      </c>
      <c r="H788" t="s">
        <v>1290</v>
      </c>
      <c r="I788" t="s">
        <v>185</v>
      </c>
      <c r="J788" s="11">
        <v>1</v>
      </c>
      <c r="K788" s="12">
        <v>40</v>
      </c>
      <c r="L788" s="12">
        <v>15.1</v>
      </c>
      <c r="M788" s="13">
        <v>1</v>
      </c>
      <c r="N788" s="13">
        <f t="shared" si="96"/>
        <v>32.659988425926713</v>
      </c>
      <c r="O788" s="13">
        <f t="shared" si="97"/>
        <v>3.5456712962986785</v>
      </c>
      <c r="P788" t="str">
        <f t="shared" si="98"/>
        <v>Delayed</v>
      </c>
      <c r="Q788" s="13">
        <f t="shared" si="99"/>
        <v>30.949444444442634</v>
      </c>
      <c r="R788" s="13">
        <f t="shared" si="100"/>
        <v>2.781041666661622</v>
      </c>
      <c r="S788" s="13">
        <f t="shared" si="101"/>
        <v>28.589386574079981</v>
      </c>
      <c r="T788" t="str">
        <f t="shared" si="102"/>
        <v>4-7 Days Late</v>
      </c>
      <c r="U788" t="str">
        <f t="shared" si="103"/>
        <v>Needs Review</v>
      </c>
      <c r="V788" t="s">
        <v>102</v>
      </c>
    </row>
    <row r="789" spans="1:22">
      <c r="A789" t="s">
        <v>1291</v>
      </c>
      <c r="B789" s="10">
        <v>43072.960856481484</v>
      </c>
      <c r="C789" s="10">
        <v>43072.980173611111</v>
      </c>
      <c r="D789" s="10">
        <v>43081.030057870368</v>
      </c>
      <c r="E789" s="10">
        <v>43082.897581018522</v>
      </c>
      <c r="F789" s="10">
        <v>43089</v>
      </c>
      <c r="G789" t="s">
        <v>8</v>
      </c>
      <c r="H789" t="s">
        <v>1292</v>
      </c>
      <c r="I789" t="s">
        <v>112</v>
      </c>
      <c r="J789" s="11">
        <v>1</v>
      </c>
      <c r="K789" s="12">
        <v>89.9</v>
      </c>
      <c r="L789" s="12">
        <v>11.83</v>
      </c>
      <c r="M789" s="13">
        <v>3</v>
      </c>
      <c r="N789" s="13">
        <f t="shared" si="96"/>
        <v>9.9367245370376622</v>
      </c>
      <c r="O789" s="13">
        <f t="shared" si="97"/>
        <v>0</v>
      </c>
      <c r="P789" t="str">
        <f t="shared" si="98"/>
        <v>On Time</v>
      </c>
      <c r="Q789" s="13">
        <f t="shared" si="99"/>
        <v>0.46361111104488373</v>
      </c>
      <c r="R789" s="13">
        <f t="shared" si="100"/>
        <v>8.0498842592569417</v>
      </c>
      <c r="S789" s="13">
        <f t="shared" si="101"/>
        <v>1.8675231481538503</v>
      </c>
      <c r="T789" t="str">
        <f t="shared" si="102"/>
        <v>On Time/Early</v>
      </c>
      <c r="U789" t="str">
        <f t="shared" si="103"/>
        <v>Normal</v>
      </c>
      <c r="V789" t="s">
        <v>102</v>
      </c>
    </row>
    <row r="790" spans="1:22">
      <c r="A790" t="s">
        <v>1293</v>
      </c>
      <c r="B790" s="10">
        <v>43073.414976851855</v>
      </c>
      <c r="C790" s="10">
        <v>43074.419074074074</v>
      </c>
      <c r="D790" s="10">
        <v>43076.955914351849</v>
      </c>
      <c r="E790" s="10">
        <v>43088.114548611113</v>
      </c>
      <c r="F790" s="10">
        <v>43098</v>
      </c>
      <c r="G790" t="s">
        <v>16</v>
      </c>
      <c r="H790" t="s">
        <v>138</v>
      </c>
      <c r="I790" t="s">
        <v>101</v>
      </c>
      <c r="J790" s="11">
        <v>1</v>
      </c>
      <c r="K790" s="12">
        <v>10.99</v>
      </c>
      <c r="L790" s="12">
        <v>15.1</v>
      </c>
      <c r="M790" s="13">
        <v>4</v>
      </c>
      <c r="N790" s="13">
        <f t="shared" si="96"/>
        <v>14.699571759258106</v>
      </c>
      <c r="O790" s="13">
        <f t="shared" si="97"/>
        <v>0</v>
      </c>
      <c r="P790" t="str">
        <f t="shared" si="98"/>
        <v>On Time</v>
      </c>
      <c r="Q790" s="13">
        <f t="shared" si="99"/>
        <v>24.098333333269693</v>
      </c>
      <c r="R790" s="13">
        <f t="shared" si="100"/>
        <v>2.5368402777748997</v>
      </c>
      <c r="S790" s="13">
        <f t="shared" si="101"/>
        <v>11.158634259263636</v>
      </c>
      <c r="T790" t="str">
        <f t="shared" si="102"/>
        <v>On Time/Early</v>
      </c>
      <c r="U790" t="str">
        <f t="shared" si="103"/>
        <v>Normal</v>
      </c>
      <c r="V790" t="s">
        <v>102</v>
      </c>
    </row>
    <row r="791" spans="1:22">
      <c r="A791" t="s">
        <v>1294</v>
      </c>
      <c r="B791" s="10">
        <v>43073.447326388887</v>
      </c>
      <c r="C791" s="10">
        <v>43073.688761574071</v>
      </c>
      <c r="D791" s="10">
        <v>43077.968009259261</v>
      </c>
      <c r="E791" s="10">
        <v>43109.832870370374</v>
      </c>
      <c r="F791" s="10">
        <v>43102</v>
      </c>
      <c r="G791" t="s">
        <v>16</v>
      </c>
      <c r="H791" t="s">
        <v>138</v>
      </c>
      <c r="I791" t="s">
        <v>368</v>
      </c>
      <c r="J791" s="11">
        <v>1</v>
      </c>
      <c r="K791" s="12">
        <v>120</v>
      </c>
      <c r="L791" s="12">
        <v>16.600000000000001</v>
      </c>
      <c r="M791" s="13">
        <v>1</v>
      </c>
      <c r="N791" s="13">
        <f t="shared" si="96"/>
        <v>36.38554398148699</v>
      </c>
      <c r="O791" s="13">
        <f t="shared" si="97"/>
        <v>7.8328703703737119</v>
      </c>
      <c r="P791" t="str">
        <f t="shared" si="98"/>
        <v>Delayed</v>
      </c>
      <c r="Q791" s="13">
        <f t="shared" si="99"/>
        <v>5.7944444444146939</v>
      </c>
      <c r="R791" s="13">
        <f t="shared" si="100"/>
        <v>4.2792476851900574</v>
      </c>
      <c r="S791" s="13">
        <f t="shared" si="101"/>
        <v>31.864861111112987</v>
      </c>
      <c r="T791" t="str">
        <f t="shared" si="102"/>
        <v>8+ Days Late</v>
      </c>
      <c r="U791" t="str">
        <f t="shared" si="103"/>
        <v>Needs Review</v>
      </c>
      <c r="V791" t="s">
        <v>102</v>
      </c>
    </row>
    <row r="792" spans="1:22">
      <c r="A792" t="s">
        <v>1295</v>
      </c>
      <c r="B792" s="10">
        <v>43073.465717592589</v>
      </c>
      <c r="C792" s="10">
        <v>43074.174930555557</v>
      </c>
      <c r="D792" s="10">
        <v>43074.87122685185</v>
      </c>
      <c r="E792" s="10">
        <v>43082.809340277781</v>
      </c>
      <c r="F792" s="10">
        <v>43097</v>
      </c>
      <c r="G792" t="s">
        <v>16</v>
      </c>
      <c r="H792" t="s">
        <v>138</v>
      </c>
      <c r="I792" t="s">
        <v>623</v>
      </c>
      <c r="J792" s="11">
        <v>1</v>
      </c>
      <c r="K792" s="12">
        <v>39.9</v>
      </c>
      <c r="L792" s="12">
        <v>17.63</v>
      </c>
      <c r="M792" s="13">
        <v>4</v>
      </c>
      <c r="N792" s="13">
        <f t="shared" si="96"/>
        <v>9.3436226851918036</v>
      </c>
      <c r="O792" s="13">
        <f t="shared" si="97"/>
        <v>0</v>
      </c>
      <c r="P792" t="str">
        <f t="shared" si="98"/>
        <v>On Time</v>
      </c>
      <c r="Q792" s="13">
        <f t="shared" si="99"/>
        <v>17.02111111121485</v>
      </c>
      <c r="R792" s="13">
        <f t="shared" si="100"/>
        <v>0.69629629629343981</v>
      </c>
      <c r="S792" s="13">
        <f t="shared" si="101"/>
        <v>7.9381134259310784</v>
      </c>
      <c r="T792" t="str">
        <f t="shared" si="102"/>
        <v>On Time/Early</v>
      </c>
      <c r="U792" t="str">
        <f t="shared" si="103"/>
        <v>Normal</v>
      </c>
      <c r="V792" t="s">
        <v>102</v>
      </c>
    </row>
    <row r="793" spans="1:22">
      <c r="A793" t="s">
        <v>1296</v>
      </c>
      <c r="B793" s="10">
        <v>43073.566122685188</v>
      </c>
      <c r="C793" s="10">
        <v>43073.718460648146</v>
      </c>
      <c r="D793" s="10">
        <v>43074.915775462963</v>
      </c>
      <c r="E793" s="10">
        <v>43089.786574074074</v>
      </c>
      <c r="F793" s="10">
        <v>43089</v>
      </c>
      <c r="G793" t="s">
        <v>8</v>
      </c>
      <c r="H793" t="s">
        <v>588</v>
      </c>
      <c r="I793" t="s">
        <v>221</v>
      </c>
      <c r="J793" s="11">
        <v>1</v>
      </c>
      <c r="K793" s="12">
        <v>55</v>
      </c>
      <c r="L793" s="12">
        <v>7.78</v>
      </c>
      <c r="M793" s="13">
        <v>1</v>
      </c>
      <c r="N793" s="13">
        <f t="shared" si="96"/>
        <v>16.220451388886431</v>
      </c>
      <c r="O793" s="13">
        <f t="shared" si="97"/>
        <v>0.78657407407445135</v>
      </c>
      <c r="P793" t="str">
        <f t="shared" si="98"/>
        <v>Delayed</v>
      </c>
      <c r="Q793" s="13">
        <f t="shared" si="99"/>
        <v>3.6561111109913327</v>
      </c>
      <c r="R793" s="13">
        <f t="shared" si="100"/>
        <v>1.1973148148172186</v>
      </c>
      <c r="S793" s="13">
        <f t="shared" si="101"/>
        <v>14.87079861111124</v>
      </c>
      <c r="T793" t="str">
        <f t="shared" si="102"/>
        <v>1-3 Days Late</v>
      </c>
      <c r="U793" t="str">
        <f t="shared" si="103"/>
        <v>Needs Review</v>
      </c>
      <c r="V793" t="s">
        <v>102</v>
      </c>
    </row>
    <row r="794" spans="1:22">
      <c r="A794" t="s">
        <v>1297</v>
      </c>
      <c r="B794" s="10">
        <v>43073.631643518522</v>
      </c>
      <c r="C794" s="10">
        <v>43075.369317129633</v>
      </c>
      <c r="D794" s="10">
        <v>43076.647812499999</v>
      </c>
      <c r="E794" s="10">
        <v>43084.946539351855</v>
      </c>
      <c r="F794" s="10">
        <v>43110</v>
      </c>
      <c r="G794" t="s">
        <v>23</v>
      </c>
      <c r="H794" t="s">
        <v>1298</v>
      </c>
      <c r="I794" t="s">
        <v>1299</v>
      </c>
      <c r="J794" s="11">
        <v>1</v>
      </c>
      <c r="K794" s="12">
        <v>122.9</v>
      </c>
      <c r="L794" s="12">
        <v>28.24</v>
      </c>
      <c r="M794" s="13">
        <v>5</v>
      </c>
      <c r="N794" s="13">
        <f t="shared" si="96"/>
        <v>11.314895833333139</v>
      </c>
      <c r="O794" s="13">
        <f t="shared" si="97"/>
        <v>0</v>
      </c>
      <c r="P794" t="str">
        <f t="shared" si="98"/>
        <v>On Time</v>
      </c>
      <c r="Q794" s="13">
        <f t="shared" si="99"/>
        <v>41.704166666662786</v>
      </c>
      <c r="R794" s="13">
        <f t="shared" si="100"/>
        <v>1.278495370366727</v>
      </c>
      <c r="S794" s="13">
        <f t="shared" si="101"/>
        <v>8.2987268518554629</v>
      </c>
      <c r="T794" t="str">
        <f t="shared" si="102"/>
        <v>On Time/Early</v>
      </c>
      <c r="U794" t="str">
        <f t="shared" si="103"/>
        <v>Normal</v>
      </c>
      <c r="V794" t="s">
        <v>102</v>
      </c>
    </row>
    <row r="795" spans="1:22">
      <c r="A795" t="s">
        <v>1300</v>
      </c>
      <c r="B795" s="10">
        <v>43073.711608796293</v>
      </c>
      <c r="C795" s="10">
        <v>43073.740914351853</v>
      </c>
      <c r="D795" s="10">
        <v>43076.998356481483</v>
      </c>
      <c r="E795" s="10">
        <v>43083.696967592594</v>
      </c>
      <c r="F795" s="10">
        <v>43104</v>
      </c>
      <c r="G795" t="s">
        <v>8</v>
      </c>
      <c r="H795" t="s">
        <v>1301</v>
      </c>
      <c r="I795" t="s">
        <v>101</v>
      </c>
      <c r="J795" s="11">
        <v>1</v>
      </c>
      <c r="K795" s="12">
        <v>39.9</v>
      </c>
      <c r="L795" s="12">
        <v>25.19</v>
      </c>
      <c r="M795" s="13">
        <v>5</v>
      </c>
      <c r="N795" s="13">
        <f t="shared" si="96"/>
        <v>9.9853587963007158</v>
      </c>
      <c r="O795" s="13">
        <f t="shared" si="97"/>
        <v>0</v>
      </c>
      <c r="P795" t="str">
        <f t="shared" si="98"/>
        <v>On Time</v>
      </c>
      <c r="Q795" s="13">
        <f t="shared" si="99"/>
        <v>0.70333333342568949</v>
      </c>
      <c r="R795" s="13">
        <f t="shared" si="100"/>
        <v>3.2574421296303626</v>
      </c>
      <c r="S795" s="13">
        <f t="shared" si="101"/>
        <v>6.6986111111109494</v>
      </c>
      <c r="T795" t="str">
        <f t="shared" si="102"/>
        <v>On Time/Early</v>
      </c>
      <c r="U795" t="str">
        <f t="shared" si="103"/>
        <v>Normal</v>
      </c>
      <c r="V795" t="s">
        <v>102</v>
      </c>
    </row>
    <row r="796" spans="1:22">
      <c r="A796" t="s">
        <v>1302</v>
      </c>
      <c r="B796" s="10">
        <v>43073.893252314818</v>
      </c>
      <c r="C796" s="10">
        <v>43074.438148148147</v>
      </c>
      <c r="D796" s="10">
        <v>43074.982557870368</v>
      </c>
      <c r="E796" s="10">
        <v>43097.864803240744</v>
      </c>
      <c r="F796" s="10">
        <v>43102</v>
      </c>
      <c r="G796" t="s">
        <v>33</v>
      </c>
      <c r="H796" t="s">
        <v>356</v>
      </c>
      <c r="I796" t="s">
        <v>143</v>
      </c>
      <c r="J796" s="11">
        <v>1</v>
      </c>
      <c r="K796" s="12">
        <v>233</v>
      </c>
      <c r="L796" s="12">
        <v>16.39</v>
      </c>
      <c r="M796" s="13">
        <v>5</v>
      </c>
      <c r="N796" s="13">
        <f t="shared" si="96"/>
        <v>23.97155092592584</v>
      </c>
      <c r="O796" s="13">
        <f t="shared" si="97"/>
        <v>0</v>
      </c>
      <c r="P796" t="str">
        <f t="shared" si="98"/>
        <v>On Time</v>
      </c>
      <c r="Q796" s="13">
        <f t="shared" si="99"/>
        <v>13.077499999897555</v>
      </c>
      <c r="R796" s="13">
        <f t="shared" si="100"/>
        <v>0.54440972222073469</v>
      </c>
      <c r="S796" s="13">
        <f t="shared" si="101"/>
        <v>22.88224537037604</v>
      </c>
      <c r="T796" t="str">
        <f t="shared" si="102"/>
        <v>On Time/Early</v>
      </c>
      <c r="U796" t="str">
        <f t="shared" si="103"/>
        <v>Normal</v>
      </c>
      <c r="V796" t="s">
        <v>102</v>
      </c>
    </row>
    <row r="797" spans="1:22">
      <c r="A797" t="s">
        <v>1303</v>
      </c>
      <c r="B797" s="10">
        <v>43073.912291666667</v>
      </c>
      <c r="C797" s="10">
        <v>43074.438032407408</v>
      </c>
      <c r="D797" s="10">
        <v>43075.70753472222</v>
      </c>
      <c r="E797" s="10">
        <v>43088.68304398148</v>
      </c>
      <c r="F797" s="10">
        <v>43102</v>
      </c>
      <c r="G797" t="s">
        <v>320</v>
      </c>
      <c r="H797" t="s">
        <v>321</v>
      </c>
      <c r="I797" t="s">
        <v>141</v>
      </c>
      <c r="J797" s="11">
        <v>1</v>
      </c>
      <c r="K797" s="12">
        <v>52.5</v>
      </c>
      <c r="L797" s="12">
        <v>14.12</v>
      </c>
      <c r="M797" s="13">
        <v>4</v>
      </c>
      <c r="N797" s="13">
        <f t="shared" si="96"/>
        <v>14.770752314812853</v>
      </c>
      <c r="O797" s="13">
        <f t="shared" si="97"/>
        <v>0</v>
      </c>
      <c r="P797" t="str">
        <f t="shared" si="98"/>
        <v>On Time</v>
      </c>
      <c r="Q797" s="13">
        <f t="shared" si="99"/>
        <v>12.617777777777519</v>
      </c>
      <c r="R797" s="13">
        <f t="shared" si="100"/>
        <v>1.2695023148116888</v>
      </c>
      <c r="S797" s="13">
        <f t="shared" si="101"/>
        <v>12.975509259260434</v>
      </c>
      <c r="T797" t="str">
        <f t="shared" si="102"/>
        <v>On Time/Early</v>
      </c>
      <c r="U797" t="str">
        <f t="shared" si="103"/>
        <v>Normal</v>
      </c>
      <c r="V797" t="s">
        <v>102</v>
      </c>
    </row>
    <row r="798" spans="1:22">
      <c r="A798" t="s">
        <v>1304</v>
      </c>
      <c r="B798" s="10">
        <v>43074.472500000003</v>
      </c>
      <c r="C798" s="10">
        <v>43074.480231481481</v>
      </c>
      <c r="D798" s="10">
        <v>43074.842800925922</v>
      </c>
      <c r="E798" s="10">
        <v>43085.599918981483</v>
      </c>
      <c r="F798" s="10">
        <v>43108</v>
      </c>
      <c r="G798" t="s">
        <v>20</v>
      </c>
      <c r="H798" t="s">
        <v>104</v>
      </c>
      <c r="I798" t="s">
        <v>112</v>
      </c>
      <c r="J798" s="11">
        <v>1</v>
      </c>
      <c r="K798" s="12">
        <v>379.9</v>
      </c>
      <c r="L798" s="12">
        <v>20.9</v>
      </c>
      <c r="M798" s="13">
        <v>5</v>
      </c>
      <c r="N798" s="13">
        <f t="shared" si="96"/>
        <v>11.127418981479423</v>
      </c>
      <c r="O798" s="13">
        <f t="shared" si="97"/>
        <v>0</v>
      </c>
      <c r="P798" t="str">
        <f t="shared" si="98"/>
        <v>On Time</v>
      </c>
      <c r="Q798" s="13">
        <f t="shared" si="99"/>
        <v>0.18555555545026436</v>
      </c>
      <c r="R798" s="13">
        <f t="shared" si="100"/>
        <v>0.36256944444176042</v>
      </c>
      <c r="S798" s="13">
        <f t="shared" si="101"/>
        <v>10.757118055560568</v>
      </c>
      <c r="T798" t="str">
        <f t="shared" si="102"/>
        <v>On Time/Early</v>
      </c>
      <c r="U798" t="str">
        <f t="shared" si="103"/>
        <v>Normal</v>
      </c>
      <c r="V798" t="s">
        <v>102</v>
      </c>
    </row>
    <row r="799" spans="1:22">
      <c r="A799" t="s">
        <v>1305</v>
      </c>
      <c r="B799" s="10">
        <v>43074.641956018517</v>
      </c>
      <c r="C799" s="10">
        <v>43075.108043981483</v>
      </c>
      <c r="D799" s="10">
        <v>43076.523692129631</v>
      </c>
      <c r="E799" s="10">
        <v>43097.929976851854</v>
      </c>
      <c r="F799" s="10">
        <v>43105</v>
      </c>
      <c r="G799" t="s">
        <v>134</v>
      </c>
      <c r="H799" t="s">
        <v>135</v>
      </c>
      <c r="I799" t="s">
        <v>118</v>
      </c>
      <c r="J799" s="11">
        <v>1</v>
      </c>
      <c r="K799" s="12">
        <v>29.99</v>
      </c>
      <c r="L799" s="12">
        <v>16.79</v>
      </c>
      <c r="M799" s="13">
        <v>1</v>
      </c>
      <c r="N799" s="13">
        <f t="shared" si="96"/>
        <v>23.288020833337214</v>
      </c>
      <c r="O799" s="13">
        <f t="shared" si="97"/>
        <v>0</v>
      </c>
      <c r="P799" t="str">
        <f t="shared" si="98"/>
        <v>On Time</v>
      </c>
      <c r="Q799" s="13">
        <f t="shared" si="99"/>
        <v>11.186111111193895</v>
      </c>
      <c r="R799" s="13">
        <f t="shared" si="100"/>
        <v>1.4156481481477385</v>
      </c>
      <c r="S799" s="13">
        <f t="shared" si="101"/>
        <v>21.406284722223063</v>
      </c>
      <c r="T799" t="str">
        <f t="shared" si="102"/>
        <v>On Time/Early</v>
      </c>
      <c r="U799" t="str">
        <f t="shared" si="103"/>
        <v>Normal</v>
      </c>
      <c r="V799" t="s">
        <v>102</v>
      </c>
    </row>
    <row r="800" spans="1:22">
      <c r="A800" t="s">
        <v>1306</v>
      </c>
      <c r="B800" s="10">
        <v>43074.792696759258</v>
      </c>
      <c r="C800" s="10">
        <v>43074.802442129629</v>
      </c>
      <c r="D800" s="10">
        <v>43075.705092592594</v>
      </c>
      <c r="E800" s="10">
        <v>43082.720833333333</v>
      </c>
      <c r="F800" s="10">
        <v>43104</v>
      </c>
      <c r="G800" t="s">
        <v>8</v>
      </c>
      <c r="H800" t="s">
        <v>314</v>
      </c>
      <c r="I800" t="s">
        <v>279</v>
      </c>
      <c r="J800" s="11">
        <v>1</v>
      </c>
      <c r="K800" s="12">
        <v>49.9</v>
      </c>
      <c r="L800" s="12">
        <v>7.78</v>
      </c>
      <c r="M800" s="13">
        <v>4</v>
      </c>
      <c r="N800" s="13">
        <f t="shared" si="96"/>
        <v>7.9281365740753245</v>
      </c>
      <c r="O800" s="13">
        <f t="shared" si="97"/>
        <v>0</v>
      </c>
      <c r="P800" t="str">
        <f t="shared" si="98"/>
        <v>On Time</v>
      </c>
      <c r="Q800" s="13">
        <f t="shared" si="99"/>
        <v>0.23388888890622184</v>
      </c>
      <c r="R800" s="13">
        <f t="shared" si="100"/>
        <v>0.90265046296553919</v>
      </c>
      <c r="S800" s="13">
        <f t="shared" si="101"/>
        <v>7.0157407407386927</v>
      </c>
      <c r="T800" t="str">
        <f t="shared" si="102"/>
        <v>On Time/Early</v>
      </c>
      <c r="U800" t="str">
        <f t="shared" si="103"/>
        <v>Normal</v>
      </c>
      <c r="V800" t="s">
        <v>102</v>
      </c>
    </row>
    <row r="801" spans="1:22">
      <c r="A801" t="s">
        <v>1307</v>
      </c>
      <c r="B801" s="10">
        <v>43074.894270833334</v>
      </c>
      <c r="C801" s="10">
        <v>43074.900254629632</v>
      </c>
      <c r="D801" s="10">
        <v>43076.137118055558</v>
      </c>
      <c r="E801" s="10">
        <v>43089.742488425924</v>
      </c>
      <c r="F801" s="10">
        <v>43103</v>
      </c>
      <c r="G801" t="s">
        <v>8</v>
      </c>
      <c r="H801" t="s">
        <v>907</v>
      </c>
      <c r="I801" t="s">
        <v>180</v>
      </c>
      <c r="J801" s="11">
        <v>2</v>
      </c>
      <c r="K801" s="12">
        <v>79.98</v>
      </c>
      <c r="L801" s="12">
        <v>23.7</v>
      </c>
      <c r="M801" s="13">
        <v>3</v>
      </c>
      <c r="N801" s="13">
        <f t="shared" si="96"/>
        <v>14.848217592589208</v>
      </c>
      <c r="O801" s="13">
        <f t="shared" si="97"/>
        <v>0</v>
      </c>
      <c r="P801" t="str">
        <f t="shared" si="98"/>
        <v>On Time</v>
      </c>
      <c r="Q801" s="13">
        <f t="shared" si="99"/>
        <v>0.14361111115431413</v>
      </c>
      <c r="R801" s="13">
        <f t="shared" si="100"/>
        <v>1.2368634259255487</v>
      </c>
      <c r="S801" s="13">
        <f t="shared" si="101"/>
        <v>13.605370370365563</v>
      </c>
      <c r="T801" t="str">
        <f t="shared" si="102"/>
        <v>On Time/Early</v>
      </c>
      <c r="U801" t="str">
        <f t="shared" si="103"/>
        <v>Normal</v>
      </c>
      <c r="V801" t="s">
        <v>102</v>
      </c>
    </row>
    <row r="802" spans="1:22">
      <c r="A802" t="s">
        <v>1308</v>
      </c>
      <c r="B802" s="10">
        <v>43074.975208333337</v>
      </c>
      <c r="C802" s="10">
        <v>43074.982905092591</v>
      </c>
      <c r="D802" s="10">
        <v>43084.75953703704</v>
      </c>
      <c r="E802" s="10">
        <v>43088.845358796294</v>
      </c>
      <c r="F802" s="10">
        <v>43104</v>
      </c>
      <c r="G802" t="s">
        <v>8</v>
      </c>
      <c r="H802" t="s">
        <v>1309</v>
      </c>
      <c r="I802" t="s">
        <v>180</v>
      </c>
      <c r="J802" s="11">
        <v>1</v>
      </c>
      <c r="K802" s="12">
        <v>105.6</v>
      </c>
      <c r="L802" s="12">
        <v>9.7200000000000006</v>
      </c>
      <c r="M802" s="13">
        <v>4</v>
      </c>
      <c r="N802" s="13">
        <f t="shared" si="96"/>
        <v>13.870150462957099</v>
      </c>
      <c r="O802" s="13">
        <f t="shared" si="97"/>
        <v>0</v>
      </c>
      <c r="P802" t="str">
        <f t="shared" si="98"/>
        <v>On Time</v>
      </c>
      <c r="Q802" s="13">
        <f t="shared" si="99"/>
        <v>0.18472222209675238</v>
      </c>
      <c r="R802" s="13">
        <f t="shared" si="100"/>
        <v>9.7766319444490364</v>
      </c>
      <c r="S802" s="13">
        <f t="shared" si="101"/>
        <v>4.0858217592540313</v>
      </c>
      <c r="T802" t="str">
        <f t="shared" si="102"/>
        <v>On Time/Early</v>
      </c>
      <c r="U802" t="str">
        <f t="shared" si="103"/>
        <v>Normal</v>
      </c>
      <c r="V802" t="s">
        <v>102</v>
      </c>
    </row>
    <row r="803" spans="1:22">
      <c r="A803" t="s">
        <v>1310</v>
      </c>
      <c r="B803" s="10">
        <v>43074.98</v>
      </c>
      <c r="C803" s="10">
        <v>43074.997731481482</v>
      </c>
      <c r="D803" s="10">
        <v>43084.544918981483</v>
      </c>
      <c r="E803" s="10">
        <v>43124.77684027778</v>
      </c>
      <c r="F803" s="10">
        <v>43116</v>
      </c>
      <c r="G803" t="s">
        <v>16</v>
      </c>
      <c r="H803" t="s">
        <v>1311</v>
      </c>
      <c r="I803" t="s">
        <v>37</v>
      </c>
      <c r="J803" s="11">
        <v>1</v>
      </c>
      <c r="K803" s="12">
        <v>169.99</v>
      </c>
      <c r="L803" s="12">
        <v>45.65</v>
      </c>
      <c r="M803" s="13">
        <v>1</v>
      </c>
      <c r="N803" s="13">
        <f t="shared" si="96"/>
        <v>49.796840277776937</v>
      </c>
      <c r="O803" s="13">
        <f t="shared" si="97"/>
        <v>8.7768402777801384</v>
      </c>
      <c r="P803" t="str">
        <f t="shared" si="98"/>
        <v>Delayed</v>
      </c>
      <c r="Q803" s="13">
        <f t="shared" si="99"/>
        <v>0.4255555554991588</v>
      </c>
      <c r="R803" s="13">
        <f t="shared" si="100"/>
        <v>9.547187500000291</v>
      </c>
      <c r="S803" s="13">
        <f t="shared" si="101"/>
        <v>40.231921296297514</v>
      </c>
      <c r="T803" t="str">
        <f t="shared" si="102"/>
        <v>8+ Days Late</v>
      </c>
      <c r="U803" t="str">
        <f t="shared" si="103"/>
        <v>Needs Review</v>
      </c>
      <c r="V803" t="s">
        <v>102</v>
      </c>
    </row>
    <row r="804" spans="1:22">
      <c r="A804" t="s">
        <v>1312</v>
      </c>
      <c r="B804" s="10">
        <v>43074.987881944442</v>
      </c>
      <c r="C804" s="10">
        <v>43074.997881944444</v>
      </c>
      <c r="D804" s="10">
        <v>43075.949803240743</v>
      </c>
      <c r="E804" s="10">
        <v>43118.530532407407</v>
      </c>
      <c r="F804" s="10">
        <v>43108</v>
      </c>
      <c r="G804" t="s">
        <v>134</v>
      </c>
      <c r="H804" t="s">
        <v>799</v>
      </c>
      <c r="I804" t="s">
        <v>136</v>
      </c>
      <c r="J804" s="11">
        <v>1</v>
      </c>
      <c r="K804" s="12">
        <v>99.99</v>
      </c>
      <c r="L804" s="12">
        <v>28.08</v>
      </c>
      <c r="M804" s="13">
        <v>2</v>
      </c>
      <c r="N804" s="13">
        <f t="shared" si="96"/>
        <v>43.542650462964957</v>
      </c>
      <c r="O804" s="13">
        <f t="shared" si="97"/>
        <v>10.530532407407009</v>
      </c>
      <c r="P804" t="str">
        <f t="shared" si="98"/>
        <v>Delayed</v>
      </c>
      <c r="Q804" s="13">
        <f t="shared" si="99"/>
        <v>0.24000000004889444</v>
      </c>
      <c r="R804" s="13">
        <f t="shared" si="100"/>
        <v>0.9519212962986785</v>
      </c>
      <c r="S804" s="13">
        <f t="shared" si="101"/>
        <v>42.580729166664241</v>
      </c>
      <c r="T804" t="str">
        <f t="shared" si="102"/>
        <v>8+ Days Late</v>
      </c>
      <c r="U804" t="str">
        <f t="shared" si="103"/>
        <v>Needs Review</v>
      </c>
      <c r="V804" t="s">
        <v>102</v>
      </c>
    </row>
    <row r="805" spans="1:22">
      <c r="A805" t="s">
        <v>1313</v>
      </c>
      <c r="B805" s="10">
        <v>43075.40828703704</v>
      </c>
      <c r="C805" s="10">
        <v>43075.413483796299</v>
      </c>
      <c r="D805" s="10">
        <v>43075.749618055554</v>
      </c>
      <c r="E805" s="10">
        <v>43091.757106481484</v>
      </c>
      <c r="F805" s="10">
        <v>43105</v>
      </c>
      <c r="G805" t="s">
        <v>16</v>
      </c>
      <c r="H805" t="s">
        <v>561</v>
      </c>
      <c r="I805" t="s">
        <v>128</v>
      </c>
      <c r="J805" s="11">
        <v>1</v>
      </c>
      <c r="K805" s="12">
        <v>89.99</v>
      </c>
      <c r="L805" s="12">
        <v>45.09</v>
      </c>
      <c r="M805" s="13">
        <v>3</v>
      </c>
      <c r="N805" s="13">
        <f t="shared" si="96"/>
        <v>16.348819444443507</v>
      </c>
      <c r="O805" s="13">
        <f t="shared" si="97"/>
        <v>0</v>
      </c>
      <c r="P805" t="str">
        <f t="shared" si="98"/>
        <v>On Time</v>
      </c>
      <c r="Q805" s="13">
        <f t="shared" si="99"/>
        <v>0.124722222215496</v>
      </c>
      <c r="R805" s="13">
        <f t="shared" si="100"/>
        <v>0.33613425925432239</v>
      </c>
      <c r="S805" s="13">
        <f t="shared" si="101"/>
        <v>16.007488425930205</v>
      </c>
      <c r="T805" t="str">
        <f t="shared" si="102"/>
        <v>On Time/Early</v>
      </c>
      <c r="U805" t="str">
        <f t="shared" si="103"/>
        <v>Normal</v>
      </c>
      <c r="V805" t="s">
        <v>102</v>
      </c>
    </row>
    <row r="806" spans="1:22">
      <c r="A806" t="s">
        <v>1314</v>
      </c>
      <c r="B806" s="10">
        <v>43075.456597222219</v>
      </c>
      <c r="C806" s="10">
        <v>43075.489120370374</v>
      </c>
      <c r="D806" s="10">
        <v>43081.076307870368</v>
      </c>
      <c r="E806" s="10">
        <v>43087.978634259256</v>
      </c>
      <c r="F806" s="10">
        <v>43098</v>
      </c>
      <c r="G806" t="s">
        <v>8</v>
      </c>
      <c r="H806" t="s">
        <v>171</v>
      </c>
      <c r="I806" t="s">
        <v>221</v>
      </c>
      <c r="J806" s="11">
        <v>1</v>
      </c>
      <c r="K806" s="12">
        <v>369</v>
      </c>
      <c r="L806" s="12">
        <v>14.08</v>
      </c>
      <c r="M806" s="13">
        <v>5</v>
      </c>
      <c r="N806" s="13">
        <f t="shared" si="96"/>
        <v>12.52203703703708</v>
      </c>
      <c r="O806" s="13">
        <f t="shared" si="97"/>
        <v>0</v>
      </c>
      <c r="P806" t="str">
        <f t="shared" si="98"/>
        <v>On Time</v>
      </c>
      <c r="Q806" s="13">
        <f t="shared" si="99"/>
        <v>0.78055555571336299</v>
      </c>
      <c r="R806" s="13">
        <f t="shared" si="100"/>
        <v>5.5871874999938882</v>
      </c>
      <c r="S806" s="13">
        <f t="shared" si="101"/>
        <v>6.9023263888884685</v>
      </c>
      <c r="T806" t="str">
        <f t="shared" si="102"/>
        <v>On Time/Early</v>
      </c>
      <c r="U806" t="str">
        <f t="shared" si="103"/>
        <v>Normal</v>
      </c>
      <c r="V806" t="s">
        <v>102</v>
      </c>
    </row>
    <row r="807" spans="1:22">
      <c r="A807" t="s">
        <v>1315</v>
      </c>
      <c r="B807" s="10">
        <v>43075.512048611112</v>
      </c>
      <c r="C807" s="10">
        <v>43075.52244212963</v>
      </c>
      <c r="D807" s="10">
        <v>43080.97016203704</v>
      </c>
      <c r="E807" s="10">
        <v>43085.017083333332</v>
      </c>
      <c r="F807" s="10">
        <v>43112</v>
      </c>
      <c r="G807" t="s">
        <v>134</v>
      </c>
      <c r="H807" t="s">
        <v>1316</v>
      </c>
      <c r="I807" t="s">
        <v>368</v>
      </c>
      <c r="J807" s="11">
        <v>1</v>
      </c>
      <c r="K807" s="12">
        <v>169.9</v>
      </c>
      <c r="L807" s="12">
        <v>64.77</v>
      </c>
      <c r="M807" s="13">
        <v>5</v>
      </c>
      <c r="N807" s="13">
        <f t="shared" si="96"/>
        <v>9.5050347222204437</v>
      </c>
      <c r="O807" s="13">
        <f t="shared" si="97"/>
        <v>0</v>
      </c>
      <c r="P807" t="str">
        <f t="shared" si="98"/>
        <v>On Time</v>
      </c>
      <c r="Q807" s="13">
        <f t="shared" si="99"/>
        <v>0.24944444443099201</v>
      </c>
      <c r="R807" s="13">
        <f t="shared" si="100"/>
        <v>5.447719907409919</v>
      </c>
      <c r="S807" s="13">
        <f t="shared" si="101"/>
        <v>4.0469212962925667</v>
      </c>
      <c r="T807" t="str">
        <f t="shared" si="102"/>
        <v>On Time/Early</v>
      </c>
      <c r="U807" t="str">
        <f t="shared" si="103"/>
        <v>Normal</v>
      </c>
      <c r="V807" t="s">
        <v>102</v>
      </c>
    </row>
    <row r="808" spans="1:22">
      <c r="A808" t="s">
        <v>1317</v>
      </c>
      <c r="B808" s="10">
        <v>43075.821423611109</v>
      </c>
      <c r="C808" s="10">
        <v>43075.828969907408</v>
      </c>
      <c r="D808" s="10">
        <v>43089.537152777775</v>
      </c>
      <c r="E808" s="10">
        <v>43105.975497685184</v>
      </c>
      <c r="F808" s="10">
        <v>43104</v>
      </c>
      <c r="G808" t="s">
        <v>20</v>
      </c>
      <c r="H808" t="s">
        <v>104</v>
      </c>
      <c r="I808" t="s">
        <v>112</v>
      </c>
      <c r="J808" s="11">
        <v>1</v>
      </c>
      <c r="K808" s="12">
        <v>70.97</v>
      </c>
      <c r="L808" s="12">
        <v>17.75</v>
      </c>
      <c r="M808" s="13">
        <v>5</v>
      </c>
      <c r="N808" s="13">
        <f t="shared" si="96"/>
        <v>30.154074074074742</v>
      </c>
      <c r="O808" s="13">
        <f t="shared" si="97"/>
        <v>1.9754976851836545</v>
      </c>
      <c r="P808" t="str">
        <f t="shared" si="98"/>
        <v>Delayed</v>
      </c>
      <c r="Q808" s="13">
        <f t="shared" si="99"/>
        <v>0.18111111118923873</v>
      </c>
      <c r="R808" s="13">
        <f t="shared" si="100"/>
        <v>13.708182870366727</v>
      </c>
      <c r="S808" s="13">
        <f t="shared" si="101"/>
        <v>16.438344907408464</v>
      </c>
      <c r="T808" t="str">
        <f t="shared" si="102"/>
        <v>1-3 Days Late</v>
      </c>
      <c r="U808" t="str">
        <f t="shared" si="103"/>
        <v>Needs Review</v>
      </c>
      <c r="V808" t="s">
        <v>102</v>
      </c>
    </row>
    <row r="809" spans="1:22">
      <c r="A809" t="s">
        <v>1318</v>
      </c>
      <c r="B809" s="10">
        <v>43075.860949074071</v>
      </c>
      <c r="C809" s="10">
        <v>43075.869108796294</v>
      </c>
      <c r="D809" s="10">
        <v>43076.9371875</v>
      </c>
      <c r="E809" s="10">
        <v>43088.716817129629</v>
      </c>
      <c r="F809" s="10">
        <v>43108</v>
      </c>
      <c r="G809" t="s">
        <v>8</v>
      </c>
      <c r="H809" t="s">
        <v>1319</v>
      </c>
      <c r="I809" t="s">
        <v>101</v>
      </c>
      <c r="J809" s="11">
        <v>1</v>
      </c>
      <c r="K809" s="12">
        <v>68</v>
      </c>
      <c r="L809" s="12">
        <v>16.239999999999998</v>
      </c>
      <c r="M809" s="13">
        <v>5</v>
      </c>
      <c r="N809" s="13">
        <f t="shared" si="96"/>
        <v>12.855868055557949</v>
      </c>
      <c r="O809" s="13">
        <f t="shared" si="97"/>
        <v>0</v>
      </c>
      <c r="P809" t="str">
        <f t="shared" si="98"/>
        <v>On Time</v>
      </c>
      <c r="Q809" s="13">
        <f t="shared" si="99"/>
        <v>0.19583333336049691</v>
      </c>
      <c r="R809" s="13">
        <f t="shared" si="100"/>
        <v>1.068078703705396</v>
      </c>
      <c r="S809" s="13">
        <f t="shared" si="101"/>
        <v>11.779629629629198</v>
      </c>
      <c r="T809" t="str">
        <f t="shared" si="102"/>
        <v>On Time/Early</v>
      </c>
      <c r="U809" t="str">
        <f t="shared" si="103"/>
        <v>Normal</v>
      </c>
      <c r="V809" t="s">
        <v>102</v>
      </c>
    </row>
    <row r="810" spans="1:22">
      <c r="A810" t="s">
        <v>1320</v>
      </c>
      <c r="B810" s="10">
        <v>43075.940069444441</v>
      </c>
      <c r="C810" s="10">
        <v>43077.121203703704</v>
      </c>
      <c r="D810" s="10">
        <v>43080.870567129627</v>
      </c>
      <c r="E810" s="10">
        <v>43102.853587962964</v>
      </c>
      <c r="F810" s="10">
        <v>43109</v>
      </c>
      <c r="G810" t="s">
        <v>33</v>
      </c>
      <c r="H810" t="s">
        <v>1321</v>
      </c>
      <c r="I810" t="s">
        <v>143</v>
      </c>
      <c r="J810" s="11">
        <v>1</v>
      </c>
      <c r="K810" s="12">
        <v>56.99</v>
      </c>
      <c r="L810" s="12">
        <v>15.15</v>
      </c>
      <c r="M810" s="13">
        <v>1</v>
      </c>
      <c r="N810" s="13">
        <f t="shared" si="96"/>
        <v>26.913518518522324</v>
      </c>
      <c r="O810" s="13">
        <f t="shared" si="97"/>
        <v>0</v>
      </c>
      <c r="P810" t="str">
        <f t="shared" si="98"/>
        <v>On Time</v>
      </c>
      <c r="Q810" s="13">
        <f t="shared" si="99"/>
        <v>28.3472222223063</v>
      </c>
      <c r="R810" s="13">
        <f t="shared" si="100"/>
        <v>3.7493634259226383</v>
      </c>
      <c r="S810" s="13">
        <f t="shared" si="101"/>
        <v>21.983020833336923</v>
      </c>
      <c r="T810" t="str">
        <f t="shared" si="102"/>
        <v>On Time/Early</v>
      </c>
      <c r="U810" t="str">
        <f t="shared" si="103"/>
        <v>Normal</v>
      </c>
      <c r="V810" t="s">
        <v>102</v>
      </c>
    </row>
    <row r="811" spans="1:22">
      <c r="A811" t="s">
        <v>1322</v>
      </c>
      <c r="B811" s="10">
        <v>43076.411435185182</v>
      </c>
      <c r="C811" s="10">
        <v>43076.415543981479</v>
      </c>
      <c r="D811" s="10">
        <v>43080.833171296297</v>
      </c>
      <c r="E811" s="10">
        <v>43089.898032407407</v>
      </c>
      <c r="F811" s="10">
        <v>43102</v>
      </c>
      <c r="G811" t="s">
        <v>8</v>
      </c>
      <c r="H811" t="s">
        <v>605</v>
      </c>
      <c r="I811" t="s">
        <v>128</v>
      </c>
      <c r="J811" s="11">
        <v>1</v>
      </c>
      <c r="K811" s="12">
        <v>59</v>
      </c>
      <c r="L811" s="12">
        <v>13.43</v>
      </c>
      <c r="M811" s="13">
        <v>5</v>
      </c>
      <c r="N811" s="13">
        <f t="shared" si="96"/>
        <v>13.4865972222251</v>
      </c>
      <c r="O811" s="13">
        <f t="shared" si="97"/>
        <v>0</v>
      </c>
      <c r="P811" t="str">
        <f t="shared" si="98"/>
        <v>On Time</v>
      </c>
      <c r="Q811" s="13">
        <f t="shared" si="99"/>
        <v>9.8611111112404615E-2</v>
      </c>
      <c r="R811" s="13">
        <f t="shared" si="100"/>
        <v>4.4176273148186738</v>
      </c>
      <c r="S811" s="13">
        <f t="shared" si="101"/>
        <v>9.0648611111100763</v>
      </c>
      <c r="T811" t="str">
        <f t="shared" si="102"/>
        <v>On Time/Early</v>
      </c>
      <c r="U811" t="str">
        <f t="shared" si="103"/>
        <v>Normal</v>
      </c>
      <c r="V811" t="s">
        <v>102</v>
      </c>
    </row>
    <row r="812" spans="1:22">
      <c r="A812" t="s">
        <v>1323</v>
      </c>
      <c r="B812" s="10">
        <v>43077.026701388888</v>
      </c>
      <c r="C812" s="10">
        <v>43078.44054398148</v>
      </c>
      <c r="D812" s="10">
        <v>43080.925636574073</v>
      </c>
      <c r="E812" s="10">
        <v>43084.929976851854</v>
      </c>
      <c r="F812" s="10">
        <v>43096</v>
      </c>
      <c r="G812" t="s">
        <v>8</v>
      </c>
      <c r="H812" t="s">
        <v>418</v>
      </c>
      <c r="I812" t="s">
        <v>143</v>
      </c>
      <c r="J812" s="11">
        <v>1</v>
      </c>
      <c r="K812" s="12">
        <v>16.899999999999999</v>
      </c>
      <c r="L812" s="12">
        <v>7.78</v>
      </c>
      <c r="M812" s="13">
        <v>5</v>
      </c>
      <c r="N812" s="13">
        <f t="shared" si="96"/>
        <v>7.9032754629661213</v>
      </c>
      <c r="O812" s="13">
        <f t="shared" si="97"/>
        <v>0</v>
      </c>
      <c r="P812" t="str">
        <f t="shared" si="98"/>
        <v>On Time</v>
      </c>
      <c r="Q812" s="13">
        <f t="shared" si="99"/>
        <v>33.932222222210839</v>
      </c>
      <c r="R812" s="13">
        <f t="shared" si="100"/>
        <v>2.4850925925929914</v>
      </c>
      <c r="S812" s="13">
        <f t="shared" si="101"/>
        <v>4.0043402777810115</v>
      </c>
      <c r="T812" t="str">
        <f t="shared" si="102"/>
        <v>On Time/Early</v>
      </c>
      <c r="U812" t="str">
        <f t="shared" si="103"/>
        <v>Normal</v>
      </c>
      <c r="V812" t="s">
        <v>102</v>
      </c>
    </row>
    <row r="813" spans="1:22">
      <c r="A813" t="s">
        <v>1324</v>
      </c>
      <c r="B813" s="10">
        <v>43077.725127314814</v>
      </c>
      <c r="C813" s="10">
        <v>43077.730868055558</v>
      </c>
      <c r="D813" s="10">
        <v>43080.87431712963</v>
      </c>
      <c r="E813" s="10">
        <v>43083.914467592593</v>
      </c>
      <c r="F813" s="10">
        <v>43105</v>
      </c>
      <c r="G813" t="s">
        <v>8</v>
      </c>
      <c r="H813" t="s">
        <v>140</v>
      </c>
      <c r="I813" t="s">
        <v>58</v>
      </c>
      <c r="J813" s="11">
        <v>1</v>
      </c>
      <c r="K813" s="12">
        <v>57.99</v>
      </c>
      <c r="L813" s="12">
        <v>13.43</v>
      </c>
      <c r="M813" s="13">
        <v>5</v>
      </c>
      <c r="N813" s="13">
        <f t="shared" si="96"/>
        <v>6.1893402777786832</v>
      </c>
      <c r="O813" s="13">
        <f t="shared" si="97"/>
        <v>0</v>
      </c>
      <c r="P813" t="str">
        <f t="shared" si="98"/>
        <v>On Time</v>
      </c>
      <c r="Q813" s="13">
        <f t="shared" si="99"/>
        <v>0.13777777785435319</v>
      </c>
      <c r="R813" s="13">
        <f t="shared" si="100"/>
        <v>3.143449074072123</v>
      </c>
      <c r="S813" s="13">
        <f t="shared" si="101"/>
        <v>3.0401504629626288</v>
      </c>
      <c r="T813" t="str">
        <f t="shared" si="102"/>
        <v>On Time/Early</v>
      </c>
      <c r="U813" t="str">
        <f t="shared" si="103"/>
        <v>Normal</v>
      </c>
      <c r="V813" t="s">
        <v>102</v>
      </c>
    </row>
    <row r="814" spans="1:22">
      <c r="A814" t="s">
        <v>1325</v>
      </c>
      <c r="B814" s="10">
        <v>43077.820069444446</v>
      </c>
      <c r="C814" s="10">
        <v>43077.828715277778</v>
      </c>
      <c r="D814" s="10">
        <v>43081.039652777778</v>
      </c>
      <c r="E814" s="10">
        <v>43089.750231481485</v>
      </c>
      <c r="F814" s="10">
        <v>43108</v>
      </c>
      <c r="G814" t="s">
        <v>320</v>
      </c>
      <c r="H814" t="s">
        <v>321</v>
      </c>
      <c r="I814" t="s">
        <v>136</v>
      </c>
      <c r="J814" s="11">
        <v>3</v>
      </c>
      <c r="K814" s="12">
        <v>348</v>
      </c>
      <c r="L814" s="12">
        <v>78.27</v>
      </c>
      <c r="M814" s="13">
        <v>5</v>
      </c>
      <c r="N814" s="13">
        <f t="shared" si="96"/>
        <v>11.930162037038826</v>
      </c>
      <c r="O814" s="13">
        <f t="shared" si="97"/>
        <v>0</v>
      </c>
      <c r="P814" t="str">
        <f t="shared" si="98"/>
        <v>On Time</v>
      </c>
      <c r="Q814" s="13">
        <f t="shared" si="99"/>
        <v>0.20749999996041879</v>
      </c>
      <c r="R814" s="13">
        <f t="shared" si="100"/>
        <v>3.2109375</v>
      </c>
      <c r="S814" s="13">
        <f t="shared" si="101"/>
        <v>8.7105787037071423</v>
      </c>
      <c r="T814" t="str">
        <f t="shared" si="102"/>
        <v>On Time/Early</v>
      </c>
      <c r="U814" t="str">
        <f t="shared" si="103"/>
        <v>Normal</v>
      </c>
      <c r="V814" t="s">
        <v>102</v>
      </c>
    </row>
    <row r="815" spans="1:22">
      <c r="A815" t="s">
        <v>1326</v>
      </c>
      <c r="B815" s="10">
        <v>43077.980682870373</v>
      </c>
      <c r="C815" s="10">
        <v>43080.813206018516</v>
      </c>
      <c r="D815" s="10">
        <v>43083.738749999997</v>
      </c>
      <c r="E815" s="10">
        <v>43097.754895833335</v>
      </c>
      <c r="F815" s="10">
        <v>43108</v>
      </c>
      <c r="G815" t="s">
        <v>23</v>
      </c>
      <c r="H815" t="s">
        <v>275</v>
      </c>
      <c r="I815" t="s">
        <v>162</v>
      </c>
      <c r="J815" s="11">
        <v>1</v>
      </c>
      <c r="K815" s="12">
        <v>125.9</v>
      </c>
      <c r="L815" s="12">
        <v>35.4</v>
      </c>
      <c r="M815" s="13">
        <v>1</v>
      </c>
      <c r="N815" s="13">
        <f t="shared" si="96"/>
        <v>19.774212962962338</v>
      </c>
      <c r="O815" s="13">
        <f t="shared" si="97"/>
        <v>0</v>
      </c>
      <c r="P815" t="str">
        <f t="shared" si="98"/>
        <v>On Time</v>
      </c>
      <c r="Q815" s="13">
        <f t="shared" si="99"/>
        <v>67.980555555433966</v>
      </c>
      <c r="R815" s="13">
        <f t="shared" si="100"/>
        <v>2.9255439814805868</v>
      </c>
      <c r="S815" s="13">
        <f t="shared" si="101"/>
        <v>14.016145833338669</v>
      </c>
      <c r="T815" t="str">
        <f t="shared" si="102"/>
        <v>On Time/Early</v>
      </c>
      <c r="U815" t="str">
        <f t="shared" si="103"/>
        <v>Normal</v>
      </c>
      <c r="V815" t="s">
        <v>102</v>
      </c>
    </row>
    <row r="816" spans="1:22">
      <c r="A816" t="s">
        <v>1327</v>
      </c>
      <c r="B816" s="10">
        <v>43078.444027777776</v>
      </c>
      <c r="C816" s="10">
        <v>43078.520983796298</v>
      </c>
      <c r="D816" s="10">
        <v>43083.939733796295</v>
      </c>
      <c r="E816" s="10">
        <v>43109.026296296295</v>
      </c>
      <c r="F816" s="10">
        <v>43115</v>
      </c>
      <c r="G816" t="s">
        <v>36</v>
      </c>
      <c r="H816" t="s">
        <v>1328</v>
      </c>
      <c r="I816" t="s">
        <v>368</v>
      </c>
      <c r="J816" s="11">
        <v>1</v>
      </c>
      <c r="K816" s="12">
        <v>79</v>
      </c>
      <c r="L816" s="12">
        <v>17.8</v>
      </c>
      <c r="M816" s="13">
        <v>4</v>
      </c>
      <c r="N816" s="13">
        <f t="shared" si="96"/>
        <v>30.582268518519413</v>
      </c>
      <c r="O816" s="13">
        <f t="shared" si="97"/>
        <v>0</v>
      </c>
      <c r="P816" t="str">
        <f t="shared" si="98"/>
        <v>On Time</v>
      </c>
      <c r="Q816" s="13">
        <f t="shared" si="99"/>
        <v>1.846944444521796</v>
      </c>
      <c r="R816" s="13">
        <f t="shared" si="100"/>
        <v>5.4187499999970896</v>
      </c>
      <c r="S816" s="13">
        <f t="shared" si="101"/>
        <v>25.086562500000582</v>
      </c>
      <c r="T816" t="str">
        <f t="shared" si="102"/>
        <v>On Time/Early</v>
      </c>
      <c r="U816" t="str">
        <f t="shared" si="103"/>
        <v>Normal</v>
      </c>
      <c r="V816" t="s">
        <v>102</v>
      </c>
    </row>
    <row r="817" spans="1:22">
      <c r="A817" t="s">
        <v>1329</v>
      </c>
      <c r="B817" s="10">
        <v>43078.541967592595</v>
      </c>
      <c r="C817" s="10">
        <v>43078.563113425924</v>
      </c>
      <c r="D817" s="10">
        <v>43080.975775462961</v>
      </c>
      <c r="E817" s="10">
        <v>43083.728761574072</v>
      </c>
      <c r="F817" s="10">
        <v>43097</v>
      </c>
      <c r="G817" t="s">
        <v>8</v>
      </c>
      <c r="H817" t="s">
        <v>273</v>
      </c>
      <c r="I817" t="s">
        <v>185</v>
      </c>
      <c r="J817" s="11">
        <v>1</v>
      </c>
      <c r="K817" s="12">
        <v>179.49</v>
      </c>
      <c r="L817" s="12">
        <v>9.4499999999999993</v>
      </c>
      <c r="M817" s="13">
        <v>4</v>
      </c>
      <c r="N817" s="13">
        <f t="shared" si="96"/>
        <v>5.1867939814765123</v>
      </c>
      <c r="O817" s="13">
        <f t="shared" si="97"/>
        <v>0</v>
      </c>
      <c r="P817" t="str">
        <f t="shared" si="98"/>
        <v>On Time</v>
      </c>
      <c r="Q817" s="13">
        <f t="shared" si="99"/>
        <v>0.5074999998905696</v>
      </c>
      <c r="R817" s="13">
        <f t="shared" si="100"/>
        <v>2.4126620370370802</v>
      </c>
      <c r="S817" s="13">
        <f t="shared" si="101"/>
        <v>2.7529861111106584</v>
      </c>
      <c r="T817" t="str">
        <f t="shared" si="102"/>
        <v>On Time/Early</v>
      </c>
      <c r="U817" t="str">
        <f t="shared" si="103"/>
        <v>Normal</v>
      </c>
      <c r="V817" t="s">
        <v>102</v>
      </c>
    </row>
    <row r="818" spans="1:22">
      <c r="A818" t="s">
        <v>1330</v>
      </c>
      <c r="B818" s="10">
        <v>43078.843124999999</v>
      </c>
      <c r="C818" s="10">
        <v>43078.85465277778</v>
      </c>
      <c r="D818" s="10">
        <v>43080.702673611115</v>
      </c>
      <c r="E818" s="10">
        <v>43090.914363425924</v>
      </c>
      <c r="F818" s="10">
        <v>43112</v>
      </c>
      <c r="G818" t="s">
        <v>464</v>
      </c>
      <c r="H818" t="s">
        <v>883</v>
      </c>
      <c r="I818" t="s">
        <v>149</v>
      </c>
      <c r="J818" s="11">
        <v>1</v>
      </c>
      <c r="K818" s="12">
        <v>122.99</v>
      </c>
      <c r="L818" s="12">
        <v>21.66</v>
      </c>
      <c r="M818" s="13">
        <v>5</v>
      </c>
      <c r="N818" s="13">
        <f t="shared" si="96"/>
        <v>12.071238425924093</v>
      </c>
      <c r="O818" s="13">
        <f t="shared" si="97"/>
        <v>0</v>
      </c>
      <c r="P818" t="str">
        <f t="shared" si="98"/>
        <v>On Time</v>
      </c>
      <c r="Q818" s="13">
        <f t="shared" si="99"/>
        <v>0.27666666673030704</v>
      </c>
      <c r="R818" s="13">
        <f t="shared" si="100"/>
        <v>1.8480208333348855</v>
      </c>
      <c r="S818" s="13">
        <f t="shared" si="101"/>
        <v>10.211689814808778</v>
      </c>
      <c r="T818" t="str">
        <f t="shared" si="102"/>
        <v>On Time/Early</v>
      </c>
      <c r="U818" t="str">
        <f t="shared" si="103"/>
        <v>Normal</v>
      </c>
      <c r="V818" t="s">
        <v>102</v>
      </c>
    </row>
    <row r="819" spans="1:22">
      <c r="A819" t="s">
        <v>1331</v>
      </c>
      <c r="B819" s="10">
        <v>43079.041493055556</v>
      </c>
      <c r="C819" s="10">
        <v>43079.063217592593</v>
      </c>
      <c r="D819" s="10">
        <v>43080.718078703707</v>
      </c>
      <c r="E819" s="10">
        <v>43105.595983796295</v>
      </c>
      <c r="F819" s="10">
        <v>43122</v>
      </c>
      <c r="G819" t="s">
        <v>175</v>
      </c>
      <c r="H819" t="s">
        <v>1332</v>
      </c>
      <c r="I819" t="s">
        <v>149</v>
      </c>
      <c r="J819" s="11">
        <v>1</v>
      </c>
      <c r="K819" s="12">
        <v>100.6</v>
      </c>
      <c r="L819" s="12">
        <v>33.15</v>
      </c>
      <c r="M819" s="13">
        <v>4</v>
      </c>
      <c r="N819" s="13">
        <f t="shared" si="96"/>
        <v>26.554490740738402</v>
      </c>
      <c r="O819" s="13">
        <f t="shared" si="97"/>
        <v>0</v>
      </c>
      <c r="P819" t="str">
        <f t="shared" si="98"/>
        <v>On Time</v>
      </c>
      <c r="Q819" s="13">
        <f t="shared" si="99"/>
        <v>0.52138888888293877</v>
      </c>
      <c r="R819" s="13">
        <f t="shared" si="100"/>
        <v>1.6548611111138598</v>
      </c>
      <c r="S819" s="13">
        <f t="shared" si="101"/>
        <v>24.877905092587753</v>
      </c>
      <c r="T819" t="str">
        <f t="shared" si="102"/>
        <v>On Time/Early</v>
      </c>
      <c r="U819" t="str">
        <f t="shared" si="103"/>
        <v>Normal</v>
      </c>
      <c r="V819" t="s">
        <v>102</v>
      </c>
    </row>
    <row r="820" spans="1:22">
      <c r="A820" t="s">
        <v>1333</v>
      </c>
      <c r="B820" s="10">
        <v>43079.459305555552</v>
      </c>
      <c r="C820" s="10">
        <v>43079.465601851851</v>
      </c>
      <c r="D820" s="10">
        <v>43082.914618055554</v>
      </c>
      <c r="E820" s="10">
        <v>43103.568865740737</v>
      </c>
      <c r="F820" s="10">
        <v>43116</v>
      </c>
      <c r="G820" t="s">
        <v>175</v>
      </c>
      <c r="H820" t="s">
        <v>338</v>
      </c>
      <c r="I820" t="s">
        <v>143</v>
      </c>
      <c r="J820" s="11">
        <v>1</v>
      </c>
      <c r="K820" s="12">
        <v>155</v>
      </c>
      <c r="L820" s="12">
        <v>19.63</v>
      </c>
      <c r="M820" s="13">
        <v>3</v>
      </c>
      <c r="N820" s="13">
        <f t="shared" si="96"/>
        <v>24.109560185184819</v>
      </c>
      <c r="O820" s="13">
        <f t="shared" si="97"/>
        <v>0</v>
      </c>
      <c r="P820" t="str">
        <f t="shared" si="98"/>
        <v>On Time</v>
      </c>
      <c r="Q820" s="13">
        <f t="shared" si="99"/>
        <v>0.15111111116129905</v>
      </c>
      <c r="R820" s="13">
        <f t="shared" si="100"/>
        <v>3.4490162037036498</v>
      </c>
      <c r="S820" s="13">
        <f t="shared" si="101"/>
        <v>20.654247685182781</v>
      </c>
      <c r="T820" t="str">
        <f t="shared" si="102"/>
        <v>On Time/Early</v>
      </c>
      <c r="U820" t="str">
        <f t="shared" si="103"/>
        <v>Normal</v>
      </c>
      <c r="V820" t="s">
        <v>102</v>
      </c>
    </row>
    <row r="821" spans="1:22">
      <c r="A821" t="s">
        <v>1334</v>
      </c>
      <c r="B821" s="10">
        <v>43079.653692129628</v>
      </c>
      <c r="C821" s="10">
        <v>43081.159733796296</v>
      </c>
      <c r="D821" s="10">
        <v>43081.732986111114</v>
      </c>
      <c r="E821" s="10">
        <v>43103.839814814812</v>
      </c>
      <c r="F821" s="10">
        <v>43109</v>
      </c>
      <c r="G821" t="s">
        <v>30</v>
      </c>
      <c r="H821" t="s">
        <v>365</v>
      </c>
      <c r="I821" t="s">
        <v>136</v>
      </c>
      <c r="J821" s="11">
        <v>1</v>
      </c>
      <c r="K821" s="12">
        <v>29.5</v>
      </c>
      <c r="L821" s="12">
        <v>16.11</v>
      </c>
      <c r="M821" s="13">
        <v>1</v>
      </c>
      <c r="N821" s="13">
        <f t="shared" si="96"/>
        <v>24.186122685183364</v>
      </c>
      <c r="O821" s="13">
        <f t="shared" si="97"/>
        <v>0</v>
      </c>
      <c r="P821" t="str">
        <f t="shared" si="98"/>
        <v>On Time</v>
      </c>
      <c r="Q821" s="13">
        <f t="shared" si="99"/>
        <v>36.145000000018626</v>
      </c>
      <c r="R821" s="13">
        <f t="shared" si="100"/>
        <v>0.57325231481809169</v>
      </c>
      <c r="S821" s="13">
        <f t="shared" si="101"/>
        <v>22.106828703697829</v>
      </c>
      <c r="T821" t="str">
        <f t="shared" si="102"/>
        <v>On Time/Early</v>
      </c>
      <c r="U821" t="str">
        <f t="shared" si="103"/>
        <v>Normal</v>
      </c>
      <c r="V821" t="s">
        <v>102</v>
      </c>
    </row>
    <row r="822" spans="1:22">
      <c r="A822" t="s">
        <v>1335</v>
      </c>
      <c r="B822" s="10">
        <v>43080.54587962963</v>
      </c>
      <c r="C822" s="10">
        <v>43081.159768518519</v>
      </c>
      <c r="D822" s="10">
        <v>43087.706875000003</v>
      </c>
      <c r="E822" s="10">
        <v>43095.801053240742</v>
      </c>
      <c r="F822" s="10">
        <v>43104</v>
      </c>
      <c r="G822" t="s">
        <v>8</v>
      </c>
      <c r="H822" t="s">
        <v>140</v>
      </c>
      <c r="I822" t="s">
        <v>368</v>
      </c>
      <c r="J822" s="11">
        <v>1</v>
      </c>
      <c r="K822" s="12">
        <v>79</v>
      </c>
      <c r="L822" s="12">
        <v>13.57</v>
      </c>
      <c r="M822" s="13">
        <v>5</v>
      </c>
      <c r="N822" s="13">
        <f t="shared" si="96"/>
        <v>15.255173611112696</v>
      </c>
      <c r="O822" s="13">
        <f t="shared" si="97"/>
        <v>0</v>
      </c>
      <c r="P822" t="str">
        <f t="shared" si="98"/>
        <v>On Time</v>
      </c>
      <c r="Q822" s="13">
        <f t="shared" si="99"/>
        <v>14.733333333337214</v>
      </c>
      <c r="R822" s="13">
        <f t="shared" si="100"/>
        <v>6.5471064814846613</v>
      </c>
      <c r="S822" s="13">
        <f t="shared" si="101"/>
        <v>8.0941782407389837</v>
      </c>
      <c r="T822" t="str">
        <f t="shared" si="102"/>
        <v>On Time/Early</v>
      </c>
      <c r="U822" t="str">
        <f t="shared" si="103"/>
        <v>Normal</v>
      </c>
      <c r="V822" t="s">
        <v>102</v>
      </c>
    </row>
    <row r="823" spans="1:22">
      <c r="A823" t="s">
        <v>1336</v>
      </c>
      <c r="B823" s="10">
        <v>43080.704837962963</v>
      </c>
      <c r="C823" s="10">
        <v>43081.151724537034</v>
      </c>
      <c r="D823" s="10">
        <v>43082.074733796297</v>
      </c>
      <c r="E823" s="10">
        <v>43088.691030092596</v>
      </c>
      <c r="F823" s="10">
        <v>43109</v>
      </c>
      <c r="G823" t="s">
        <v>20</v>
      </c>
      <c r="H823" t="s">
        <v>1337</v>
      </c>
      <c r="I823" t="s">
        <v>112</v>
      </c>
      <c r="J823" s="11">
        <v>1</v>
      </c>
      <c r="K823" s="12">
        <v>99.9</v>
      </c>
      <c r="L823" s="12">
        <v>25.54</v>
      </c>
      <c r="M823" s="13">
        <v>5</v>
      </c>
      <c r="N823" s="13">
        <f t="shared" si="96"/>
        <v>7.9861921296323999</v>
      </c>
      <c r="O823" s="13">
        <f t="shared" si="97"/>
        <v>0</v>
      </c>
      <c r="P823" t="str">
        <f t="shared" si="98"/>
        <v>On Time</v>
      </c>
      <c r="Q823" s="13">
        <f t="shared" si="99"/>
        <v>10.725277777703013</v>
      </c>
      <c r="R823" s="13">
        <f t="shared" si="100"/>
        <v>0.92300925926247146</v>
      </c>
      <c r="S823" s="13">
        <f t="shared" si="101"/>
        <v>6.6162962962989695</v>
      </c>
      <c r="T823" t="str">
        <f t="shared" si="102"/>
        <v>On Time/Early</v>
      </c>
      <c r="U823" t="str">
        <f t="shared" si="103"/>
        <v>Normal</v>
      </c>
      <c r="V823" t="s">
        <v>102</v>
      </c>
    </row>
    <row r="824" spans="1:22">
      <c r="A824" t="s">
        <v>1338</v>
      </c>
      <c r="B824" s="10">
        <v>43080.776342592595</v>
      </c>
      <c r="C824" s="10">
        <v>43080.786030092589</v>
      </c>
      <c r="D824" s="10">
        <v>43081.753796296296</v>
      </c>
      <c r="E824" s="10">
        <v>43132.615115740744</v>
      </c>
      <c r="F824" s="10">
        <v>43105</v>
      </c>
      <c r="G824" t="s">
        <v>16</v>
      </c>
      <c r="H824" t="s">
        <v>138</v>
      </c>
      <c r="I824" t="s">
        <v>180</v>
      </c>
      <c r="J824" s="11">
        <v>1</v>
      </c>
      <c r="K824" s="12">
        <v>107.99</v>
      </c>
      <c r="L824" s="12">
        <v>21.25</v>
      </c>
      <c r="M824" s="13">
        <v>1</v>
      </c>
      <c r="N824" s="13">
        <f t="shared" si="96"/>
        <v>51.838773148148903</v>
      </c>
      <c r="O824" s="13">
        <f t="shared" si="97"/>
        <v>27.615115740743931</v>
      </c>
      <c r="P824" t="str">
        <f t="shared" si="98"/>
        <v>Delayed</v>
      </c>
      <c r="Q824" s="13">
        <f t="shared" si="99"/>
        <v>0.23249999986728653</v>
      </c>
      <c r="R824" s="13">
        <f t="shared" si="100"/>
        <v>0.96776620370656019</v>
      </c>
      <c r="S824" s="13">
        <f t="shared" si="101"/>
        <v>50.861319444447872</v>
      </c>
      <c r="T824" t="str">
        <f t="shared" si="102"/>
        <v>8+ Days Late</v>
      </c>
      <c r="U824" t="str">
        <f t="shared" si="103"/>
        <v>Needs Review</v>
      </c>
      <c r="V824" t="s">
        <v>102</v>
      </c>
    </row>
    <row r="825" spans="1:22">
      <c r="A825" t="s">
        <v>1339</v>
      </c>
      <c r="B825" s="10">
        <v>43081.47216435185</v>
      </c>
      <c r="C825" s="10">
        <v>43083.411504629628</v>
      </c>
      <c r="D825" s="10">
        <v>43084.842615740738</v>
      </c>
      <c r="E825" s="10">
        <v>43087.725474537037</v>
      </c>
      <c r="F825" s="10">
        <v>43104</v>
      </c>
      <c r="G825" t="s">
        <v>8</v>
      </c>
      <c r="H825" t="s">
        <v>140</v>
      </c>
      <c r="I825" t="s">
        <v>143</v>
      </c>
      <c r="J825" s="11">
        <v>1</v>
      </c>
      <c r="K825" s="12">
        <v>56.99</v>
      </c>
      <c r="L825" s="12">
        <v>8.7200000000000006</v>
      </c>
      <c r="M825" s="13">
        <v>5</v>
      </c>
      <c r="N825" s="13">
        <f t="shared" si="96"/>
        <v>6.2533101851877291</v>
      </c>
      <c r="O825" s="13">
        <f t="shared" si="97"/>
        <v>0</v>
      </c>
      <c r="P825" t="str">
        <f t="shared" si="98"/>
        <v>On Time</v>
      </c>
      <c r="Q825" s="13">
        <f t="shared" si="99"/>
        <v>46.544166666688398</v>
      </c>
      <c r="R825" s="13">
        <f t="shared" si="100"/>
        <v>1.4311111111092032</v>
      </c>
      <c r="S825" s="13">
        <f t="shared" si="101"/>
        <v>2.8828587962998427</v>
      </c>
      <c r="T825" t="str">
        <f t="shared" si="102"/>
        <v>On Time/Early</v>
      </c>
      <c r="U825" t="str">
        <f t="shared" si="103"/>
        <v>Normal</v>
      </c>
      <c r="V825" t="s">
        <v>102</v>
      </c>
    </row>
    <row r="826" spans="1:22">
      <c r="A826" t="s">
        <v>1340</v>
      </c>
      <c r="B826" s="10">
        <v>43081.531446759262</v>
      </c>
      <c r="C826" s="10">
        <v>43081.536458333336</v>
      </c>
      <c r="D826" s="10">
        <v>43084.871574074074</v>
      </c>
      <c r="E826" s="10">
        <v>43090.513414351852</v>
      </c>
      <c r="F826" s="10">
        <v>43109</v>
      </c>
      <c r="G826" t="s">
        <v>30</v>
      </c>
      <c r="H826" t="s">
        <v>729</v>
      </c>
      <c r="I826" t="s">
        <v>123</v>
      </c>
      <c r="J826" s="11">
        <v>1</v>
      </c>
      <c r="K826" s="12">
        <v>199</v>
      </c>
      <c r="L826" s="12">
        <v>13.1</v>
      </c>
      <c r="M826" s="13">
        <v>5</v>
      </c>
      <c r="N826" s="13">
        <f t="shared" si="96"/>
        <v>8.981967592590081</v>
      </c>
      <c r="O826" s="13">
        <f t="shared" si="97"/>
        <v>0</v>
      </c>
      <c r="P826" t="str">
        <f t="shared" si="98"/>
        <v>On Time</v>
      </c>
      <c r="Q826" s="13">
        <f t="shared" si="99"/>
        <v>0.12027777777984738</v>
      </c>
      <c r="R826" s="13">
        <f t="shared" si="100"/>
        <v>3.3351157407378196</v>
      </c>
      <c r="S826" s="13">
        <f t="shared" si="101"/>
        <v>5.6418402777781012</v>
      </c>
      <c r="T826" t="str">
        <f t="shared" si="102"/>
        <v>On Time/Early</v>
      </c>
      <c r="U826" t="str">
        <f t="shared" si="103"/>
        <v>Normal</v>
      </c>
      <c r="V826" t="s">
        <v>102</v>
      </c>
    </row>
    <row r="827" spans="1:22">
      <c r="A827" t="s">
        <v>1341</v>
      </c>
      <c r="B827" s="10">
        <v>43081.873113425929</v>
      </c>
      <c r="C827" s="10">
        <v>43081.883032407408</v>
      </c>
      <c r="D827" s="10">
        <v>43087.888506944444</v>
      </c>
      <c r="E827" s="10">
        <v>43103.77244212963</v>
      </c>
      <c r="F827" s="10">
        <v>43105</v>
      </c>
      <c r="G827" t="s">
        <v>20</v>
      </c>
      <c r="H827" t="s">
        <v>104</v>
      </c>
      <c r="I827" t="s">
        <v>143</v>
      </c>
      <c r="J827" s="11">
        <v>1</v>
      </c>
      <c r="K827" s="12">
        <v>439</v>
      </c>
      <c r="L827" s="12">
        <v>17.829999999999998</v>
      </c>
      <c r="M827" s="13">
        <v>5</v>
      </c>
      <c r="N827" s="13">
        <f t="shared" si="96"/>
        <v>21.89932870370103</v>
      </c>
      <c r="O827" s="13">
        <f t="shared" si="97"/>
        <v>0</v>
      </c>
      <c r="P827" t="str">
        <f t="shared" si="98"/>
        <v>On Time</v>
      </c>
      <c r="Q827" s="13">
        <f t="shared" si="99"/>
        <v>0.2380555554991588</v>
      </c>
      <c r="R827" s="13">
        <f t="shared" si="100"/>
        <v>6.005474537036207</v>
      </c>
      <c r="S827" s="13">
        <f t="shared" si="101"/>
        <v>15.883935185185692</v>
      </c>
      <c r="T827" t="str">
        <f t="shared" si="102"/>
        <v>On Time/Early</v>
      </c>
      <c r="U827" t="str">
        <f t="shared" si="103"/>
        <v>Normal</v>
      </c>
      <c r="V827" t="s">
        <v>102</v>
      </c>
    </row>
    <row r="828" spans="1:22">
      <c r="A828" t="s">
        <v>1342</v>
      </c>
      <c r="B828" s="10">
        <v>43081.879351851851</v>
      </c>
      <c r="C828" s="10">
        <v>43081.886423611111</v>
      </c>
      <c r="D828" s="10">
        <v>43083.07136574074</v>
      </c>
      <c r="E828" s="10">
        <v>43099.612847222219</v>
      </c>
      <c r="F828" s="10">
        <v>43105</v>
      </c>
      <c r="G828" t="s">
        <v>8</v>
      </c>
      <c r="H828" t="s">
        <v>907</v>
      </c>
      <c r="I828" t="s">
        <v>221</v>
      </c>
      <c r="J828" s="11">
        <v>1</v>
      </c>
      <c r="K828" s="12">
        <v>619</v>
      </c>
      <c r="L828" s="12">
        <v>15.83</v>
      </c>
      <c r="M828" s="13">
        <v>5</v>
      </c>
      <c r="N828" s="13">
        <f t="shared" si="96"/>
        <v>17.733495370368473</v>
      </c>
      <c r="O828" s="13">
        <f t="shared" si="97"/>
        <v>0</v>
      </c>
      <c r="P828" t="str">
        <f t="shared" si="98"/>
        <v>On Time</v>
      </c>
      <c r="Q828" s="13">
        <f t="shared" si="99"/>
        <v>0.16972222225740552</v>
      </c>
      <c r="R828" s="13">
        <f t="shared" si="100"/>
        <v>1.1849421296283253</v>
      </c>
      <c r="S828" s="13">
        <f t="shared" si="101"/>
        <v>16.541481481479423</v>
      </c>
      <c r="T828" t="str">
        <f t="shared" si="102"/>
        <v>On Time/Early</v>
      </c>
      <c r="U828" t="str">
        <f t="shared" si="103"/>
        <v>Normal</v>
      </c>
      <c r="V828" t="s">
        <v>102</v>
      </c>
    </row>
    <row r="829" spans="1:22">
      <c r="A829" t="s">
        <v>1343</v>
      </c>
      <c r="B829" s="10">
        <v>43082.564201388886</v>
      </c>
      <c r="C829" s="10">
        <v>43082.576585648145</v>
      </c>
      <c r="D829" s="10">
        <v>43084.737534722219</v>
      </c>
      <c r="E829" s="10">
        <v>43115.675636574073</v>
      </c>
      <c r="F829" s="10">
        <v>43117</v>
      </c>
      <c r="G829" t="s">
        <v>192</v>
      </c>
      <c r="H829" t="s">
        <v>193</v>
      </c>
      <c r="I829" t="s">
        <v>185</v>
      </c>
      <c r="J829" s="11">
        <v>1</v>
      </c>
      <c r="K829" s="12">
        <v>40</v>
      </c>
      <c r="L829" s="12">
        <v>34.5</v>
      </c>
      <c r="M829" s="13">
        <v>4</v>
      </c>
      <c r="N829" s="13">
        <f t="shared" si="96"/>
        <v>33.111435185186565</v>
      </c>
      <c r="O829" s="13">
        <f t="shared" si="97"/>
        <v>0</v>
      </c>
      <c r="P829" t="str">
        <f t="shared" si="98"/>
        <v>On Time</v>
      </c>
      <c r="Q829" s="13">
        <f t="shared" si="99"/>
        <v>0.29722222220152617</v>
      </c>
      <c r="R829" s="13">
        <f t="shared" si="100"/>
        <v>2.1609490740738693</v>
      </c>
      <c r="S829" s="13">
        <f t="shared" si="101"/>
        <v>30.938101851854299</v>
      </c>
      <c r="T829" t="str">
        <f t="shared" si="102"/>
        <v>On Time/Early</v>
      </c>
      <c r="U829" t="str">
        <f t="shared" si="103"/>
        <v>Normal</v>
      </c>
      <c r="V829" t="s">
        <v>102</v>
      </c>
    </row>
    <row r="830" spans="1:22">
      <c r="A830" t="s">
        <v>1344</v>
      </c>
      <c r="B830" s="10">
        <v>43082.611342592594</v>
      </c>
      <c r="C830" s="10">
        <v>43082.62290509259</v>
      </c>
      <c r="D830" s="10">
        <v>43083.853495370371</v>
      </c>
      <c r="E830" s="10">
        <v>43084.797824074078</v>
      </c>
      <c r="F830" s="10">
        <v>43104</v>
      </c>
      <c r="G830" t="s">
        <v>8</v>
      </c>
      <c r="H830" t="s">
        <v>140</v>
      </c>
      <c r="I830" t="s">
        <v>58</v>
      </c>
      <c r="J830" s="11">
        <v>1</v>
      </c>
      <c r="K830" s="12">
        <v>89.99</v>
      </c>
      <c r="L830" s="12">
        <v>9.44</v>
      </c>
      <c r="M830" s="13">
        <v>5</v>
      </c>
      <c r="N830" s="13">
        <f t="shared" si="96"/>
        <v>2.1864814814834972</v>
      </c>
      <c r="O830" s="13">
        <f t="shared" si="97"/>
        <v>0</v>
      </c>
      <c r="P830" t="str">
        <f t="shared" si="98"/>
        <v>On Time</v>
      </c>
      <c r="Q830" s="13">
        <f t="shared" si="99"/>
        <v>0.27749999990919605</v>
      </c>
      <c r="R830" s="13">
        <f t="shared" si="100"/>
        <v>1.2305902777807205</v>
      </c>
      <c r="S830" s="13">
        <f t="shared" si="101"/>
        <v>0.94432870370656019</v>
      </c>
      <c r="T830" t="str">
        <f t="shared" si="102"/>
        <v>On Time/Early</v>
      </c>
      <c r="U830" t="str">
        <f t="shared" si="103"/>
        <v>Normal</v>
      </c>
      <c r="V830" t="s">
        <v>102</v>
      </c>
    </row>
    <row r="831" spans="1:22">
      <c r="A831" t="s">
        <v>1345</v>
      </c>
      <c r="B831" s="10">
        <v>43082.717152777775</v>
      </c>
      <c r="C831" s="10">
        <v>43083.091817129629</v>
      </c>
      <c r="D831" s="10">
        <v>43084.753101851849</v>
      </c>
      <c r="E831" s="10">
        <v>43095.689733796295</v>
      </c>
      <c r="F831" s="10">
        <v>43116</v>
      </c>
      <c r="G831" t="s">
        <v>20</v>
      </c>
      <c r="H831" t="s">
        <v>1346</v>
      </c>
      <c r="I831" t="s">
        <v>58</v>
      </c>
      <c r="J831" s="11">
        <v>1</v>
      </c>
      <c r="K831" s="12">
        <v>234.9</v>
      </c>
      <c r="L831" s="12">
        <v>16.39</v>
      </c>
      <c r="M831" s="13">
        <v>4</v>
      </c>
      <c r="N831" s="13">
        <f t="shared" si="96"/>
        <v>12.972581018519122</v>
      </c>
      <c r="O831" s="13">
        <f t="shared" si="97"/>
        <v>0</v>
      </c>
      <c r="P831" t="str">
        <f t="shared" si="98"/>
        <v>On Time</v>
      </c>
      <c r="Q831" s="13">
        <f t="shared" si="99"/>
        <v>8.9919444444822147</v>
      </c>
      <c r="R831" s="13">
        <f t="shared" si="100"/>
        <v>1.6612847222204437</v>
      </c>
      <c r="S831" s="13">
        <f t="shared" si="101"/>
        <v>10.936631944445253</v>
      </c>
      <c r="T831" t="str">
        <f t="shared" si="102"/>
        <v>On Time/Early</v>
      </c>
      <c r="U831" t="str">
        <f t="shared" si="103"/>
        <v>Normal</v>
      </c>
      <c r="V831" t="s">
        <v>102</v>
      </c>
    </row>
    <row r="832" spans="1:22">
      <c r="A832" t="s">
        <v>1347</v>
      </c>
      <c r="B832" s="10">
        <v>43082.87841435185</v>
      </c>
      <c r="C832" s="10">
        <v>43082.885046296295</v>
      </c>
      <c r="D832" s="10">
        <v>43083.878541666665</v>
      </c>
      <c r="E832" s="10">
        <v>43087.680127314816</v>
      </c>
      <c r="F832" s="10">
        <v>43108</v>
      </c>
      <c r="G832" t="s">
        <v>8</v>
      </c>
      <c r="H832" t="s">
        <v>161</v>
      </c>
      <c r="I832" t="s">
        <v>1087</v>
      </c>
      <c r="J832" s="11">
        <v>1</v>
      </c>
      <c r="K832" s="12">
        <v>39.9</v>
      </c>
      <c r="L832" s="12">
        <v>14.1</v>
      </c>
      <c r="M832" s="13">
        <v>4</v>
      </c>
      <c r="N832" s="13">
        <f t="shared" si="96"/>
        <v>4.8017129629661213</v>
      </c>
      <c r="O832" s="13">
        <f t="shared" si="97"/>
        <v>0</v>
      </c>
      <c r="P832" t="str">
        <f t="shared" si="98"/>
        <v>On Time</v>
      </c>
      <c r="Q832" s="13">
        <f t="shared" si="99"/>
        <v>0.1591666666790843</v>
      </c>
      <c r="R832" s="13">
        <f t="shared" si="100"/>
        <v>0.9934953703705105</v>
      </c>
      <c r="S832" s="13">
        <f t="shared" si="101"/>
        <v>3.8015856481506489</v>
      </c>
      <c r="T832" t="str">
        <f t="shared" si="102"/>
        <v>On Time/Early</v>
      </c>
      <c r="U832" t="str">
        <f t="shared" si="103"/>
        <v>Normal</v>
      </c>
      <c r="V832" t="s">
        <v>102</v>
      </c>
    </row>
    <row r="833" spans="1:22">
      <c r="A833" t="s">
        <v>1348</v>
      </c>
      <c r="B833" s="10">
        <v>43082.908217592594</v>
      </c>
      <c r="C833" s="10">
        <v>43084.095601851855</v>
      </c>
      <c r="D833" s="10">
        <v>43084.814745370371</v>
      </c>
      <c r="E833" s="10">
        <v>43095.942511574074</v>
      </c>
      <c r="F833" s="10">
        <v>43122</v>
      </c>
      <c r="G833" t="s">
        <v>464</v>
      </c>
      <c r="H833" t="s">
        <v>1349</v>
      </c>
      <c r="I833" t="s">
        <v>123</v>
      </c>
      <c r="J833" s="11">
        <v>1</v>
      </c>
      <c r="K833" s="12">
        <v>89.9</v>
      </c>
      <c r="L833" s="12">
        <v>27.48</v>
      </c>
      <c r="M833" s="13">
        <v>5</v>
      </c>
      <c r="N833" s="13">
        <f t="shared" si="96"/>
        <v>13.034293981480005</v>
      </c>
      <c r="O833" s="13">
        <f t="shared" si="97"/>
        <v>0</v>
      </c>
      <c r="P833" t="str">
        <f t="shared" si="98"/>
        <v>On Time</v>
      </c>
      <c r="Q833" s="13">
        <f t="shared" si="99"/>
        <v>28.497222222271375</v>
      </c>
      <c r="R833" s="13">
        <f t="shared" si="100"/>
        <v>0.71914351851592073</v>
      </c>
      <c r="S833" s="13">
        <f t="shared" si="101"/>
        <v>11.127766203702777</v>
      </c>
      <c r="T833" t="str">
        <f t="shared" si="102"/>
        <v>On Time/Early</v>
      </c>
      <c r="U833" t="str">
        <f t="shared" si="103"/>
        <v>Normal</v>
      </c>
      <c r="V833" t="s">
        <v>102</v>
      </c>
    </row>
    <row r="834" spans="1:22">
      <c r="A834" t="s">
        <v>1350</v>
      </c>
      <c r="B834" s="10">
        <v>43082.991886574076</v>
      </c>
      <c r="C834" s="10">
        <v>43084.095277777778</v>
      </c>
      <c r="D834" s="10">
        <v>43087.895694444444</v>
      </c>
      <c r="E834" s="10">
        <v>43096.741550925923</v>
      </c>
      <c r="F834" s="10">
        <v>43111</v>
      </c>
      <c r="G834" t="s">
        <v>33</v>
      </c>
      <c r="H834" t="s">
        <v>488</v>
      </c>
      <c r="I834" t="s">
        <v>101</v>
      </c>
      <c r="J834" s="11">
        <v>1</v>
      </c>
      <c r="K834" s="12">
        <v>349.9</v>
      </c>
      <c r="L834" s="12">
        <v>18.21</v>
      </c>
      <c r="M834" s="13">
        <v>5</v>
      </c>
      <c r="N834" s="13">
        <f t="shared" ref="N834:N897" si="104">IFERROR(E834-B834,"")</f>
        <v>13.74966435184615</v>
      </c>
      <c r="O834" s="13">
        <f t="shared" ref="O834:O897" si="105">IFERROR(MAX(0,E834-F834),"")</f>
        <v>0</v>
      </c>
      <c r="P834" t="str">
        <f t="shared" ref="P834:P897" si="106">IF(O834&gt;0,"Delayed","On Time")</f>
        <v>On Time</v>
      </c>
      <c r="Q834" s="13">
        <f t="shared" ref="Q834:Q897" si="107">IFERROR((C834-B834)*24,"")</f>
        <v>26.481388888845686</v>
      </c>
      <c r="R834" s="13">
        <f t="shared" ref="R834:R897" si="108">IFERROR(D834-C834,"")</f>
        <v>3.8004166666651145</v>
      </c>
      <c r="S834" s="13">
        <f t="shared" ref="S834:S897" si="109">IFERROR(E834-D834,"")</f>
        <v>8.8458564814791316</v>
      </c>
      <c r="T834" t="str">
        <f t="shared" ref="T834:T897" si="110">IF(O834=0,"On Time/Early",IF(O834&lt;=3,"1-3 Days Late",IF(O834&lt;=7,"4-7 Days Late","8+ Days Late")))</f>
        <v>On Time/Early</v>
      </c>
      <c r="U834" t="str">
        <f t="shared" ref="U834:U897" si="111">IF(P834="Delayed","Needs Review","Normal")</f>
        <v>Normal</v>
      </c>
      <c r="V834" t="s">
        <v>102</v>
      </c>
    </row>
    <row r="835" spans="1:22">
      <c r="A835" t="s">
        <v>1351</v>
      </c>
      <c r="B835" s="10">
        <v>43083.019131944442</v>
      </c>
      <c r="C835" s="10">
        <v>43083.024652777778</v>
      </c>
      <c r="D835" s="10">
        <v>43083.721493055556</v>
      </c>
      <c r="E835" s="10">
        <v>43096.696064814816</v>
      </c>
      <c r="F835" s="10">
        <v>43111</v>
      </c>
      <c r="G835" t="s">
        <v>36</v>
      </c>
      <c r="H835" t="s">
        <v>1170</v>
      </c>
      <c r="I835" t="s">
        <v>1352</v>
      </c>
      <c r="J835" s="11">
        <v>1</v>
      </c>
      <c r="K835" s="12">
        <v>77</v>
      </c>
      <c r="L835" s="12">
        <v>15.29</v>
      </c>
      <c r="M835" s="13">
        <v>4</v>
      </c>
      <c r="N835" s="13">
        <f t="shared" si="104"/>
        <v>13.676932870374003</v>
      </c>
      <c r="O835" s="13">
        <f t="shared" si="105"/>
        <v>0</v>
      </c>
      <c r="P835" t="str">
        <f t="shared" si="106"/>
        <v>On Time</v>
      </c>
      <c r="Q835" s="13">
        <f t="shared" si="107"/>
        <v>0.13250000006519258</v>
      </c>
      <c r="R835" s="13">
        <f t="shared" si="108"/>
        <v>0.69684027777839219</v>
      </c>
      <c r="S835" s="13">
        <f t="shared" si="109"/>
        <v>12.974571759259561</v>
      </c>
      <c r="T835" t="str">
        <f t="shared" si="110"/>
        <v>On Time/Early</v>
      </c>
      <c r="U835" t="str">
        <f t="shared" si="111"/>
        <v>Normal</v>
      </c>
      <c r="V835" t="s">
        <v>102</v>
      </c>
    </row>
    <row r="836" spans="1:22">
      <c r="A836" t="s">
        <v>1353</v>
      </c>
      <c r="B836" s="10">
        <v>43083.427627314813</v>
      </c>
      <c r="C836" s="10">
        <v>43085.108796296299</v>
      </c>
      <c r="D836" s="10">
        <v>43109.718657407408</v>
      </c>
      <c r="E836" s="10">
        <v>43150.982638888891</v>
      </c>
      <c r="F836" s="10">
        <v>43119</v>
      </c>
      <c r="G836" t="s">
        <v>8</v>
      </c>
      <c r="H836" t="s">
        <v>182</v>
      </c>
      <c r="I836" t="s">
        <v>185</v>
      </c>
      <c r="J836" s="11">
        <v>1</v>
      </c>
      <c r="K836" s="12">
        <v>559</v>
      </c>
      <c r="L836" s="12">
        <v>37.270000000000003</v>
      </c>
      <c r="M836" s="13">
        <v>3</v>
      </c>
      <c r="N836" s="13">
        <f t="shared" si="104"/>
        <v>67.555011574077071</v>
      </c>
      <c r="O836" s="13">
        <f t="shared" si="105"/>
        <v>31.982638888890506</v>
      </c>
      <c r="P836" t="str">
        <f t="shared" si="106"/>
        <v>Delayed</v>
      </c>
      <c r="Q836" s="13">
        <f t="shared" si="107"/>
        <v>40.348055555659812</v>
      </c>
      <c r="R836" s="13">
        <f t="shared" si="108"/>
        <v>24.60986111110833</v>
      </c>
      <c r="S836" s="13">
        <f t="shared" si="109"/>
        <v>41.263981481482915</v>
      </c>
      <c r="T836" t="str">
        <f t="shared" si="110"/>
        <v>8+ Days Late</v>
      </c>
      <c r="U836" t="str">
        <f t="shared" si="111"/>
        <v>Needs Review</v>
      </c>
      <c r="V836" t="s">
        <v>102</v>
      </c>
    </row>
    <row r="837" spans="1:22">
      <c r="A837" t="s">
        <v>1354</v>
      </c>
      <c r="B837" s="10">
        <v>43083.429652777777</v>
      </c>
      <c r="C837" s="10">
        <v>43085.438576388886</v>
      </c>
      <c r="D837" s="10">
        <v>43096.752581018518</v>
      </c>
      <c r="E837" s="10">
        <v>43103.728136574071</v>
      </c>
      <c r="F837" s="10">
        <v>43109</v>
      </c>
      <c r="G837" t="s">
        <v>8</v>
      </c>
      <c r="H837" t="s">
        <v>696</v>
      </c>
      <c r="I837" t="s">
        <v>143</v>
      </c>
      <c r="J837" s="11">
        <v>1</v>
      </c>
      <c r="K837" s="12">
        <v>259.89999999999998</v>
      </c>
      <c r="L837" s="12">
        <v>10.75</v>
      </c>
      <c r="M837" s="13">
        <v>3</v>
      </c>
      <c r="N837" s="13">
        <f t="shared" si="104"/>
        <v>20.298483796294022</v>
      </c>
      <c r="O837" s="13">
        <f t="shared" si="105"/>
        <v>0</v>
      </c>
      <c r="P837" t="str">
        <f t="shared" si="106"/>
        <v>On Time</v>
      </c>
      <c r="Q837" s="13">
        <f t="shared" si="107"/>
        <v>48.214166666613892</v>
      </c>
      <c r="R837" s="13">
        <f t="shared" si="108"/>
        <v>11.314004629632109</v>
      </c>
      <c r="S837" s="13">
        <f t="shared" si="109"/>
        <v>6.9755555555530009</v>
      </c>
      <c r="T837" t="str">
        <f t="shared" si="110"/>
        <v>On Time/Early</v>
      </c>
      <c r="U837" t="str">
        <f t="shared" si="111"/>
        <v>Normal</v>
      </c>
      <c r="V837" t="s">
        <v>102</v>
      </c>
    </row>
    <row r="838" spans="1:22">
      <c r="A838" t="s">
        <v>1355</v>
      </c>
      <c r="B838" s="10">
        <v>43083.677476851852</v>
      </c>
      <c r="C838" s="10">
        <v>43085.676666666666</v>
      </c>
      <c r="D838" s="10">
        <v>43088.957951388889</v>
      </c>
      <c r="E838" s="10">
        <v>43103.560706018521</v>
      </c>
      <c r="F838" s="10">
        <v>43109</v>
      </c>
      <c r="G838" t="s">
        <v>20</v>
      </c>
      <c r="H838" t="s">
        <v>104</v>
      </c>
      <c r="I838" t="s">
        <v>141</v>
      </c>
      <c r="J838" s="11">
        <v>1</v>
      </c>
      <c r="K838" s="12">
        <v>32</v>
      </c>
      <c r="L838" s="12">
        <v>14.1</v>
      </c>
      <c r="M838" s="13">
        <v>5</v>
      </c>
      <c r="N838" s="13">
        <f t="shared" si="104"/>
        <v>19.88322916666948</v>
      </c>
      <c r="O838" s="13">
        <f t="shared" si="105"/>
        <v>0</v>
      </c>
      <c r="P838" t="str">
        <f t="shared" si="106"/>
        <v>On Time</v>
      </c>
      <c r="Q838" s="13">
        <f t="shared" si="107"/>
        <v>47.980555555550382</v>
      </c>
      <c r="R838" s="13">
        <f t="shared" si="108"/>
        <v>3.281284722223063</v>
      </c>
      <c r="S838" s="13">
        <f t="shared" si="109"/>
        <v>14.602754629631818</v>
      </c>
      <c r="T838" t="str">
        <f t="shared" si="110"/>
        <v>On Time/Early</v>
      </c>
      <c r="U838" t="str">
        <f t="shared" si="111"/>
        <v>Normal</v>
      </c>
      <c r="V838" t="s">
        <v>102</v>
      </c>
    </row>
    <row r="839" spans="1:22">
      <c r="A839" t="s">
        <v>1356</v>
      </c>
      <c r="B839" s="10">
        <v>43083.938171296293</v>
      </c>
      <c r="C839" s="10">
        <v>43083.955405092594</v>
      </c>
      <c r="D839" s="10">
        <v>43084.842592592591</v>
      </c>
      <c r="E839" s="10">
        <v>43089.895879629628</v>
      </c>
      <c r="F839" s="10">
        <v>43108</v>
      </c>
      <c r="G839" t="s">
        <v>8</v>
      </c>
      <c r="H839" t="s">
        <v>108</v>
      </c>
      <c r="I839" t="s">
        <v>143</v>
      </c>
      <c r="J839" s="11">
        <v>1</v>
      </c>
      <c r="K839" s="12">
        <v>56.99</v>
      </c>
      <c r="L839" s="12">
        <v>8.7200000000000006</v>
      </c>
      <c r="M839" s="13">
        <v>5</v>
      </c>
      <c r="N839" s="13">
        <f t="shared" si="104"/>
        <v>5.9577083333351766</v>
      </c>
      <c r="O839" s="13">
        <f t="shared" si="105"/>
        <v>0</v>
      </c>
      <c r="P839" t="str">
        <f t="shared" si="106"/>
        <v>On Time</v>
      </c>
      <c r="Q839" s="13">
        <f t="shared" si="107"/>
        <v>0.41361111123114824</v>
      </c>
      <c r="R839" s="13">
        <f t="shared" si="108"/>
        <v>0.88718749999679858</v>
      </c>
      <c r="S839" s="13">
        <f t="shared" si="109"/>
        <v>5.0532870370370802</v>
      </c>
      <c r="T839" t="str">
        <f t="shared" si="110"/>
        <v>On Time/Early</v>
      </c>
      <c r="U839" t="str">
        <f t="shared" si="111"/>
        <v>Normal</v>
      </c>
      <c r="V839" t="s">
        <v>102</v>
      </c>
    </row>
    <row r="840" spans="1:22">
      <c r="A840" t="s">
        <v>1357</v>
      </c>
      <c r="B840" s="10">
        <v>43084.037083333336</v>
      </c>
      <c r="C840" s="10">
        <v>43084.048946759256</v>
      </c>
      <c r="D840" s="10">
        <v>43084.911898148152</v>
      </c>
      <c r="E840" s="10">
        <v>43096.693831018521</v>
      </c>
      <c r="F840" s="10">
        <v>43119</v>
      </c>
      <c r="G840" t="s">
        <v>8</v>
      </c>
      <c r="H840" t="s">
        <v>1358</v>
      </c>
      <c r="I840" t="s">
        <v>246</v>
      </c>
      <c r="J840" s="11">
        <v>1</v>
      </c>
      <c r="K840" s="12">
        <v>129.99</v>
      </c>
      <c r="L840" s="12">
        <v>18.16</v>
      </c>
      <c r="M840" s="13">
        <v>5</v>
      </c>
      <c r="N840" s="13">
        <f t="shared" si="104"/>
        <v>12.65674768518511</v>
      </c>
      <c r="O840" s="13">
        <f t="shared" si="105"/>
        <v>0</v>
      </c>
      <c r="P840" t="str">
        <f t="shared" si="106"/>
        <v>On Time</v>
      </c>
      <c r="Q840" s="13">
        <f t="shared" si="107"/>
        <v>0.28472222207346931</v>
      </c>
      <c r="R840" s="13">
        <f t="shared" si="108"/>
        <v>0.86295138889545342</v>
      </c>
      <c r="S840" s="13">
        <f t="shared" si="109"/>
        <v>11.781932870369928</v>
      </c>
      <c r="T840" t="str">
        <f t="shared" si="110"/>
        <v>On Time/Early</v>
      </c>
      <c r="U840" t="str">
        <f t="shared" si="111"/>
        <v>Normal</v>
      </c>
      <c r="V840" t="s">
        <v>102</v>
      </c>
    </row>
    <row r="841" spans="1:22">
      <c r="A841" t="s">
        <v>1359</v>
      </c>
      <c r="B841" s="10">
        <v>43084.412754629629</v>
      </c>
      <c r="C841" s="10">
        <v>43084.423634259256</v>
      </c>
      <c r="D841" s="10">
        <v>43105.797511574077</v>
      </c>
      <c r="E841" s="10">
        <v>43111.661238425928</v>
      </c>
      <c r="F841" s="10">
        <v>43115</v>
      </c>
      <c r="G841" t="s">
        <v>33</v>
      </c>
      <c r="H841" t="s">
        <v>341</v>
      </c>
      <c r="I841" t="s">
        <v>279</v>
      </c>
      <c r="J841" s="11">
        <v>1</v>
      </c>
      <c r="K841" s="12">
        <v>169.99</v>
      </c>
      <c r="L841" s="12">
        <v>15.94</v>
      </c>
      <c r="M841" s="13">
        <v>4</v>
      </c>
      <c r="N841" s="13">
        <f t="shared" si="104"/>
        <v>27.248483796298387</v>
      </c>
      <c r="O841" s="13">
        <f t="shared" si="105"/>
        <v>0</v>
      </c>
      <c r="P841" t="str">
        <f t="shared" si="106"/>
        <v>On Time</v>
      </c>
      <c r="Q841" s="13">
        <f t="shared" si="107"/>
        <v>0.26111111103091389</v>
      </c>
      <c r="R841" s="13">
        <f t="shared" si="108"/>
        <v>21.373877314821584</v>
      </c>
      <c r="S841" s="13">
        <f t="shared" si="109"/>
        <v>5.8637268518505152</v>
      </c>
      <c r="T841" t="str">
        <f t="shared" si="110"/>
        <v>On Time/Early</v>
      </c>
      <c r="U841" t="str">
        <f t="shared" si="111"/>
        <v>Normal</v>
      </c>
      <c r="V841" t="s">
        <v>102</v>
      </c>
    </row>
    <row r="842" spans="1:22">
      <c r="A842" t="s">
        <v>1360</v>
      </c>
      <c r="B842" s="10">
        <v>43084.545775462961</v>
      </c>
      <c r="C842" s="10">
        <v>43084.550810185188</v>
      </c>
      <c r="D842" s="10">
        <v>43089.933993055558</v>
      </c>
      <c r="E842" s="10">
        <v>43103.941805555558</v>
      </c>
      <c r="F842" s="10">
        <v>43115</v>
      </c>
      <c r="G842" t="s">
        <v>36</v>
      </c>
      <c r="H842" t="s">
        <v>467</v>
      </c>
      <c r="I842" t="s">
        <v>115</v>
      </c>
      <c r="J842" s="11">
        <v>1</v>
      </c>
      <c r="K842" s="12">
        <v>24.5</v>
      </c>
      <c r="L842" s="12">
        <v>15.1</v>
      </c>
      <c r="M842" s="13">
        <v>4</v>
      </c>
      <c r="N842" s="13">
        <f t="shared" si="104"/>
        <v>19.396030092597357</v>
      </c>
      <c r="O842" s="13">
        <f t="shared" si="105"/>
        <v>0</v>
      </c>
      <c r="P842" t="str">
        <f t="shared" si="106"/>
        <v>On Time</v>
      </c>
      <c r="Q842" s="13">
        <f t="shared" si="107"/>
        <v>0.1208333334652707</v>
      </c>
      <c r="R842" s="13">
        <f t="shared" si="108"/>
        <v>5.3831828703696374</v>
      </c>
      <c r="S842" s="13">
        <f t="shared" si="109"/>
        <v>14.0078125</v>
      </c>
      <c r="T842" t="str">
        <f t="shared" si="110"/>
        <v>On Time/Early</v>
      </c>
      <c r="U842" t="str">
        <f t="shared" si="111"/>
        <v>Normal</v>
      </c>
      <c r="V842" t="s">
        <v>102</v>
      </c>
    </row>
    <row r="843" spans="1:22">
      <c r="A843" t="s">
        <v>1361</v>
      </c>
      <c r="B843" s="10">
        <v>43084.570613425924</v>
      </c>
      <c r="C843" s="10">
        <v>43084.619988425926</v>
      </c>
      <c r="D843" s="10">
        <v>43088.630486111113</v>
      </c>
      <c r="E843" s="10">
        <v>43096.82230324074</v>
      </c>
      <c r="F843" s="10">
        <v>43118</v>
      </c>
      <c r="G843" t="s">
        <v>20</v>
      </c>
      <c r="H843" t="s">
        <v>1362</v>
      </c>
      <c r="I843" t="s">
        <v>123</v>
      </c>
      <c r="J843" s="11">
        <v>2</v>
      </c>
      <c r="K843" s="12">
        <v>50</v>
      </c>
      <c r="L843" s="12">
        <v>35.840000000000003</v>
      </c>
      <c r="M843" s="13">
        <v>3</v>
      </c>
      <c r="N843" s="13">
        <f t="shared" si="104"/>
        <v>12.251689814816928</v>
      </c>
      <c r="O843" s="13">
        <f t="shared" si="105"/>
        <v>0</v>
      </c>
      <c r="P843" t="str">
        <f t="shared" si="106"/>
        <v>On Time</v>
      </c>
      <c r="Q843" s="13">
        <f t="shared" si="107"/>
        <v>1.1850000000558794</v>
      </c>
      <c r="R843" s="13">
        <f t="shared" si="108"/>
        <v>4.010497685187147</v>
      </c>
      <c r="S843" s="13">
        <f t="shared" si="109"/>
        <v>8.1918171296274522</v>
      </c>
      <c r="T843" t="str">
        <f t="shared" si="110"/>
        <v>On Time/Early</v>
      </c>
      <c r="U843" t="str">
        <f t="shared" si="111"/>
        <v>Normal</v>
      </c>
      <c r="V843" t="s">
        <v>102</v>
      </c>
    </row>
    <row r="844" spans="1:22">
      <c r="A844" t="s">
        <v>1363</v>
      </c>
      <c r="B844" s="10">
        <v>43086.333460648151</v>
      </c>
      <c r="C844" s="10">
        <v>43086.341932870368</v>
      </c>
      <c r="D844" s="10">
        <v>43088.754837962966</v>
      </c>
      <c r="E844" s="10">
        <v>43112.991099537037</v>
      </c>
      <c r="F844" s="10">
        <v>43111</v>
      </c>
      <c r="G844" t="s">
        <v>16</v>
      </c>
      <c r="H844" t="s">
        <v>138</v>
      </c>
      <c r="I844" t="s">
        <v>115</v>
      </c>
      <c r="J844" s="11">
        <v>1</v>
      </c>
      <c r="K844" s="12">
        <v>69.989999999999995</v>
      </c>
      <c r="L844" s="12">
        <v>14.24</v>
      </c>
      <c r="M844" s="13">
        <v>3</v>
      </c>
      <c r="N844" s="13">
        <f t="shared" si="104"/>
        <v>26.65763888888614</v>
      </c>
      <c r="O844" s="13">
        <f t="shared" si="105"/>
        <v>1.9910995370373712</v>
      </c>
      <c r="P844" t="str">
        <f t="shared" si="106"/>
        <v>Delayed</v>
      </c>
      <c r="Q844" s="13">
        <f t="shared" si="107"/>
        <v>0.20333333319285884</v>
      </c>
      <c r="R844" s="13">
        <f t="shared" si="108"/>
        <v>2.4129050925985212</v>
      </c>
      <c r="S844" s="13">
        <f t="shared" si="109"/>
        <v>24.23626157407125</v>
      </c>
      <c r="T844" t="str">
        <f t="shared" si="110"/>
        <v>1-3 Days Late</v>
      </c>
      <c r="U844" t="str">
        <f t="shared" si="111"/>
        <v>Needs Review</v>
      </c>
      <c r="V844" t="s">
        <v>102</v>
      </c>
    </row>
    <row r="845" spans="1:22">
      <c r="A845" t="s">
        <v>1364</v>
      </c>
      <c r="B845" s="10">
        <v>43086.499976851854</v>
      </c>
      <c r="C845" s="10">
        <v>43088.396504629629</v>
      </c>
      <c r="D845" s="10">
        <v>43089.907754629632</v>
      </c>
      <c r="E845" s="10">
        <v>43108.818738425929</v>
      </c>
      <c r="F845" s="10">
        <v>43117</v>
      </c>
      <c r="G845" t="s">
        <v>110</v>
      </c>
      <c r="H845" t="s">
        <v>416</v>
      </c>
      <c r="I845" t="s">
        <v>118</v>
      </c>
      <c r="J845" s="11">
        <v>1</v>
      </c>
      <c r="K845" s="12">
        <v>24.99</v>
      </c>
      <c r="L845" s="12">
        <v>15.1</v>
      </c>
      <c r="M845" s="13">
        <v>5</v>
      </c>
      <c r="N845" s="13">
        <f t="shared" si="104"/>
        <v>22.318761574075324</v>
      </c>
      <c r="O845" s="13">
        <f t="shared" si="105"/>
        <v>0</v>
      </c>
      <c r="P845" t="str">
        <f t="shared" si="106"/>
        <v>On Time</v>
      </c>
      <c r="Q845" s="13">
        <f t="shared" si="107"/>
        <v>45.516666666604578</v>
      </c>
      <c r="R845" s="13">
        <f t="shared" si="108"/>
        <v>1.5112500000032014</v>
      </c>
      <c r="S845" s="13">
        <f t="shared" si="109"/>
        <v>18.910983796296932</v>
      </c>
      <c r="T845" t="str">
        <f t="shared" si="110"/>
        <v>On Time/Early</v>
      </c>
      <c r="U845" t="str">
        <f t="shared" si="111"/>
        <v>Normal</v>
      </c>
      <c r="V845" t="s">
        <v>102</v>
      </c>
    </row>
    <row r="846" spans="1:22">
      <c r="A846" t="s">
        <v>1365</v>
      </c>
      <c r="B846" s="10">
        <v>43086.521377314813</v>
      </c>
      <c r="C846" s="10">
        <v>43086.527488425927</v>
      </c>
      <c r="D846" s="10">
        <v>43087.762013888889</v>
      </c>
      <c r="E846" s="10">
        <v>43091.674895833334</v>
      </c>
      <c r="F846" s="10">
        <v>43111</v>
      </c>
      <c r="G846" t="s">
        <v>8</v>
      </c>
      <c r="H846" t="s">
        <v>1366</v>
      </c>
      <c r="I846" t="s">
        <v>123</v>
      </c>
      <c r="J846" s="11">
        <v>1</v>
      </c>
      <c r="K846" s="12">
        <v>65.989999999999995</v>
      </c>
      <c r="L846" s="12">
        <v>13.48</v>
      </c>
      <c r="M846" s="13">
        <v>5</v>
      </c>
      <c r="N846" s="13">
        <f t="shared" si="104"/>
        <v>5.1535185185202863</v>
      </c>
      <c r="O846" s="13">
        <f t="shared" si="105"/>
        <v>0</v>
      </c>
      <c r="P846" t="str">
        <f t="shared" si="106"/>
        <v>On Time</v>
      </c>
      <c r="Q846" s="13">
        <f t="shared" si="107"/>
        <v>0.14666666672565043</v>
      </c>
      <c r="R846" s="13">
        <f t="shared" si="108"/>
        <v>1.2345254629617557</v>
      </c>
      <c r="S846" s="13">
        <f t="shared" si="109"/>
        <v>3.9128819444449618</v>
      </c>
      <c r="T846" t="str">
        <f t="shared" si="110"/>
        <v>On Time/Early</v>
      </c>
      <c r="U846" t="str">
        <f t="shared" si="111"/>
        <v>Normal</v>
      </c>
      <c r="V846" t="s">
        <v>102</v>
      </c>
    </row>
    <row r="847" spans="1:22">
      <c r="A847" t="s">
        <v>1367</v>
      </c>
      <c r="B847" s="10">
        <v>43086.669745370367</v>
      </c>
      <c r="C847" s="10">
        <v>43086.717777777776</v>
      </c>
      <c r="D847" s="10">
        <v>43088.13013888889</v>
      </c>
      <c r="E847" s="10">
        <v>43090.842650462961</v>
      </c>
      <c r="F847" s="10">
        <v>43105</v>
      </c>
      <c r="G847" t="s">
        <v>8</v>
      </c>
      <c r="H847" t="s">
        <v>243</v>
      </c>
      <c r="I847" t="s">
        <v>149</v>
      </c>
      <c r="J847" s="11">
        <v>1</v>
      </c>
      <c r="K847" s="12">
        <v>122.99</v>
      </c>
      <c r="L847" s="12">
        <v>9.06</v>
      </c>
      <c r="M847" s="13">
        <v>5</v>
      </c>
      <c r="N847" s="13">
        <f t="shared" si="104"/>
        <v>4.1729050925932825</v>
      </c>
      <c r="O847" s="13">
        <f t="shared" si="105"/>
        <v>0</v>
      </c>
      <c r="P847" t="str">
        <f t="shared" si="106"/>
        <v>On Time</v>
      </c>
      <c r="Q847" s="13">
        <f t="shared" si="107"/>
        <v>1.1527777778101154</v>
      </c>
      <c r="R847" s="13">
        <f t="shared" si="108"/>
        <v>1.4123611111135688</v>
      </c>
      <c r="S847" s="13">
        <f t="shared" si="109"/>
        <v>2.7125115740709589</v>
      </c>
      <c r="T847" t="str">
        <f t="shared" si="110"/>
        <v>On Time/Early</v>
      </c>
      <c r="U847" t="str">
        <f t="shared" si="111"/>
        <v>Normal</v>
      </c>
      <c r="V847" t="s">
        <v>102</v>
      </c>
    </row>
    <row r="848" spans="1:22">
      <c r="A848" t="s">
        <v>1368</v>
      </c>
      <c r="B848" s="10">
        <v>43086.688379629632</v>
      </c>
      <c r="C848" s="10">
        <v>43088.410868055558</v>
      </c>
      <c r="D848" s="10">
        <v>43088.91128472222</v>
      </c>
      <c r="E848" s="10">
        <v>43105.936342592591</v>
      </c>
      <c r="F848" s="10">
        <v>43118</v>
      </c>
      <c r="G848" t="s">
        <v>33</v>
      </c>
      <c r="H848" t="s">
        <v>1369</v>
      </c>
      <c r="I848" t="s">
        <v>141</v>
      </c>
      <c r="J848" s="11">
        <v>1</v>
      </c>
      <c r="K848" s="12">
        <v>19</v>
      </c>
      <c r="L848" s="12">
        <v>16.11</v>
      </c>
      <c r="M848" s="13">
        <v>5</v>
      </c>
      <c r="N848" s="13">
        <f t="shared" si="104"/>
        <v>19.247962962959718</v>
      </c>
      <c r="O848" s="13">
        <f t="shared" si="105"/>
        <v>0</v>
      </c>
      <c r="P848" t="str">
        <f t="shared" si="106"/>
        <v>On Time</v>
      </c>
      <c r="Q848" s="13">
        <f t="shared" si="107"/>
        <v>41.339722222241107</v>
      </c>
      <c r="R848" s="13">
        <f t="shared" si="108"/>
        <v>0.50041666666220408</v>
      </c>
      <c r="S848" s="13">
        <f t="shared" si="109"/>
        <v>17.025057870370802</v>
      </c>
      <c r="T848" t="str">
        <f t="shared" si="110"/>
        <v>On Time/Early</v>
      </c>
      <c r="U848" t="str">
        <f t="shared" si="111"/>
        <v>Normal</v>
      </c>
      <c r="V848" t="s">
        <v>102</v>
      </c>
    </row>
    <row r="849" spans="1:22">
      <c r="A849" t="s">
        <v>1370</v>
      </c>
      <c r="B849" s="10">
        <v>43086.76803240741</v>
      </c>
      <c r="C849" s="10">
        <v>43086.776018518518</v>
      </c>
      <c r="D849" s="10">
        <v>43087.828298611108</v>
      </c>
      <c r="E849" s="10">
        <v>43088.755231481482</v>
      </c>
      <c r="F849" s="10">
        <v>43105</v>
      </c>
      <c r="G849" t="s">
        <v>8</v>
      </c>
      <c r="H849" t="s">
        <v>225</v>
      </c>
      <c r="I849" t="s">
        <v>221</v>
      </c>
      <c r="J849" s="11">
        <v>1</v>
      </c>
      <c r="K849" s="12">
        <v>55</v>
      </c>
      <c r="L849" s="12">
        <v>7.78</v>
      </c>
      <c r="M849" s="13">
        <v>5</v>
      </c>
      <c r="N849" s="13">
        <f t="shared" si="104"/>
        <v>1.987199074072123</v>
      </c>
      <c r="O849" s="13">
        <f t="shared" si="105"/>
        <v>0</v>
      </c>
      <c r="P849" t="str">
        <f t="shared" si="106"/>
        <v>On Time</v>
      </c>
      <c r="Q849" s="13">
        <f t="shared" si="107"/>
        <v>0.19166666659293696</v>
      </c>
      <c r="R849" s="13">
        <f t="shared" si="108"/>
        <v>1.052280092590081</v>
      </c>
      <c r="S849" s="13">
        <f t="shared" si="109"/>
        <v>0.92693287037400296</v>
      </c>
      <c r="T849" t="str">
        <f t="shared" si="110"/>
        <v>On Time/Early</v>
      </c>
      <c r="U849" t="str">
        <f t="shared" si="111"/>
        <v>Normal</v>
      </c>
      <c r="V849" t="s">
        <v>102</v>
      </c>
    </row>
    <row r="850" spans="1:22">
      <c r="A850" t="s">
        <v>1371</v>
      </c>
      <c r="B850" s="10">
        <v>43087.56523148148</v>
      </c>
      <c r="C850" s="10">
        <v>43087.608749999999</v>
      </c>
      <c r="D850" s="10">
        <v>43088.567476851851</v>
      </c>
      <c r="E850" s="10">
        <v>43098.913356481484</v>
      </c>
      <c r="F850" s="10">
        <v>43116</v>
      </c>
      <c r="G850" t="s">
        <v>20</v>
      </c>
      <c r="H850" t="s">
        <v>1205</v>
      </c>
      <c r="I850" t="s">
        <v>180</v>
      </c>
      <c r="J850" s="11">
        <v>2</v>
      </c>
      <c r="K850" s="12">
        <v>86</v>
      </c>
      <c r="L850" s="12">
        <v>35.200000000000003</v>
      </c>
      <c r="M850" s="13">
        <v>5</v>
      </c>
      <c r="N850" s="13">
        <f t="shared" si="104"/>
        <v>11.348125000004075</v>
      </c>
      <c r="O850" s="13">
        <f t="shared" si="105"/>
        <v>0</v>
      </c>
      <c r="P850" t="str">
        <f t="shared" si="106"/>
        <v>On Time</v>
      </c>
      <c r="Q850" s="13">
        <f t="shared" si="107"/>
        <v>1.0444444444729015</v>
      </c>
      <c r="R850" s="13">
        <f t="shared" si="108"/>
        <v>0.95872685185167938</v>
      </c>
      <c r="S850" s="13">
        <f t="shared" si="109"/>
        <v>10.345879629632691</v>
      </c>
      <c r="T850" t="str">
        <f t="shared" si="110"/>
        <v>On Time/Early</v>
      </c>
      <c r="U850" t="str">
        <f t="shared" si="111"/>
        <v>Normal</v>
      </c>
      <c r="V850" t="s">
        <v>102</v>
      </c>
    </row>
    <row r="851" spans="1:22">
      <c r="A851" t="s">
        <v>1372</v>
      </c>
      <c r="B851" s="10">
        <v>43087.649421296293</v>
      </c>
      <c r="C851" s="10">
        <v>43087.692187499997</v>
      </c>
      <c r="D851" s="10">
        <v>43089.988553240742</v>
      </c>
      <c r="E851" s="10">
        <v>43098.817893518521</v>
      </c>
      <c r="F851" s="10">
        <v>43111</v>
      </c>
      <c r="G851" t="s">
        <v>8</v>
      </c>
      <c r="H851" t="s">
        <v>430</v>
      </c>
      <c r="I851" t="s">
        <v>180</v>
      </c>
      <c r="J851" s="11">
        <v>1</v>
      </c>
      <c r="K851" s="12">
        <v>35</v>
      </c>
      <c r="L851" s="12">
        <v>11.85</v>
      </c>
      <c r="M851" s="13">
        <v>5</v>
      </c>
      <c r="N851" s="13">
        <f t="shared" si="104"/>
        <v>11.168472222227138</v>
      </c>
      <c r="O851" s="13">
        <f t="shared" si="105"/>
        <v>0</v>
      </c>
      <c r="P851" t="str">
        <f t="shared" si="106"/>
        <v>On Time</v>
      </c>
      <c r="Q851" s="13">
        <f t="shared" si="107"/>
        <v>1.0263888888875954</v>
      </c>
      <c r="R851" s="13">
        <f t="shared" si="108"/>
        <v>2.2963657407453866</v>
      </c>
      <c r="S851" s="13">
        <f t="shared" si="109"/>
        <v>8.8293402777781012</v>
      </c>
      <c r="T851" t="str">
        <f t="shared" si="110"/>
        <v>On Time/Early</v>
      </c>
      <c r="U851" t="str">
        <f t="shared" si="111"/>
        <v>Normal</v>
      </c>
      <c r="V851" t="s">
        <v>102</v>
      </c>
    </row>
    <row r="852" spans="1:22">
      <c r="A852" t="s">
        <v>1373</v>
      </c>
      <c r="B852" s="10">
        <v>43087.689733796295</v>
      </c>
      <c r="C852" s="10">
        <v>43087.732268518521</v>
      </c>
      <c r="D852" s="10">
        <v>43091.699317129627</v>
      </c>
      <c r="E852" s="10">
        <v>43103.634976851848</v>
      </c>
      <c r="F852" s="10">
        <v>43105</v>
      </c>
      <c r="G852" t="s">
        <v>8</v>
      </c>
      <c r="H852" t="s">
        <v>140</v>
      </c>
      <c r="I852" t="s">
        <v>368</v>
      </c>
      <c r="J852" s="11">
        <v>1</v>
      </c>
      <c r="K852" s="12">
        <v>224.9</v>
      </c>
      <c r="L852" s="12">
        <v>12.78</v>
      </c>
      <c r="M852" s="13">
        <v>5</v>
      </c>
      <c r="N852" s="13">
        <f t="shared" si="104"/>
        <v>15.945243055553874</v>
      </c>
      <c r="O852" s="13">
        <f t="shared" si="105"/>
        <v>0</v>
      </c>
      <c r="P852" t="str">
        <f t="shared" si="106"/>
        <v>On Time</v>
      </c>
      <c r="Q852" s="13">
        <f t="shared" si="107"/>
        <v>1.0208333334303461</v>
      </c>
      <c r="R852" s="13">
        <f t="shared" si="108"/>
        <v>3.9670486111062928</v>
      </c>
      <c r="S852" s="13">
        <f t="shared" si="109"/>
        <v>11.935659722221317</v>
      </c>
      <c r="T852" t="str">
        <f t="shared" si="110"/>
        <v>On Time/Early</v>
      </c>
      <c r="U852" t="str">
        <f t="shared" si="111"/>
        <v>Normal</v>
      </c>
      <c r="V852" t="s">
        <v>102</v>
      </c>
    </row>
    <row r="853" spans="1:22">
      <c r="A853" t="s">
        <v>1374</v>
      </c>
      <c r="B853" s="10">
        <v>43087.739247685182</v>
      </c>
      <c r="C853" s="10">
        <v>43087.786365740743</v>
      </c>
      <c r="D853" s="10">
        <v>43095.766273148147</v>
      </c>
      <c r="E853" s="10">
        <v>43104.956087962964</v>
      </c>
      <c r="F853" s="10">
        <v>43115</v>
      </c>
      <c r="G853" t="s">
        <v>8</v>
      </c>
      <c r="H853" t="s">
        <v>1375</v>
      </c>
      <c r="I853" t="s">
        <v>180</v>
      </c>
      <c r="J853" s="11">
        <v>1</v>
      </c>
      <c r="K853" s="12">
        <v>30.9</v>
      </c>
      <c r="L853" s="12">
        <v>11.85</v>
      </c>
      <c r="M853" s="13">
        <v>4</v>
      </c>
      <c r="N853" s="13">
        <f t="shared" si="104"/>
        <v>17.216840277782467</v>
      </c>
      <c r="O853" s="13">
        <f t="shared" si="105"/>
        <v>0</v>
      </c>
      <c r="P853" t="str">
        <f t="shared" si="106"/>
        <v>On Time</v>
      </c>
      <c r="Q853" s="13">
        <f t="shared" si="107"/>
        <v>1.1308333334745839</v>
      </c>
      <c r="R853" s="13">
        <f t="shared" si="108"/>
        <v>7.9799074074035161</v>
      </c>
      <c r="S853" s="13">
        <f t="shared" si="109"/>
        <v>9.1898148148175096</v>
      </c>
      <c r="T853" t="str">
        <f t="shared" si="110"/>
        <v>On Time/Early</v>
      </c>
      <c r="U853" t="str">
        <f t="shared" si="111"/>
        <v>Normal</v>
      </c>
      <c r="V853" t="s">
        <v>102</v>
      </c>
    </row>
    <row r="854" spans="1:22">
      <c r="A854" t="s">
        <v>1376</v>
      </c>
      <c r="B854" s="10">
        <v>43087.790196759262</v>
      </c>
      <c r="C854" s="10">
        <v>43087.855115740742</v>
      </c>
      <c r="D854" s="10">
        <v>43088.73746527778</v>
      </c>
      <c r="E854" s="10">
        <v>43098.818692129629</v>
      </c>
      <c r="F854" s="10">
        <v>43117</v>
      </c>
      <c r="G854" t="s">
        <v>16</v>
      </c>
      <c r="H854" t="s">
        <v>389</v>
      </c>
      <c r="I854" t="s">
        <v>221</v>
      </c>
      <c r="J854" s="11">
        <v>1</v>
      </c>
      <c r="K854" s="12">
        <v>189.9</v>
      </c>
      <c r="L854" s="12">
        <v>15.08</v>
      </c>
      <c r="M854" s="13">
        <v>5</v>
      </c>
      <c r="N854" s="13">
        <f t="shared" si="104"/>
        <v>11.028495370366727</v>
      </c>
      <c r="O854" s="13">
        <f t="shared" si="105"/>
        <v>0</v>
      </c>
      <c r="P854" t="str">
        <f t="shared" si="106"/>
        <v>On Time</v>
      </c>
      <c r="Q854" s="13">
        <f t="shared" si="107"/>
        <v>1.5580555555061437</v>
      </c>
      <c r="R854" s="13">
        <f t="shared" si="108"/>
        <v>0.88234953703795327</v>
      </c>
      <c r="S854" s="13">
        <f t="shared" si="109"/>
        <v>10.081226851849351</v>
      </c>
      <c r="T854" t="str">
        <f t="shared" si="110"/>
        <v>On Time/Early</v>
      </c>
      <c r="U854" t="str">
        <f t="shared" si="111"/>
        <v>Normal</v>
      </c>
      <c r="V854" t="s">
        <v>102</v>
      </c>
    </row>
    <row r="855" spans="1:22">
      <c r="A855" t="s">
        <v>1377</v>
      </c>
      <c r="B855" s="10">
        <v>43088.405486111114</v>
      </c>
      <c r="C855" s="10">
        <v>43088.453726851854</v>
      </c>
      <c r="D855" s="10">
        <v>43089.700902777775</v>
      </c>
      <c r="E855" s="10">
        <v>43090.599259259259</v>
      </c>
      <c r="F855" s="10">
        <v>43108</v>
      </c>
      <c r="G855" t="s">
        <v>8</v>
      </c>
      <c r="H855" t="s">
        <v>1264</v>
      </c>
      <c r="I855" t="s">
        <v>112</v>
      </c>
      <c r="J855" s="11">
        <v>1</v>
      </c>
      <c r="K855" s="12">
        <v>49.99</v>
      </c>
      <c r="L855" s="12">
        <v>11.73</v>
      </c>
      <c r="M855" s="13">
        <v>5</v>
      </c>
      <c r="N855" s="13">
        <f t="shared" si="104"/>
        <v>2.1937731481448282</v>
      </c>
      <c r="O855" s="13">
        <f t="shared" si="105"/>
        <v>0</v>
      </c>
      <c r="P855" t="str">
        <f t="shared" si="106"/>
        <v>On Time</v>
      </c>
      <c r="Q855" s="13">
        <f t="shared" si="107"/>
        <v>1.1577777777565643</v>
      </c>
      <c r="R855" s="13">
        <f t="shared" si="108"/>
        <v>1.247175925920601</v>
      </c>
      <c r="S855" s="13">
        <f t="shared" si="109"/>
        <v>0.89835648148437031</v>
      </c>
      <c r="T855" t="str">
        <f t="shared" si="110"/>
        <v>On Time/Early</v>
      </c>
      <c r="U855" t="str">
        <f t="shared" si="111"/>
        <v>Normal</v>
      </c>
      <c r="V855" t="s">
        <v>102</v>
      </c>
    </row>
    <row r="856" spans="1:22">
      <c r="A856" t="s">
        <v>1378</v>
      </c>
      <c r="B856" s="10">
        <v>43088.454201388886</v>
      </c>
      <c r="C856" s="10">
        <v>43088.467650462961</v>
      </c>
      <c r="D856" s="10">
        <v>43088.927986111114</v>
      </c>
      <c r="E856" s="10">
        <v>43108.921979166669</v>
      </c>
      <c r="F856" s="10">
        <v>43132</v>
      </c>
      <c r="G856" t="s">
        <v>57</v>
      </c>
      <c r="H856" t="s">
        <v>1379</v>
      </c>
      <c r="I856" t="s">
        <v>279</v>
      </c>
      <c r="J856" s="11">
        <v>1</v>
      </c>
      <c r="K856" s="12">
        <v>35</v>
      </c>
      <c r="L856" s="12">
        <v>25.63</v>
      </c>
      <c r="M856" s="13">
        <v>5</v>
      </c>
      <c r="N856" s="13">
        <f t="shared" si="104"/>
        <v>20.46777777778334</v>
      </c>
      <c r="O856" s="13">
        <f t="shared" si="105"/>
        <v>0</v>
      </c>
      <c r="P856" t="str">
        <f t="shared" si="106"/>
        <v>On Time</v>
      </c>
      <c r="Q856" s="13">
        <f t="shared" si="107"/>
        <v>0.32277777779381722</v>
      </c>
      <c r="R856" s="13">
        <f t="shared" si="108"/>
        <v>0.46033564815297723</v>
      </c>
      <c r="S856" s="13">
        <f t="shared" si="109"/>
        <v>19.99399305555562</v>
      </c>
      <c r="T856" t="str">
        <f t="shared" si="110"/>
        <v>On Time/Early</v>
      </c>
      <c r="U856" t="str">
        <f t="shared" si="111"/>
        <v>Normal</v>
      </c>
      <c r="V856" t="s">
        <v>102</v>
      </c>
    </row>
    <row r="857" spans="1:22">
      <c r="A857" t="s">
        <v>1380</v>
      </c>
      <c r="B857" s="10">
        <v>43088.543206018519</v>
      </c>
      <c r="C857" s="10">
        <v>43090.091168981482</v>
      </c>
      <c r="D857" s="10">
        <v>43090.707708333335</v>
      </c>
      <c r="E857" s="10">
        <v>43112.449259259258</v>
      </c>
      <c r="F857" s="10">
        <v>43117</v>
      </c>
      <c r="G857" t="s">
        <v>110</v>
      </c>
      <c r="H857" t="s">
        <v>1381</v>
      </c>
      <c r="I857" t="s">
        <v>123</v>
      </c>
      <c r="J857" s="11">
        <v>1</v>
      </c>
      <c r="K857" s="12">
        <v>166.99</v>
      </c>
      <c r="L857" s="12">
        <v>23.49</v>
      </c>
      <c r="M857" s="13">
        <v>4</v>
      </c>
      <c r="N857" s="13">
        <f t="shared" si="104"/>
        <v>23.906053240738402</v>
      </c>
      <c r="O857" s="13">
        <f t="shared" si="105"/>
        <v>0</v>
      </c>
      <c r="P857" t="str">
        <f t="shared" si="106"/>
        <v>On Time</v>
      </c>
      <c r="Q857" s="13">
        <f t="shared" si="107"/>
        <v>37.151111111103091</v>
      </c>
      <c r="R857" s="13">
        <f t="shared" si="108"/>
        <v>0.61653935185313458</v>
      </c>
      <c r="S857" s="13">
        <f t="shared" si="109"/>
        <v>21.741550925922638</v>
      </c>
      <c r="T857" t="str">
        <f t="shared" si="110"/>
        <v>On Time/Early</v>
      </c>
      <c r="U857" t="str">
        <f t="shared" si="111"/>
        <v>Normal</v>
      </c>
      <c r="V857" t="s">
        <v>102</v>
      </c>
    </row>
    <row r="858" spans="1:22">
      <c r="A858" t="s">
        <v>1382</v>
      </c>
      <c r="B858" s="10">
        <v>43088.544895833336</v>
      </c>
      <c r="C858" s="10">
        <v>43088.571504629632</v>
      </c>
      <c r="D858" s="10">
        <v>43090.036712962959</v>
      </c>
      <c r="E858" s="10">
        <v>43097.821423611109</v>
      </c>
      <c r="F858" s="10">
        <v>43112</v>
      </c>
      <c r="G858" t="s">
        <v>8</v>
      </c>
      <c r="H858" t="s">
        <v>1184</v>
      </c>
      <c r="I858" t="s">
        <v>128</v>
      </c>
      <c r="J858" s="11">
        <v>1</v>
      </c>
      <c r="K858" s="12">
        <v>59</v>
      </c>
      <c r="L858" s="12">
        <v>13.43</v>
      </c>
      <c r="M858" s="13">
        <v>5</v>
      </c>
      <c r="N858" s="13">
        <f t="shared" si="104"/>
        <v>9.2765277777725714</v>
      </c>
      <c r="O858" s="13">
        <f t="shared" si="105"/>
        <v>0</v>
      </c>
      <c r="P858" t="str">
        <f t="shared" si="106"/>
        <v>On Time</v>
      </c>
      <c r="Q858" s="13">
        <f t="shared" si="107"/>
        <v>0.63861111109144986</v>
      </c>
      <c r="R858" s="13">
        <f t="shared" si="108"/>
        <v>1.4652083333276096</v>
      </c>
      <c r="S858" s="13">
        <f t="shared" si="109"/>
        <v>7.7847106481494848</v>
      </c>
      <c r="T858" t="str">
        <f t="shared" si="110"/>
        <v>On Time/Early</v>
      </c>
      <c r="U858" t="str">
        <f t="shared" si="111"/>
        <v>Normal</v>
      </c>
      <c r="V858" t="s">
        <v>102</v>
      </c>
    </row>
    <row r="859" spans="1:22">
      <c r="A859" t="s">
        <v>1383</v>
      </c>
      <c r="B859" s="10">
        <v>43088.869733796295</v>
      </c>
      <c r="C859" s="10">
        <v>43088.911944444444</v>
      </c>
      <c r="D859" s="10">
        <v>43091.692627314813</v>
      </c>
      <c r="E859" s="10">
        <v>43095.83861111111</v>
      </c>
      <c r="F859" s="10">
        <v>43108</v>
      </c>
      <c r="G859" t="s">
        <v>8</v>
      </c>
      <c r="H859" t="s">
        <v>140</v>
      </c>
      <c r="I859" t="s">
        <v>185</v>
      </c>
      <c r="J859" s="11">
        <v>1</v>
      </c>
      <c r="K859" s="12">
        <v>19.899999999999999</v>
      </c>
      <c r="L859" s="12">
        <v>8.7200000000000006</v>
      </c>
      <c r="M859" s="13">
        <v>5</v>
      </c>
      <c r="N859" s="13">
        <f t="shared" si="104"/>
        <v>6.9688773148154723</v>
      </c>
      <c r="O859" s="13">
        <f t="shared" si="105"/>
        <v>0</v>
      </c>
      <c r="P859" t="str">
        <f t="shared" si="106"/>
        <v>On Time</v>
      </c>
      <c r="Q859" s="13">
        <f t="shared" si="107"/>
        <v>1.0130555555806495</v>
      </c>
      <c r="R859" s="13">
        <f t="shared" si="108"/>
        <v>2.7806828703687643</v>
      </c>
      <c r="S859" s="13">
        <f t="shared" si="109"/>
        <v>4.1459837962975143</v>
      </c>
      <c r="T859" t="str">
        <f t="shared" si="110"/>
        <v>On Time/Early</v>
      </c>
      <c r="U859" t="str">
        <f t="shared" si="111"/>
        <v>Normal</v>
      </c>
      <c r="V859" t="s">
        <v>102</v>
      </c>
    </row>
    <row r="860" spans="1:22">
      <c r="A860" t="s">
        <v>1384</v>
      </c>
      <c r="B860" s="10">
        <v>43088.871504629627</v>
      </c>
      <c r="C860" s="10">
        <v>43089.867488425924</v>
      </c>
      <c r="D860" s="10">
        <v>43090.845081018517</v>
      </c>
      <c r="E860" s="10">
        <v>43122.92701388889</v>
      </c>
      <c r="F860" s="10">
        <v>43116</v>
      </c>
      <c r="G860" t="s">
        <v>16</v>
      </c>
      <c r="H860" t="s">
        <v>1385</v>
      </c>
      <c r="I860" t="s">
        <v>136</v>
      </c>
      <c r="J860" s="11">
        <v>1</v>
      </c>
      <c r="K860" s="12">
        <v>23.8</v>
      </c>
      <c r="L860" s="12">
        <v>15.1</v>
      </c>
      <c r="M860" s="13">
        <v>4</v>
      </c>
      <c r="N860" s="13">
        <f t="shared" si="104"/>
        <v>34.05550925926218</v>
      </c>
      <c r="O860" s="13">
        <f t="shared" si="105"/>
        <v>6.9270138888896327</v>
      </c>
      <c r="P860" t="str">
        <f t="shared" si="106"/>
        <v>Delayed</v>
      </c>
      <c r="Q860" s="13">
        <f t="shared" si="107"/>
        <v>23.90361111110542</v>
      </c>
      <c r="R860" s="13">
        <f t="shared" si="108"/>
        <v>0.97759259259328246</v>
      </c>
      <c r="S860" s="13">
        <f t="shared" si="109"/>
        <v>32.081932870372839</v>
      </c>
      <c r="T860" t="str">
        <f t="shared" si="110"/>
        <v>4-7 Days Late</v>
      </c>
      <c r="U860" t="str">
        <f t="shared" si="111"/>
        <v>Needs Review</v>
      </c>
      <c r="V860" t="s">
        <v>102</v>
      </c>
    </row>
    <row r="861" spans="1:22">
      <c r="A861" t="s">
        <v>1386</v>
      </c>
      <c r="B861" s="10">
        <v>43088.978310185186</v>
      </c>
      <c r="C861" s="10">
        <v>43089.410949074074</v>
      </c>
      <c r="D861" s="10">
        <v>43090.755995370368</v>
      </c>
      <c r="E861" s="10">
        <v>43096.852951388886</v>
      </c>
      <c r="F861" s="10">
        <v>43112</v>
      </c>
      <c r="G861" t="s">
        <v>8</v>
      </c>
      <c r="H861" t="s">
        <v>1387</v>
      </c>
      <c r="I861" t="s">
        <v>235</v>
      </c>
      <c r="J861" s="11">
        <v>1</v>
      </c>
      <c r="K861" s="12">
        <v>19.899999999999999</v>
      </c>
      <c r="L861" s="12">
        <v>11.85</v>
      </c>
      <c r="M861" s="13">
        <v>5</v>
      </c>
      <c r="N861" s="13">
        <f t="shared" si="104"/>
        <v>7.8746412036998663</v>
      </c>
      <c r="O861" s="13">
        <f t="shared" si="105"/>
        <v>0</v>
      </c>
      <c r="P861" t="str">
        <f t="shared" si="106"/>
        <v>On Time</v>
      </c>
      <c r="Q861" s="13">
        <f t="shared" si="107"/>
        <v>10.383333333302289</v>
      </c>
      <c r="R861" s="13">
        <f t="shared" si="108"/>
        <v>1.3450462962937308</v>
      </c>
      <c r="S861" s="13">
        <f t="shared" si="109"/>
        <v>6.0969560185185401</v>
      </c>
      <c r="T861" t="str">
        <f t="shared" si="110"/>
        <v>On Time/Early</v>
      </c>
      <c r="U861" t="str">
        <f t="shared" si="111"/>
        <v>Normal</v>
      </c>
      <c r="V861" t="s">
        <v>102</v>
      </c>
    </row>
    <row r="862" spans="1:22">
      <c r="A862" t="s">
        <v>1388</v>
      </c>
      <c r="B862" s="10">
        <v>43089.386956018519</v>
      </c>
      <c r="C862" s="10">
        <v>43089.395856481482</v>
      </c>
      <c r="D862" s="10">
        <v>43089.967199074075</v>
      </c>
      <c r="E862" s="10">
        <v>43091.715694444443</v>
      </c>
      <c r="F862" s="10">
        <v>43116</v>
      </c>
      <c r="G862" t="s">
        <v>8</v>
      </c>
      <c r="H862" t="s">
        <v>309</v>
      </c>
      <c r="I862" t="s">
        <v>180</v>
      </c>
      <c r="J862" s="11">
        <v>1</v>
      </c>
      <c r="K862" s="12">
        <v>19.97</v>
      </c>
      <c r="L862" s="12">
        <v>14.1</v>
      </c>
      <c r="M862" s="13">
        <v>3</v>
      </c>
      <c r="N862" s="13">
        <f t="shared" si="104"/>
        <v>2.3287384259238024</v>
      </c>
      <c r="O862" s="13">
        <f t="shared" si="105"/>
        <v>0</v>
      </c>
      <c r="P862" t="str">
        <f t="shared" si="106"/>
        <v>On Time</v>
      </c>
      <c r="Q862" s="13">
        <f t="shared" si="107"/>
        <v>0.21361111110309139</v>
      </c>
      <c r="R862" s="13">
        <f t="shared" si="108"/>
        <v>0.57134259259328246</v>
      </c>
      <c r="S862" s="13">
        <f t="shared" si="109"/>
        <v>1.7484953703678912</v>
      </c>
      <c r="T862" t="str">
        <f t="shared" si="110"/>
        <v>On Time/Early</v>
      </c>
      <c r="U862" t="str">
        <f t="shared" si="111"/>
        <v>Normal</v>
      </c>
      <c r="V862" t="s">
        <v>102</v>
      </c>
    </row>
    <row r="863" spans="1:22">
      <c r="A863" t="s">
        <v>1389</v>
      </c>
      <c r="B863" s="10">
        <v>43089.416354166664</v>
      </c>
      <c r="C863" s="10">
        <v>43089.425300925926</v>
      </c>
      <c r="D863" s="10">
        <v>43090.54724537037</v>
      </c>
      <c r="E863" s="10">
        <v>43109.763668981483</v>
      </c>
      <c r="F863" s="10">
        <v>43119</v>
      </c>
      <c r="G863" t="s">
        <v>36</v>
      </c>
      <c r="H863" t="s">
        <v>1390</v>
      </c>
      <c r="I863" t="s">
        <v>123</v>
      </c>
      <c r="J863" s="11">
        <v>1</v>
      </c>
      <c r="K863" s="12">
        <v>166.99</v>
      </c>
      <c r="L863" s="12">
        <v>27.49</v>
      </c>
      <c r="M863" s="13">
        <v>5</v>
      </c>
      <c r="N863" s="13">
        <f t="shared" si="104"/>
        <v>20.347314814818674</v>
      </c>
      <c r="O863" s="13">
        <f t="shared" si="105"/>
        <v>0</v>
      </c>
      <c r="P863" t="str">
        <f t="shared" si="106"/>
        <v>On Time</v>
      </c>
      <c r="Q863" s="13">
        <f t="shared" si="107"/>
        <v>0.21472222229931504</v>
      </c>
      <c r="R863" s="13">
        <f t="shared" si="108"/>
        <v>1.1219444444432156</v>
      </c>
      <c r="S863" s="13">
        <f t="shared" si="109"/>
        <v>19.216423611112987</v>
      </c>
      <c r="T863" t="str">
        <f t="shared" si="110"/>
        <v>On Time/Early</v>
      </c>
      <c r="U863" t="str">
        <f t="shared" si="111"/>
        <v>Normal</v>
      </c>
      <c r="V863" t="s">
        <v>102</v>
      </c>
    </row>
    <row r="864" spans="1:22">
      <c r="A864" t="s">
        <v>1391</v>
      </c>
      <c r="B864" s="10">
        <v>43089.519201388888</v>
      </c>
      <c r="C864" s="10">
        <v>43089.543402777781</v>
      </c>
      <c r="D864" s="10">
        <v>43090.874166666668</v>
      </c>
      <c r="E864" s="10">
        <v>43091.753032407411</v>
      </c>
      <c r="F864" s="10">
        <v>43109</v>
      </c>
      <c r="G864" t="s">
        <v>8</v>
      </c>
      <c r="H864" t="s">
        <v>140</v>
      </c>
      <c r="I864" t="s">
        <v>185</v>
      </c>
      <c r="J864" s="11">
        <v>1</v>
      </c>
      <c r="K864" s="12">
        <v>69.989999999999995</v>
      </c>
      <c r="L864" s="12">
        <v>8.7200000000000006</v>
      </c>
      <c r="M864" s="13">
        <v>3</v>
      </c>
      <c r="N864" s="13">
        <f t="shared" si="104"/>
        <v>2.2338310185223236</v>
      </c>
      <c r="O864" s="13">
        <f t="shared" si="105"/>
        <v>0</v>
      </c>
      <c r="P864" t="str">
        <f t="shared" si="106"/>
        <v>On Time</v>
      </c>
      <c r="Q864" s="13">
        <f t="shared" si="107"/>
        <v>0.5808333334280178</v>
      </c>
      <c r="R864" s="13">
        <f t="shared" si="108"/>
        <v>1.3307638888873043</v>
      </c>
      <c r="S864" s="13">
        <f t="shared" si="109"/>
        <v>0.87886574074218515</v>
      </c>
      <c r="T864" t="str">
        <f t="shared" si="110"/>
        <v>On Time/Early</v>
      </c>
      <c r="U864" t="str">
        <f t="shared" si="111"/>
        <v>Normal</v>
      </c>
      <c r="V864" t="s">
        <v>102</v>
      </c>
    </row>
    <row r="865" spans="1:22">
      <c r="A865" t="s">
        <v>1392</v>
      </c>
      <c r="B865" s="10">
        <v>43089.70553240741</v>
      </c>
      <c r="C865" s="10">
        <v>43089.710648148146</v>
      </c>
      <c r="D865" s="10">
        <v>43091.782916666663</v>
      </c>
      <c r="E865" s="10">
        <v>43096.734502314815</v>
      </c>
      <c r="F865" s="10">
        <v>43115</v>
      </c>
      <c r="G865" t="s">
        <v>8</v>
      </c>
      <c r="H865" t="s">
        <v>140</v>
      </c>
      <c r="I865" t="s">
        <v>101</v>
      </c>
      <c r="J865" s="11">
        <v>1</v>
      </c>
      <c r="K865" s="12">
        <v>17.899999999999999</v>
      </c>
      <c r="L865" s="12">
        <v>11.85</v>
      </c>
      <c r="M865" s="13">
        <v>5</v>
      </c>
      <c r="N865" s="13">
        <f t="shared" si="104"/>
        <v>7.0289699074055534</v>
      </c>
      <c r="O865" s="13">
        <f t="shared" si="105"/>
        <v>0</v>
      </c>
      <c r="P865" t="str">
        <f t="shared" si="106"/>
        <v>On Time</v>
      </c>
      <c r="Q865" s="13">
        <f t="shared" si="107"/>
        <v>0.12277777766576037</v>
      </c>
      <c r="R865" s="13">
        <f t="shared" si="108"/>
        <v>2.0722685185173759</v>
      </c>
      <c r="S865" s="13">
        <f t="shared" si="109"/>
        <v>4.9515856481521041</v>
      </c>
      <c r="T865" t="str">
        <f t="shared" si="110"/>
        <v>On Time/Early</v>
      </c>
      <c r="U865" t="str">
        <f t="shared" si="111"/>
        <v>Normal</v>
      </c>
      <c r="V865" t="s">
        <v>102</v>
      </c>
    </row>
    <row r="866" spans="1:22">
      <c r="A866" t="s">
        <v>1393</v>
      </c>
      <c r="B866" s="10">
        <v>43089.804618055554</v>
      </c>
      <c r="C866" s="10">
        <v>43089.812893518516</v>
      </c>
      <c r="D866" s="10">
        <v>43091.790960648148</v>
      </c>
      <c r="E866" s="10">
        <v>43096.78802083333</v>
      </c>
      <c r="F866" s="10">
        <v>43116</v>
      </c>
      <c r="G866" t="s">
        <v>20</v>
      </c>
      <c r="H866" t="s">
        <v>104</v>
      </c>
      <c r="I866" t="s">
        <v>149</v>
      </c>
      <c r="J866" s="11">
        <v>1</v>
      </c>
      <c r="K866" s="12">
        <v>122.99</v>
      </c>
      <c r="L866" s="12">
        <v>14.61</v>
      </c>
      <c r="M866" s="13">
        <v>4</v>
      </c>
      <c r="N866" s="13">
        <f t="shared" si="104"/>
        <v>6.9834027777760639</v>
      </c>
      <c r="O866" s="13">
        <f t="shared" si="105"/>
        <v>0</v>
      </c>
      <c r="P866" t="str">
        <f t="shared" si="106"/>
        <v>On Time</v>
      </c>
      <c r="Q866" s="13">
        <f t="shared" si="107"/>
        <v>0.19861111108912155</v>
      </c>
      <c r="R866" s="13">
        <f t="shared" si="108"/>
        <v>1.9780671296321088</v>
      </c>
      <c r="S866" s="13">
        <f t="shared" si="109"/>
        <v>4.9970601851819083</v>
      </c>
      <c r="T866" t="str">
        <f t="shared" si="110"/>
        <v>On Time/Early</v>
      </c>
      <c r="U866" t="str">
        <f t="shared" si="111"/>
        <v>Normal</v>
      </c>
      <c r="V866" t="s">
        <v>102</v>
      </c>
    </row>
    <row r="867" spans="1:22">
      <c r="A867" t="s">
        <v>1394</v>
      </c>
      <c r="B867" s="10">
        <v>43090.804664351854</v>
      </c>
      <c r="C867" s="10">
        <v>43092.092002314814</v>
      </c>
      <c r="D867" s="10">
        <v>43098.005115740743</v>
      </c>
      <c r="E867" s="10">
        <v>43110.013738425929</v>
      </c>
      <c r="F867" s="10">
        <v>43122</v>
      </c>
      <c r="G867" t="s">
        <v>8</v>
      </c>
      <c r="H867" t="s">
        <v>140</v>
      </c>
      <c r="I867" t="s">
        <v>180</v>
      </c>
      <c r="J867" s="11">
        <v>1</v>
      </c>
      <c r="K867" s="12">
        <v>39.99</v>
      </c>
      <c r="L867" s="12">
        <v>11.85</v>
      </c>
      <c r="M867" s="13">
        <v>5</v>
      </c>
      <c r="N867" s="13">
        <f t="shared" si="104"/>
        <v>19.209074074075033</v>
      </c>
      <c r="O867" s="13">
        <f t="shared" si="105"/>
        <v>0</v>
      </c>
      <c r="P867" t="str">
        <f t="shared" si="106"/>
        <v>On Time</v>
      </c>
      <c r="Q867" s="13">
        <f t="shared" si="107"/>
        <v>30.896111111040227</v>
      </c>
      <c r="R867" s="13">
        <f t="shared" si="108"/>
        <v>5.9131134259296232</v>
      </c>
      <c r="S867" s="13">
        <f t="shared" si="109"/>
        <v>12.008622685185401</v>
      </c>
      <c r="T867" t="str">
        <f t="shared" si="110"/>
        <v>On Time/Early</v>
      </c>
      <c r="U867" t="str">
        <f t="shared" si="111"/>
        <v>Normal</v>
      </c>
      <c r="V867" t="s">
        <v>102</v>
      </c>
    </row>
    <row r="868" spans="1:22">
      <c r="A868" t="s">
        <v>1395</v>
      </c>
      <c r="B868" s="10">
        <v>43090.959305555552</v>
      </c>
      <c r="C868" s="10">
        <v>43091.688402777778</v>
      </c>
      <c r="D868" s="10">
        <v>43096.748773148145</v>
      </c>
      <c r="E868" s="10">
        <v>43110.971956018519</v>
      </c>
      <c r="F868" s="10">
        <v>43123</v>
      </c>
      <c r="G868" t="s">
        <v>16</v>
      </c>
      <c r="H868" t="s">
        <v>506</v>
      </c>
      <c r="I868" t="s">
        <v>128</v>
      </c>
      <c r="J868" s="11">
        <v>1</v>
      </c>
      <c r="K868" s="12">
        <v>89.99</v>
      </c>
      <c r="L868" s="12">
        <v>45.09</v>
      </c>
      <c r="M868" s="13">
        <v>5</v>
      </c>
      <c r="N868" s="13">
        <f t="shared" si="104"/>
        <v>20.012650462966121</v>
      </c>
      <c r="O868" s="13">
        <f t="shared" si="105"/>
        <v>0</v>
      </c>
      <c r="P868" t="str">
        <f t="shared" si="106"/>
        <v>On Time</v>
      </c>
      <c r="Q868" s="13">
        <f t="shared" si="107"/>
        <v>17.498333333409391</v>
      </c>
      <c r="R868" s="13">
        <f t="shared" si="108"/>
        <v>5.0603703703673091</v>
      </c>
      <c r="S868" s="13">
        <f t="shared" si="109"/>
        <v>14.223182870373421</v>
      </c>
      <c r="T868" t="str">
        <f t="shared" si="110"/>
        <v>On Time/Early</v>
      </c>
      <c r="U868" t="str">
        <f t="shared" si="111"/>
        <v>Normal</v>
      </c>
      <c r="V868" t="s">
        <v>102</v>
      </c>
    </row>
    <row r="869" spans="1:22">
      <c r="A869" t="s">
        <v>1396</v>
      </c>
      <c r="B869" s="10">
        <v>43091.025856481479</v>
      </c>
      <c r="C869" s="10">
        <v>43091.034560185188</v>
      </c>
      <c r="D869" s="10">
        <v>43091.812557870369</v>
      </c>
      <c r="E869" s="10">
        <v>43095.652268518519</v>
      </c>
      <c r="F869" s="10">
        <v>43115</v>
      </c>
      <c r="G869" t="s">
        <v>8</v>
      </c>
      <c r="H869" t="s">
        <v>171</v>
      </c>
      <c r="I869" t="s">
        <v>101</v>
      </c>
      <c r="J869" s="11">
        <v>1</v>
      </c>
      <c r="K869" s="12">
        <v>75</v>
      </c>
      <c r="L869" s="12">
        <v>13.08</v>
      </c>
      <c r="M869" s="13">
        <v>5</v>
      </c>
      <c r="N869" s="13">
        <f t="shared" si="104"/>
        <v>4.6264120370396995</v>
      </c>
      <c r="O869" s="13">
        <f t="shared" si="105"/>
        <v>0</v>
      </c>
      <c r="P869" t="str">
        <f t="shared" si="106"/>
        <v>On Time</v>
      </c>
      <c r="Q869" s="13">
        <f t="shared" si="107"/>
        <v>0.20888888899935409</v>
      </c>
      <c r="R869" s="13">
        <f t="shared" si="108"/>
        <v>0.77799768518161727</v>
      </c>
      <c r="S869" s="13">
        <f t="shared" si="109"/>
        <v>3.8397106481497758</v>
      </c>
      <c r="T869" t="str">
        <f t="shared" si="110"/>
        <v>On Time/Early</v>
      </c>
      <c r="U869" t="str">
        <f t="shared" si="111"/>
        <v>Normal</v>
      </c>
      <c r="V869" t="s">
        <v>102</v>
      </c>
    </row>
    <row r="870" spans="1:22">
      <c r="A870" t="s">
        <v>1397</v>
      </c>
      <c r="B870" s="10">
        <v>43091.373055555552</v>
      </c>
      <c r="C870" s="10">
        <v>43092.092129629629</v>
      </c>
      <c r="D870" s="10">
        <v>43096.836851851855</v>
      </c>
      <c r="E870" s="10">
        <v>43104.888402777775</v>
      </c>
      <c r="F870" s="10">
        <v>43122</v>
      </c>
      <c r="G870" t="s">
        <v>20</v>
      </c>
      <c r="H870" t="s">
        <v>530</v>
      </c>
      <c r="I870" t="s">
        <v>118</v>
      </c>
      <c r="J870" s="11">
        <v>1</v>
      </c>
      <c r="K870" s="12">
        <v>35</v>
      </c>
      <c r="L870" s="12">
        <v>15.1</v>
      </c>
      <c r="M870" s="13">
        <v>5</v>
      </c>
      <c r="N870" s="13">
        <f t="shared" si="104"/>
        <v>13.515347222222772</v>
      </c>
      <c r="O870" s="13">
        <f t="shared" si="105"/>
        <v>0</v>
      </c>
      <c r="P870" t="str">
        <f t="shared" si="106"/>
        <v>On Time</v>
      </c>
      <c r="Q870" s="13">
        <f t="shared" si="107"/>
        <v>17.257777777849697</v>
      </c>
      <c r="R870" s="13">
        <f t="shared" si="108"/>
        <v>4.7447222222253913</v>
      </c>
      <c r="S870" s="13">
        <f t="shared" si="109"/>
        <v>8.05155092592031</v>
      </c>
      <c r="T870" t="str">
        <f t="shared" si="110"/>
        <v>On Time/Early</v>
      </c>
      <c r="U870" t="str">
        <f t="shared" si="111"/>
        <v>Normal</v>
      </c>
      <c r="V870" t="s">
        <v>102</v>
      </c>
    </row>
    <row r="871" spans="1:22">
      <c r="A871" t="s">
        <v>1398</v>
      </c>
      <c r="B871" s="10">
        <v>43091.734699074077</v>
      </c>
      <c r="C871" s="10">
        <v>43091.743136574078</v>
      </c>
      <c r="D871" s="10">
        <v>43095.776145833333</v>
      </c>
      <c r="E871" s="10">
        <v>43104.941076388888</v>
      </c>
      <c r="F871" s="10">
        <v>43126</v>
      </c>
      <c r="G871" t="s">
        <v>20</v>
      </c>
      <c r="H871" t="s">
        <v>1399</v>
      </c>
      <c r="I871" t="s">
        <v>368</v>
      </c>
      <c r="J871" s="11">
        <v>1</v>
      </c>
      <c r="K871" s="12">
        <v>79</v>
      </c>
      <c r="L871" s="12">
        <v>17.8</v>
      </c>
      <c r="M871" s="13">
        <v>5</v>
      </c>
      <c r="N871" s="13">
        <f t="shared" si="104"/>
        <v>13.206377314811107</v>
      </c>
      <c r="O871" s="13">
        <f t="shared" si="105"/>
        <v>0</v>
      </c>
      <c r="P871" t="str">
        <f t="shared" si="106"/>
        <v>On Time</v>
      </c>
      <c r="Q871" s="13">
        <f t="shared" si="107"/>
        <v>0.20250000001396984</v>
      </c>
      <c r="R871" s="13">
        <f t="shared" si="108"/>
        <v>4.0330092592557776</v>
      </c>
      <c r="S871" s="13">
        <f t="shared" si="109"/>
        <v>9.1649305555547471</v>
      </c>
      <c r="T871" t="str">
        <f t="shared" si="110"/>
        <v>On Time/Early</v>
      </c>
      <c r="U871" t="str">
        <f t="shared" si="111"/>
        <v>Normal</v>
      </c>
      <c r="V871" t="s">
        <v>102</v>
      </c>
    </row>
    <row r="872" spans="1:22">
      <c r="A872" t="s">
        <v>1400</v>
      </c>
      <c r="B872" s="10">
        <v>43092.528726851851</v>
      </c>
      <c r="C872" s="10">
        <v>43096.173437500001</v>
      </c>
      <c r="D872" s="10">
        <v>43103.716979166667</v>
      </c>
      <c r="E872" s="10">
        <v>43108.994340277779</v>
      </c>
      <c r="F872" s="10">
        <v>43119</v>
      </c>
      <c r="G872" t="s">
        <v>8</v>
      </c>
      <c r="H872" t="s">
        <v>726</v>
      </c>
      <c r="I872" t="s">
        <v>422</v>
      </c>
      <c r="J872" s="11">
        <v>1</v>
      </c>
      <c r="K872" s="12">
        <v>70</v>
      </c>
      <c r="L872" s="12">
        <v>11.99</v>
      </c>
      <c r="M872" s="13">
        <v>4</v>
      </c>
      <c r="N872" s="13">
        <f t="shared" si="104"/>
        <v>16.465613425927586</v>
      </c>
      <c r="O872" s="13">
        <f t="shared" si="105"/>
        <v>0</v>
      </c>
      <c r="P872" t="str">
        <f t="shared" si="106"/>
        <v>On Time</v>
      </c>
      <c r="Q872" s="13">
        <f t="shared" si="107"/>
        <v>87.473055555601604</v>
      </c>
      <c r="R872" s="13">
        <f t="shared" si="108"/>
        <v>7.5435416666659876</v>
      </c>
      <c r="S872" s="13">
        <f t="shared" si="109"/>
        <v>5.2773611111115315</v>
      </c>
      <c r="T872" t="str">
        <f t="shared" si="110"/>
        <v>On Time/Early</v>
      </c>
      <c r="U872" t="str">
        <f t="shared" si="111"/>
        <v>Normal</v>
      </c>
      <c r="V872" t="s">
        <v>102</v>
      </c>
    </row>
    <row r="873" spans="1:22">
      <c r="A873" t="s">
        <v>1401</v>
      </c>
      <c r="B873" s="10">
        <v>43092.794027777774</v>
      </c>
      <c r="C873" s="10">
        <v>43092.800925925927</v>
      </c>
      <c r="D873" s="10">
        <v>43097.634699074071</v>
      </c>
      <c r="E873" s="10">
        <v>43125.92864583333</v>
      </c>
      <c r="F873" s="10">
        <v>43129</v>
      </c>
      <c r="G873" t="s">
        <v>33</v>
      </c>
      <c r="H873" t="s">
        <v>592</v>
      </c>
      <c r="I873" t="s">
        <v>180</v>
      </c>
      <c r="J873" s="11">
        <v>1</v>
      </c>
      <c r="K873" s="12">
        <v>80</v>
      </c>
      <c r="L873" s="12">
        <v>16.32</v>
      </c>
      <c r="M873" s="13">
        <v>1</v>
      </c>
      <c r="N873" s="13">
        <f t="shared" si="104"/>
        <v>33.13461805555562</v>
      </c>
      <c r="O873" s="13">
        <f t="shared" si="105"/>
        <v>0</v>
      </c>
      <c r="P873" t="str">
        <f t="shared" si="106"/>
        <v>On Time</v>
      </c>
      <c r="Q873" s="13">
        <f t="shared" si="107"/>
        <v>0.16555555566446856</v>
      </c>
      <c r="R873" s="13">
        <f t="shared" si="108"/>
        <v>4.8337731481442461</v>
      </c>
      <c r="S873" s="13">
        <f t="shared" si="109"/>
        <v>28.293946759258688</v>
      </c>
      <c r="T873" t="str">
        <f t="shared" si="110"/>
        <v>On Time/Early</v>
      </c>
      <c r="U873" t="str">
        <f t="shared" si="111"/>
        <v>Normal</v>
      </c>
      <c r="V873" t="s">
        <v>102</v>
      </c>
    </row>
    <row r="874" spans="1:22">
      <c r="A874" t="s">
        <v>1402</v>
      </c>
      <c r="B874" s="10">
        <v>43092.798819444448</v>
      </c>
      <c r="C874" s="10">
        <v>43092.811041666668</v>
      </c>
      <c r="D874" s="10">
        <v>43095.690694444442</v>
      </c>
      <c r="E874" s="10">
        <v>43111.559699074074</v>
      </c>
      <c r="F874" s="10">
        <v>43123</v>
      </c>
      <c r="G874" t="s">
        <v>277</v>
      </c>
      <c r="H874" t="s">
        <v>335</v>
      </c>
      <c r="I874" t="s">
        <v>123</v>
      </c>
      <c r="J874" s="11">
        <v>1</v>
      </c>
      <c r="K874" s="12">
        <v>65.989999999999995</v>
      </c>
      <c r="L874" s="12">
        <v>25.01</v>
      </c>
      <c r="M874" s="13">
        <v>5</v>
      </c>
      <c r="N874" s="13">
        <f t="shared" si="104"/>
        <v>18.760879629626288</v>
      </c>
      <c r="O874" s="13">
        <f t="shared" si="105"/>
        <v>0</v>
      </c>
      <c r="P874" t="str">
        <f t="shared" si="106"/>
        <v>On Time</v>
      </c>
      <c r="Q874" s="13">
        <f t="shared" si="107"/>
        <v>0.29333333327667788</v>
      </c>
      <c r="R874" s="13">
        <f t="shared" si="108"/>
        <v>2.8796527777740266</v>
      </c>
      <c r="S874" s="13">
        <f t="shared" si="109"/>
        <v>15.8690046296324</v>
      </c>
      <c r="T874" t="str">
        <f t="shared" si="110"/>
        <v>On Time/Early</v>
      </c>
      <c r="U874" t="str">
        <f t="shared" si="111"/>
        <v>Normal</v>
      </c>
      <c r="V874" t="s">
        <v>102</v>
      </c>
    </row>
    <row r="875" spans="1:22">
      <c r="A875" t="s">
        <v>1403</v>
      </c>
      <c r="B875" s="10">
        <v>43093.178935185184</v>
      </c>
      <c r="C875" s="10">
        <v>43093.187048611115</v>
      </c>
      <c r="D875" s="10">
        <v>43102.689016203702</v>
      </c>
      <c r="E875" s="10">
        <v>43109.791261574072</v>
      </c>
      <c r="F875" s="10">
        <v>43124</v>
      </c>
      <c r="G875" t="s">
        <v>33</v>
      </c>
      <c r="H875" t="s">
        <v>1404</v>
      </c>
      <c r="I875" t="s">
        <v>101</v>
      </c>
      <c r="J875" s="11">
        <v>1</v>
      </c>
      <c r="K875" s="12">
        <v>74.900000000000006</v>
      </c>
      <c r="L875" s="12">
        <v>16.28</v>
      </c>
      <c r="M875" s="13">
        <v>4</v>
      </c>
      <c r="N875" s="13">
        <f t="shared" si="104"/>
        <v>16.612326388887595</v>
      </c>
      <c r="O875" s="13">
        <f t="shared" si="105"/>
        <v>0</v>
      </c>
      <c r="P875" t="str">
        <f t="shared" si="106"/>
        <v>On Time</v>
      </c>
      <c r="Q875" s="13">
        <f t="shared" si="107"/>
        <v>0.19472222233889624</v>
      </c>
      <c r="R875" s="13">
        <f t="shared" si="108"/>
        <v>9.5019675925868796</v>
      </c>
      <c r="S875" s="13">
        <f t="shared" si="109"/>
        <v>7.1022453703699284</v>
      </c>
      <c r="T875" t="str">
        <f t="shared" si="110"/>
        <v>On Time/Early</v>
      </c>
      <c r="U875" t="str">
        <f t="shared" si="111"/>
        <v>Normal</v>
      </c>
      <c r="V875" t="s">
        <v>102</v>
      </c>
    </row>
    <row r="876" spans="1:22">
      <c r="A876" t="s">
        <v>1405</v>
      </c>
      <c r="B876" s="10">
        <v>43094.4450462963</v>
      </c>
      <c r="C876" s="10">
        <v>43096.188969907409</v>
      </c>
      <c r="D876" s="10">
        <v>43097.831423611111</v>
      </c>
      <c r="E876" s="10">
        <v>43098.890682870369</v>
      </c>
      <c r="F876" s="10">
        <v>43115</v>
      </c>
      <c r="G876" t="s">
        <v>8</v>
      </c>
      <c r="H876" t="s">
        <v>140</v>
      </c>
      <c r="I876" t="s">
        <v>136</v>
      </c>
      <c r="J876" s="11">
        <v>1</v>
      </c>
      <c r="K876" s="12">
        <v>45.9</v>
      </c>
      <c r="L876" s="12">
        <v>7.78</v>
      </c>
      <c r="M876" s="13">
        <v>5</v>
      </c>
      <c r="N876" s="13">
        <f t="shared" si="104"/>
        <v>4.4456365740697947</v>
      </c>
      <c r="O876" s="13">
        <f t="shared" si="105"/>
        <v>0</v>
      </c>
      <c r="P876" t="str">
        <f t="shared" si="106"/>
        <v>On Time</v>
      </c>
      <c r="Q876" s="13">
        <f t="shared" si="107"/>
        <v>41.854166666627862</v>
      </c>
      <c r="R876" s="13">
        <f t="shared" si="108"/>
        <v>1.6424537037019036</v>
      </c>
      <c r="S876" s="13">
        <f t="shared" si="109"/>
        <v>1.0592592592583969</v>
      </c>
      <c r="T876" t="str">
        <f t="shared" si="110"/>
        <v>On Time/Early</v>
      </c>
      <c r="U876" t="str">
        <f t="shared" si="111"/>
        <v>Normal</v>
      </c>
      <c r="V876" t="s">
        <v>102</v>
      </c>
    </row>
    <row r="877" spans="1:22">
      <c r="A877" t="s">
        <v>1406</v>
      </c>
      <c r="B877" s="10">
        <v>43094.740428240744</v>
      </c>
      <c r="C877" s="10">
        <v>43094.746053240742</v>
      </c>
      <c r="D877" s="10">
        <v>43096.581377314818</v>
      </c>
      <c r="E877" s="10">
        <v>43103.592662037037</v>
      </c>
      <c r="F877" s="10">
        <v>43119</v>
      </c>
      <c r="G877" t="s">
        <v>8</v>
      </c>
      <c r="H877" t="s">
        <v>649</v>
      </c>
      <c r="I877" t="s">
        <v>180</v>
      </c>
      <c r="J877" s="11">
        <v>1</v>
      </c>
      <c r="K877" s="12">
        <v>73</v>
      </c>
      <c r="L877" s="12">
        <v>13.53</v>
      </c>
      <c r="M877" s="13">
        <v>5</v>
      </c>
      <c r="N877" s="13">
        <f t="shared" si="104"/>
        <v>8.8522337962931488</v>
      </c>
      <c r="O877" s="13">
        <f t="shared" si="105"/>
        <v>0</v>
      </c>
      <c r="P877" t="str">
        <f t="shared" si="106"/>
        <v>On Time</v>
      </c>
      <c r="Q877" s="13">
        <f t="shared" si="107"/>
        <v>0.13499999995110556</v>
      </c>
      <c r="R877" s="13">
        <f t="shared" si="108"/>
        <v>1.8353240740761976</v>
      </c>
      <c r="S877" s="13">
        <f t="shared" si="109"/>
        <v>7.0112847222189885</v>
      </c>
      <c r="T877" t="str">
        <f t="shared" si="110"/>
        <v>On Time/Early</v>
      </c>
      <c r="U877" t="str">
        <f t="shared" si="111"/>
        <v>Normal</v>
      </c>
      <c r="V877" t="s">
        <v>102</v>
      </c>
    </row>
    <row r="878" spans="1:22">
      <c r="A878" t="s">
        <v>1407</v>
      </c>
      <c r="B878" s="10">
        <v>43094.930069444446</v>
      </c>
      <c r="C878" s="10">
        <v>43094.937719907408</v>
      </c>
      <c r="D878" s="10">
        <v>43096.924039351848</v>
      </c>
      <c r="E878" s="10">
        <v>43105.516064814816</v>
      </c>
      <c r="F878" s="10">
        <v>43123</v>
      </c>
      <c r="G878" t="s">
        <v>20</v>
      </c>
      <c r="H878" t="s">
        <v>1408</v>
      </c>
      <c r="I878" t="s">
        <v>141</v>
      </c>
      <c r="J878" s="11">
        <v>1</v>
      </c>
      <c r="K878" s="12">
        <v>262.5</v>
      </c>
      <c r="L878" s="12">
        <v>115.49</v>
      </c>
      <c r="M878" s="13">
        <v>4</v>
      </c>
      <c r="N878" s="13">
        <f t="shared" si="104"/>
        <v>10.585995370369346</v>
      </c>
      <c r="O878" s="13">
        <f t="shared" si="105"/>
        <v>0</v>
      </c>
      <c r="P878" t="str">
        <f t="shared" si="106"/>
        <v>On Time</v>
      </c>
      <c r="Q878" s="13">
        <f t="shared" si="107"/>
        <v>0.18361111107515171</v>
      </c>
      <c r="R878" s="13">
        <f t="shared" si="108"/>
        <v>1.9863194444405963</v>
      </c>
      <c r="S878" s="13">
        <f t="shared" si="109"/>
        <v>8.5920254629672854</v>
      </c>
      <c r="T878" t="str">
        <f t="shared" si="110"/>
        <v>On Time/Early</v>
      </c>
      <c r="U878" t="str">
        <f t="shared" si="111"/>
        <v>Normal</v>
      </c>
      <c r="V878" t="s">
        <v>102</v>
      </c>
    </row>
    <row r="879" spans="1:22">
      <c r="A879" t="s">
        <v>1409</v>
      </c>
      <c r="B879" s="10">
        <v>43095.434016203704</v>
      </c>
      <c r="C879" s="10">
        <v>43095.442002314812</v>
      </c>
      <c r="D879" s="10">
        <v>43096.821145833332</v>
      </c>
      <c r="E879" s="10">
        <v>43104.893865740742</v>
      </c>
      <c r="F879" s="10">
        <v>43124</v>
      </c>
      <c r="G879" t="s">
        <v>30</v>
      </c>
      <c r="H879" t="s">
        <v>100</v>
      </c>
      <c r="I879" t="s">
        <v>31</v>
      </c>
      <c r="J879" s="11">
        <v>1</v>
      </c>
      <c r="K879" s="12">
        <v>18.899999999999999</v>
      </c>
      <c r="L879" s="12">
        <v>15.1</v>
      </c>
      <c r="M879" s="13">
        <v>4</v>
      </c>
      <c r="N879" s="13">
        <f t="shared" si="104"/>
        <v>9.4598495370373712</v>
      </c>
      <c r="O879" s="13">
        <f t="shared" si="105"/>
        <v>0</v>
      </c>
      <c r="P879" t="str">
        <f t="shared" si="106"/>
        <v>On Time</v>
      </c>
      <c r="Q879" s="13">
        <f t="shared" si="107"/>
        <v>0.19166666659293696</v>
      </c>
      <c r="R879" s="13">
        <f t="shared" si="108"/>
        <v>1.3791435185194132</v>
      </c>
      <c r="S879" s="13">
        <f t="shared" si="109"/>
        <v>8.072719907409919</v>
      </c>
      <c r="T879" t="str">
        <f t="shared" si="110"/>
        <v>On Time/Early</v>
      </c>
      <c r="U879" t="str">
        <f t="shared" si="111"/>
        <v>Normal</v>
      </c>
      <c r="V879" t="s">
        <v>102</v>
      </c>
    </row>
    <row r="880" spans="1:22">
      <c r="A880" t="s">
        <v>1410</v>
      </c>
      <c r="B880" s="10">
        <v>43095.507951388892</v>
      </c>
      <c r="C880" s="10">
        <v>43096.171550925923</v>
      </c>
      <c r="D880" s="10">
        <v>43096.90221064815</v>
      </c>
      <c r="E880" s="10">
        <v>43112.960300925923</v>
      </c>
      <c r="F880" s="10">
        <v>43131</v>
      </c>
      <c r="G880" t="s">
        <v>134</v>
      </c>
      <c r="H880" t="s">
        <v>1411</v>
      </c>
      <c r="I880" t="s">
        <v>58</v>
      </c>
      <c r="J880" s="11">
        <v>1</v>
      </c>
      <c r="K880" s="12">
        <v>29.9</v>
      </c>
      <c r="L880" s="12">
        <v>16.79</v>
      </c>
      <c r="M880" s="13">
        <v>5</v>
      </c>
      <c r="N880" s="13">
        <f t="shared" si="104"/>
        <v>17.452349537030386</v>
      </c>
      <c r="O880" s="13">
        <f t="shared" si="105"/>
        <v>0</v>
      </c>
      <c r="P880" t="str">
        <f t="shared" si="106"/>
        <v>On Time</v>
      </c>
      <c r="Q880" s="13">
        <f t="shared" si="107"/>
        <v>15.926388888736255</v>
      </c>
      <c r="R880" s="13">
        <f t="shared" si="108"/>
        <v>0.7306597222268465</v>
      </c>
      <c r="S880" s="13">
        <f t="shared" si="109"/>
        <v>16.058090277772862</v>
      </c>
      <c r="T880" t="str">
        <f t="shared" si="110"/>
        <v>On Time/Early</v>
      </c>
      <c r="U880" t="str">
        <f t="shared" si="111"/>
        <v>Normal</v>
      </c>
      <c r="V880" t="s">
        <v>102</v>
      </c>
    </row>
    <row r="881" spans="1:22">
      <c r="A881" t="s">
        <v>1412</v>
      </c>
      <c r="B881" s="10">
        <v>43095.721747685187</v>
      </c>
      <c r="C881" s="10">
        <v>43096.175370370373</v>
      </c>
      <c r="D881" s="10">
        <v>43097.490127314813</v>
      </c>
      <c r="E881" s="10">
        <v>43109.804618055554</v>
      </c>
      <c r="F881" s="10">
        <v>43122</v>
      </c>
      <c r="G881" t="s">
        <v>20</v>
      </c>
      <c r="H881" t="s">
        <v>1413</v>
      </c>
      <c r="I881" t="s">
        <v>120</v>
      </c>
      <c r="J881" s="11">
        <v>1</v>
      </c>
      <c r="K881" s="12">
        <v>149.99</v>
      </c>
      <c r="L881" s="12">
        <v>23.85</v>
      </c>
      <c r="M881" s="13">
        <v>5</v>
      </c>
      <c r="N881" s="13">
        <f t="shared" si="104"/>
        <v>14.082870370366436</v>
      </c>
      <c r="O881" s="13">
        <f t="shared" si="105"/>
        <v>0</v>
      </c>
      <c r="P881" t="str">
        <f t="shared" si="106"/>
        <v>On Time</v>
      </c>
      <c r="Q881" s="13">
        <f t="shared" si="107"/>
        <v>10.886944444442634</v>
      </c>
      <c r="R881" s="13">
        <f t="shared" si="108"/>
        <v>1.3147569444408873</v>
      </c>
      <c r="S881" s="13">
        <f t="shared" si="109"/>
        <v>12.314490740740439</v>
      </c>
      <c r="T881" t="str">
        <f t="shared" si="110"/>
        <v>On Time/Early</v>
      </c>
      <c r="U881" t="str">
        <f t="shared" si="111"/>
        <v>Normal</v>
      </c>
      <c r="V881" t="s">
        <v>102</v>
      </c>
    </row>
    <row r="882" spans="1:22">
      <c r="A882" t="s">
        <v>1414</v>
      </c>
      <c r="B882" s="10">
        <v>43096.296516203707</v>
      </c>
      <c r="C882" s="10">
        <v>43097.297060185185</v>
      </c>
      <c r="D882" s="10">
        <v>43102.790289351855</v>
      </c>
      <c r="E882" s="10">
        <v>43108.83761574074</v>
      </c>
      <c r="F882" s="10">
        <v>43122</v>
      </c>
      <c r="G882" t="s">
        <v>8</v>
      </c>
      <c r="H882" t="s">
        <v>455</v>
      </c>
      <c r="I882" t="s">
        <v>128</v>
      </c>
      <c r="J882" s="11">
        <v>1</v>
      </c>
      <c r="K882" s="12">
        <v>49.9</v>
      </c>
      <c r="L882" s="12">
        <v>13.43</v>
      </c>
      <c r="M882" s="13">
        <v>4</v>
      </c>
      <c r="N882" s="13">
        <f t="shared" si="104"/>
        <v>12.541099537033006</v>
      </c>
      <c r="O882" s="13">
        <f t="shared" si="105"/>
        <v>0</v>
      </c>
      <c r="P882" t="str">
        <f t="shared" si="106"/>
        <v>On Time</v>
      </c>
      <c r="Q882" s="13">
        <f t="shared" si="107"/>
        <v>24.013055555464234</v>
      </c>
      <c r="R882" s="13">
        <f t="shared" si="108"/>
        <v>5.4932291666700621</v>
      </c>
      <c r="S882" s="13">
        <f t="shared" si="109"/>
        <v>6.0473263888852671</v>
      </c>
      <c r="T882" t="str">
        <f t="shared" si="110"/>
        <v>On Time/Early</v>
      </c>
      <c r="U882" t="str">
        <f t="shared" si="111"/>
        <v>Normal</v>
      </c>
      <c r="V882" t="s">
        <v>102</v>
      </c>
    </row>
    <row r="883" spans="1:22">
      <c r="A883" t="s">
        <v>1415</v>
      </c>
      <c r="B883" s="10">
        <v>43096.431956018518</v>
      </c>
      <c r="C883" s="10">
        <v>43098.089398148149</v>
      </c>
      <c r="D883" s="10">
        <v>43102.739247685182</v>
      </c>
      <c r="E883" s="10">
        <v>43123.714861111112</v>
      </c>
      <c r="F883" s="10">
        <v>43130</v>
      </c>
      <c r="G883" t="s">
        <v>30</v>
      </c>
      <c r="H883" t="s">
        <v>365</v>
      </c>
      <c r="I883" t="s">
        <v>120</v>
      </c>
      <c r="J883" s="11">
        <v>1</v>
      </c>
      <c r="K883" s="12">
        <v>38.9</v>
      </c>
      <c r="L883" s="12">
        <v>14.1</v>
      </c>
      <c r="M883" s="13">
        <v>5</v>
      </c>
      <c r="N883" s="13">
        <f t="shared" si="104"/>
        <v>27.282905092593865</v>
      </c>
      <c r="O883" s="13">
        <f t="shared" si="105"/>
        <v>0</v>
      </c>
      <c r="P883" t="str">
        <f t="shared" si="106"/>
        <v>On Time</v>
      </c>
      <c r="Q883" s="13">
        <f t="shared" si="107"/>
        <v>39.778611111163627</v>
      </c>
      <c r="R883" s="13">
        <f t="shared" si="108"/>
        <v>4.6498495370324235</v>
      </c>
      <c r="S883" s="13">
        <f t="shared" si="109"/>
        <v>20.975613425929623</v>
      </c>
      <c r="T883" t="str">
        <f t="shared" si="110"/>
        <v>On Time/Early</v>
      </c>
      <c r="U883" t="str">
        <f t="shared" si="111"/>
        <v>Normal</v>
      </c>
      <c r="V883" t="s">
        <v>102</v>
      </c>
    </row>
    <row r="884" spans="1:22">
      <c r="A884" t="s">
        <v>1416</v>
      </c>
      <c r="B884" s="10">
        <v>43096.585925925923</v>
      </c>
      <c r="C884" s="10">
        <v>43096.592048611114</v>
      </c>
      <c r="D884" s="10">
        <v>43097.800462962965</v>
      </c>
      <c r="E884" s="10">
        <v>43098.588888888888</v>
      </c>
      <c r="F884" s="10">
        <v>43122</v>
      </c>
      <c r="G884" t="s">
        <v>8</v>
      </c>
      <c r="H884" t="s">
        <v>620</v>
      </c>
      <c r="I884" t="s">
        <v>58</v>
      </c>
      <c r="J884" s="11">
        <v>1</v>
      </c>
      <c r="K884" s="12">
        <v>179.99</v>
      </c>
      <c r="L884" s="12">
        <v>13.6</v>
      </c>
      <c r="M884" s="13">
        <v>5</v>
      </c>
      <c r="N884" s="13">
        <f t="shared" si="104"/>
        <v>2.002962962964375</v>
      </c>
      <c r="O884" s="13">
        <f t="shared" si="105"/>
        <v>0</v>
      </c>
      <c r="P884" t="str">
        <f t="shared" si="106"/>
        <v>On Time</v>
      </c>
      <c r="Q884" s="13">
        <f t="shared" si="107"/>
        <v>0.14694444456836209</v>
      </c>
      <c r="R884" s="13">
        <f t="shared" si="108"/>
        <v>1.2084143518513883</v>
      </c>
      <c r="S884" s="13">
        <f t="shared" si="109"/>
        <v>0.78842592592263827</v>
      </c>
      <c r="T884" t="str">
        <f t="shared" si="110"/>
        <v>On Time/Early</v>
      </c>
      <c r="U884" t="str">
        <f t="shared" si="111"/>
        <v>Normal</v>
      </c>
      <c r="V884" t="s">
        <v>102</v>
      </c>
    </row>
    <row r="885" spans="1:22">
      <c r="A885" t="s">
        <v>1417</v>
      </c>
      <c r="B885" s="10">
        <v>43096.64135416667</v>
      </c>
      <c r="C885" s="10">
        <v>43096.648842592593</v>
      </c>
      <c r="D885" s="10">
        <v>43098.805115740739</v>
      </c>
      <c r="E885" s="10">
        <v>43109.032881944448</v>
      </c>
      <c r="F885" s="10">
        <v>43126</v>
      </c>
      <c r="G885" t="s">
        <v>20</v>
      </c>
      <c r="H885" t="s">
        <v>1418</v>
      </c>
      <c r="I885" t="s">
        <v>180</v>
      </c>
      <c r="J885" s="11">
        <v>2</v>
      </c>
      <c r="K885" s="12">
        <v>119.8</v>
      </c>
      <c r="L885" s="12">
        <v>32.36</v>
      </c>
      <c r="M885" s="13">
        <v>5</v>
      </c>
      <c r="N885" s="13">
        <f t="shared" si="104"/>
        <v>12.39152777777781</v>
      </c>
      <c r="O885" s="13">
        <f t="shared" si="105"/>
        <v>0</v>
      </c>
      <c r="P885" t="str">
        <f t="shared" si="106"/>
        <v>On Time</v>
      </c>
      <c r="Q885" s="13">
        <f t="shared" si="107"/>
        <v>0.17972222215030342</v>
      </c>
      <c r="R885" s="13">
        <f t="shared" si="108"/>
        <v>2.1562731481462833</v>
      </c>
      <c r="S885" s="13">
        <f t="shared" si="109"/>
        <v>10.227766203708597</v>
      </c>
      <c r="T885" t="str">
        <f t="shared" si="110"/>
        <v>On Time/Early</v>
      </c>
      <c r="U885" t="str">
        <f t="shared" si="111"/>
        <v>Normal</v>
      </c>
      <c r="V885" t="s">
        <v>102</v>
      </c>
    </row>
    <row r="886" spans="1:22">
      <c r="A886" t="s">
        <v>1419</v>
      </c>
      <c r="B886" s="10">
        <v>43096.825046296297</v>
      </c>
      <c r="C886" s="10">
        <v>43096.832916666666</v>
      </c>
      <c r="D886" s="10">
        <v>43102.575555555559</v>
      </c>
      <c r="E886" s="10">
        <v>43106.540949074071</v>
      </c>
      <c r="F886" s="10">
        <v>43130</v>
      </c>
      <c r="G886" t="s">
        <v>36</v>
      </c>
      <c r="H886" t="s">
        <v>173</v>
      </c>
      <c r="I886" t="s">
        <v>154</v>
      </c>
      <c r="J886" s="11">
        <v>1</v>
      </c>
      <c r="K886" s="12">
        <v>30</v>
      </c>
      <c r="L886" s="12">
        <v>15.1</v>
      </c>
      <c r="M886" s="13">
        <v>5</v>
      </c>
      <c r="N886" s="13">
        <f t="shared" si="104"/>
        <v>9.7159027777743177</v>
      </c>
      <c r="O886" s="13">
        <f t="shared" si="105"/>
        <v>0</v>
      </c>
      <c r="P886" t="str">
        <f t="shared" si="106"/>
        <v>On Time</v>
      </c>
      <c r="Q886" s="13">
        <f t="shared" si="107"/>
        <v>0.18888888886431232</v>
      </c>
      <c r="R886" s="13">
        <f t="shared" si="108"/>
        <v>5.742638888892543</v>
      </c>
      <c r="S886" s="13">
        <f t="shared" si="109"/>
        <v>3.9653935185124283</v>
      </c>
      <c r="T886" t="str">
        <f t="shared" si="110"/>
        <v>On Time/Early</v>
      </c>
      <c r="U886" t="str">
        <f t="shared" si="111"/>
        <v>Normal</v>
      </c>
      <c r="V886" t="s">
        <v>102</v>
      </c>
    </row>
    <row r="887" spans="1:22">
      <c r="A887" t="s">
        <v>1420</v>
      </c>
      <c r="B887" s="10">
        <v>43097.500752314816</v>
      </c>
      <c r="C887" s="10">
        <v>43097.507245370369</v>
      </c>
      <c r="D887" s="10">
        <v>43097.805115740739</v>
      </c>
      <c r="E887" s="10">
        <v>43108.772824074076</v>
      </c>
      <c r="F887" s="10">
        <v>43123</v>
      </c>
      <c r="G887" t="s">
        <v>8</v>
      </c>
      <c r="H887" t="s">
        <v>140</v>
      </c>
      <c r="I887" t="s">
        <v>368</v>
      </c>
      <c r="J887" s="11">
        <v>1</v>
      </c>
      <c r="K887" s="12">
        <v>109</v>
      </c>
      <c r="L887" s="12">
        <v>13.78</v>
      </c>
      <c r="M887" s="13">
        <v>5</v>
      </c>
      <c r="N887" s="13">
        <f t="shared" si="104"/>
        <v>11.272071759260143</v>
      </c>
      <c r="O887" s="13">
        <f t="shared" si="105"/>
        <v>0</v>
      </c>
      <c r="P887" t="str">
        <f t="shared" si="106"/>
        <v>On Time</v>
      </c>
      <c r="Q887" s="13">
        <f t="shared" si="107"/>
        <v>0.15583333326503634</v>
      </c>
      <c r="R887" s="13">
        <f t="shared" si="108"/>
        <v>0.29787037037021946</v>
      </c>
      <c r="S887" s="13">
        <f t="shared" si="109"/>
        <v>10.967708333337214</v>
      </c>
      <c r="T887" t="str">
        <f t="shared" si="110"/>
        <v>On Time/Early</v>
      </c>
      <c r="U887" t="str">
        <f t="shared" si="111"/>
        <v>Normal</v>
      </c>
      <c r="V887" t="s">
        <v>102</v>
      </c>
    </row>
    <row r="888" spans="1:22">
      <c r="A888" t="s">
        <v>1421</v>
      </c>
      <c r="B888" s="10">
        <v>43097.61513888889</v>
      </c>
      <c r="C888" s="10">
        <v>43097.62190972222</v>
      </c>
      <c r="D888" s="10">
        <v>43103.974317129629</v>
      </c>
      <c r="E888" s="10">
        <v>43108.686597222222</v>
      </c>
      <c r="F888" s="10">
        <v>43119</v>
      </c>
      <c r="G888" t="s">
        <v>23</v>
      </c>
      <c r="H888" t="s">
        <v>275</v>
      </c>
      <c r="I888" t="s">
        <v>841</v>
      </c>
      <c r="J888" s="11">
        <v>1</v>
      </c>
      <c r="K888" s="12">
        <v>599</v>
      </c>
      <c r="L888" s="12">
        <v>27.76</v>
      </c>
      <c r="M888" s="13">
        <v>3</v>
      </c>
      <c r="N888" s="13">
        <f t="shared" si="104"/>
        <v>11.071458333331975</v>
      </c>
      <c r="O888" s="13">
        <f t="shared" si="105"/>
        <v>0</v>
      </c>
      <c r="P888" t="str">
        <f t="shared" si="106"/>
        <v>On Time</v>
      </c>
      <c r="Q888" s="13">
        <f t="shared" si="107"/>
        <v>0.16249999991850927</v>
      </c>
      <c r="R888" s="13">
        <f t="shared" si="108"/>
        <v>6.3524074074084638</v>
      </c>
      <c r="S888" s="13">
        <f t="shared" si="109"/>
        <v>4.7122800925935735</v>
      </c>
      <c r="T888" t="str">
        <f t="shared" si="110"/>
        <v>On Time/Early</v>
      </c>
      <c r="U888" t="str">
        <f t="shared" si="111"/>
        <v>Normal</v>
      </c>
      <c r="V888" t="s">
        <v>102</v>
      </c>
    </row>
    <row r="889" spans="1:22">
      <c r="A889" t="s">
        <v>1422</v>
      </c>
      <c r="B889" s="10">
        <v>43097.905694444446</v>
      </c>
      <c r="C889" s="10">
        <v>43097.914131944446</v>
      </c>
      <c r="D889" s="10">
        <v>43099.534224537034</v>
      </c>
      <c r="E889" s="10">
        <v>43112.949212962965</v>
      </c>
      <c r="F889" s="10">
        <v>43129</v>
      </c>
      <c r="G889" t="s">
        <v>277</v>
      </c>
      <c r="H889" t="s">
        <v>335</v>
      </c>
      <c r="I889" t="s">
        <v>221</v>
      </c>
      <c r="J889" s="11">
        <v>1</v>
      </c>
      <c r="K889" s="12">
        <v>59.99</v>
      </c>
      <c r="L889" s="12">
        <v>21.22</v>
      </c>
      <c r="M889" s="13">
        <v>5</v>
      </c>
      <c r="N889" s="13">
        <f t="shared" si="104"/>
        <v>15.043518518519704</v>
      </c>
      <c r="O889" s="13">
        <f t="shared" si="105"/>
        <v>0</v>
      </c>
      <c r="P889" t="str">
        <f t="shared" si="106"/>
        <v>On Time</v>
      </c>
      <c r="Q889" s="13">
        <f t="shared" si="107"/>
        <v>0.20250000001396984</v>
      </c>
      <c r="R889" s="13">
        <f t="shared" si="108"/>
        <v>1.6200925925877527</v>
      </c>
      <c r="S889" s="13">
        <f t="shared" si="109"/>
        <v>13.414988425931369</v>
      </c>
      <c r="T889" t="str">
        <f t="shared" si="110"/>
        <v>On Time/Early</v>
      </c>
      <c r="U889" t="str">
        <f t="shared" si="111"/>
        <v>Normal</v>
      </c>
      <c r="V889" t="s">
        <v>102</v>
      </c>
    </row>
    <row r="890" spans="1:22">
      <c r="A890" t="s">
        <v>1423</v>
      </c>
      <c r="B890" s="10">
        <v>43098.339895833335</v>
      </c>
      <c r="C890" s="10">
        <v>43098.352476851855</v>
      </c>
      <c r="D890" s="10">
        <v>43105.877754629626</v>
      </c>
      <c r="E890" s="10">
        <v>43119.992349537039</v>
      </c>
      <c r="F890" s="10">
        <v>43126</v>
      </c>
      <c r="G890" t="s">
        <v>43</v>
      </c>
      <c r="H890" t="s">
        <v>167</v>
      </c>
      <c r="I890" t="s">
        <v>136</v>
      </c>
      <c r="J890" s="11">
        <v>1</v>
      </c>
      <c r="K890" s="12">
        <v>175.9</v>
      </c>
      <c r="L890" s="12">
        <v>22.07</v>
      </c>
      <c r="M890" s="13">
        <v>5</v>
      </c>
      <c r="N890" s="13">
        <f t="shared" si="104"/>
        <v>21.652453703703941</v>
      </c>
      <c r="O890" s="13">
        <f t="shared" si="105"/>
        <v>0</v>
      </c>
      <c r="P890" t="str">
        <f t="shared" si="106"/>
        <v>On Time</v>
      </c>
      <c r="Q890" s="13">
        <f t="shared" si="107"/>
        <v>0.30194444447988644</v>
      </c>
      <c r="R890" s="13">
        <f t="shared" si="108"/>
        <v>7.5252777777714073</v>
      </c>
      <c r="S890" s="13">
        <f t="shared" si="109"/>
        <v>14.114594907412538</v>
      </c>
      <c r="T890" t="str">
        <f t="shared" si="110"/>
        <v>On Time/Early</v>
      </c>
      <c r="U890" t="str">
        <f t="shared" si="111"/>
        <v>Normal</v>
      </c>
      <c r="V890" t="s">
        <v>102</v>
      </c>
    </row>
    <row r="891" spans="1:22">
      <c r="A891" t="s">
        <v>1424</v>
      </c>
      <c r="B891" s="10">
        <v>43098.470069444447</v>
      </c>
      <c r="C891" s="10">
        <v>43098.477488425924</v>
      </c>
      <c r="D891" s="10">
        <v>43102.699548611112</v>
      </c>
      <c r="E891" s="10">
        <v>43110.961331018516</v>
      </c>
      <c r="F891" s="10">
        <v>43118</v>
      </c>
      <c r="G891" t="s">
        <v>8</v>
      </c>
      <c r="H891" t="s">
        <v>1425</v>
      </c>
      <c r="I891" t="s">
        <v>279</v>
      </c>
      <c r="J891" s="11">
        <v>1</v>
      </c>
      <c r="K891" s="12">
        <v>49</v>
      </c>
      <c r="L891" s="12">
        <v>7.78</v>
      </c>
      <c r="M891" s="13">
        <v>3</v>
      </c>
      <c r="N891" s="13">
        <f t="shared" si="104"/>
        <v>12.491261574068631</v>
      </c>
      <c r="O891" s="13">
        <f t="shared" si="105"/>
        <v>0</v>
      </c>
      <c r="P891" t="str">
        <f t="shared" si="106"/>
        <v>On Time</v>
      </c>
      <c r="Q891" s="13">
        <f t="shared" si="107"/>
        <v>0.17805555544327945</v>
      </c>
      <c r="R891" s="13">
        <f t="shared" si="108"/>
        <v>4.2220601851877291</v>
      </c>
      <c r="S891" s="13">
        <f t="shared" si="109"/>
        <v>8.2617824074040982</v>
      </c>
      <c r="T891" t="str">
        <f t="shared" si="110"/>
        <v>On Time/Early</v>
      </c>
      <c r="U891" t="str">
        <f t="shared" si="111"/>
        <v>Normal</v>
      </c>
      <c r="V891" t="s">
        <v>102</v>
      </c>
    </row>
    <row r="892" spans="1:22">
      <c r="A892" t="s">
        <v>1426</v>
      </c>
      <c r="B892" s="10">
        <v>43098.684837962966</v>
      </c>
      <c r="C892" s="10">
        <v>43098.69122685185</v>
      </c>
      <c r="D892" s="10">
        <v>43103.748923611114</v>
      </c>
      <c r="E892" s="10">
        <v>43119.742638888885</v>
      </c>
      <c r="F892" s="10">
        <v>43118</v>
      </c>
      <c r="G892" t="s">
        <v>8</v>
      </c>
      <c r="H892" t="s">
        <v>1309</v>
      </c>
      <c r="I892" t="s">
        <v>31</v>
      </c>
      <c r="J892" s="11">
        <v>1</v>
      </c>
      <c r="K892" s="12">
        <v>49</v>
      </c>
      <c r="L892" s="12">
        <v>8.27</v>
      </c>
      <c r="M892" s="13">
        <v>5</v>
      </c>
      <c r="N892" s="13">
        <f t="shared" si="104"/>
        <v>21.057800925918855</v>
      </c>
      <c r="O892" s="13">
        <f t="shared" si="105"/>
        <v>1.7426388888852671</v>
      </c>
      <c r="P892" t="str">
        <f t="shared" si="106"/>
        <v>Delayed</v>
      </c>
      <c r="Q892" s="13">
        <f t="shared" si="107"/>
        <v>0.15333333320450038</v>
      </c>
      <c r="R892" s="13">
        <f t="shared" si="108"/>
        <v>5.0576967592642177</v>
      </c>
      <c r="S892" s="13">
        <f t="shared" si="109"/>
        <v>15.993715277771116</v>
      </c>
      <c r="T892" t="str">
        <f t="shared" si="110"/>
        <v>1-3 Days Late</v>
      </c>
      <c r="U892" t="str">
        <f t="shared" si="111"/>
        <v>Needs Review</v>
      </c>
      <c r="V892" t="s">
        <v>102</v>
      </c>
    </row>
    <row r="893" spans="1:22">
      <c r="A893" t="s">
        <v>1427</v>
      </c>
      <c r="B893" s="10">
        <v>43098.796759259261</v>
      </c>
      <c r="C893" s="10">
        <v>43103.180254629631</v>
      </c>
      <c r="D893" s="10">
        <v>43103.874155092592</v>
      </c>
      <c r="E893" s="10">
        <v>43111.881689814814</v>
      </c>
      <c r="F893" s="10">
        <v>43126</v>
      </c>
      <c r="G893" t="s">
        <v>8</v>
      </c>
      <c r="H893" t="s">
        <v>179</v>
      </c>
      <c r="I893" t="s">
        <v>279</v>
      </c>
      <c r="J893" s="11">
        <v>1</v>
      </c>
      <c r="K893" s="12">
        <v>34.9</v>
      </c>
      <c r="L893" s="12">
        <v>15.1</v>
      </c>
      <c r="M893" s="13">
        <v>5</v>
      </c>
      <c r="N893" s="13">
        <f t="shared" si="104"/>
        <v>13.084930555553001</v>
      </c>
      <c r="O893" s="13">
        <f t="shared" si="105"/>
        <v>0</v>
      </c>
      <c r="P893" t="str">
        <f t="shared" si="106"/>
        <v>On Time</v>
      </c>
      <c r="Q893" s="13">
        <f t="shared" si="107"/>
        <v>105.20388888887828</v>
      </c>
      <c r="R893" s="13">
        <f t="shared" si="108"/>
        <v>0.6939004629603005</v>
      </c>
      <c r="S893" s="13">
        <f t="shared" si="109"/>
        <v>8.007534722222772</v>
      </c>
      <c r="T893" t="str">
        <f t="shared" si="110"/>
        <v>On Time/Early</v>
      </c>
      <c r="U893" t="str">
        <f t="shared" si="111"/>
        <v>Normal</v>
      </c>
      <c r="V893" t="s">
        <v>102</v>
      </c>
    </row>
    <row r="894" spans="1:22">
      <c r="A894" t="s">
        <v>1428</v>
      </c>
      <c r="B894" s="10">
        <v>43098.875428240739</v>
      </c>
      <c r="C894" s="10">
        <v>43098.881701388891</v>
      </c>
      <c r="D894" s="10">
        <v>43104.939560185187</v>
      </c>
      <c r="E894" s="10">
        <v>43116.580960648149</v>
      </c>
      <c r="F894" s="10">
        <v>43132</v>
      </c>
      <c r="G894" t="s">
        <v>36</v>
      </c>
      <c r="H894" t="s">
        <v>1429</v>
      </c>
      <c r="I894" t="s">
        <v>128</v>
      </c>
      <c r="J894" s="11">
        <v>5</v>
      </c>
      <c r="K894" s="12">
        <v>249.5</v>
      </c>
      <c r="L894" s="12">
        <v>88.06</v>
      </c>
      <c r="M894" s="13">
        <v>5</v>
      </c>
      <c r="N894" s="13">
        <f t="shared" si="104"/>
        <v>17.705532407409919</v>
      </c>
      <c r="O894" s="13">
        <f t="shared" si="105"/>
        <v>0</v>
      </c>
      <c r="P894" t="str">
        <f t="shared" si="106"/>
        <v>On Time</v>
      </c>
      <c r="Q894" s="13">
        <f t="shared" si="107"/>
        <v>0.15055555565049872</v>
      </c>
      <c r="R894" s="13">
        <f t="shared" si="108"/>
        <v>6.0578587962954771</v>
      </c>
      <c r="S894" s="13">
        <f t="shared" si="109"/>
        <v>11.641400462962338</v>
      </c>
      <c r="T894" t="str">
        <f t="shared" si="110"/>
        <v>On Time/Early</v>
      </c>
      <c r="U894" t="str">
        <f t="shared" si="111"/>
        <v>Normal</v>
      </c>
      <c r="V894" t="s">
        <v>102</v>
      </c>
    </row>
    <row r="895" spans="1:22">
      <c r="A895" t="s">
        <v>1430</v>
      </c>
      <c r="B895" s="10">
        <v>43098.883587962962</v>
      </c>
      <c r="C895" s="10">
        <v>43098.893622685187</v>
      </c>
      <c r="D895" s="10">
        <v>43102.810266203705</v>
      </c>
      <c r="E895" s="10">
        <v>43119.765833333331</v>
      </c>
      <c r="F895" s="10">
        <v>43137</v>
      </c>
      <c r="G895" t="s">
        <v>175</v>
      </c>
      <c r="H895" t="s">
        <v>338</v>
      </c>
      <c r="I895" t="s">
        <v>58</v>
      </c>
      <c r="J895" s="11">
        <v>1</v>
      </c>
      <c r="K895" s="12">
        <v>93.99</v>
      </c>
      <c r="L895" s="12">
        <v>21.06</v>
      </c>
      <c r="M895" s="13">
        <v>5</v>
      </c>
      <c r="N895" s="13">
        <f t="shared" si="104"/>
        <v>20.882245370368764</v>
      </c>
      <c r="O895" s="13">
        <f t="shared" si="105"/>
        <v>0</v>
      </c>
      <c r="P895" t="str">
        <f t="shared" si="106"/>
        <v>On Time</v>
      </c>
      <c r="Q895" s="13">
        <f t="shared" si="107"/>
        <v>0.24083333340240642</v>
      </c>
      <c r="R895" s="13">
        <f t="shared" si="108"/>
        <v>3.916643518517958</v>
      </c>
      <c r="S895" s="13">
        <f t="shared" si="109"/>
        <v>16.955567129625706</v>
      </c>
      <c r="T895" t="str">
        <f t="shared" si="110"/>
        <v>On Time/Early</v>
      </c>
      <c r="U895" t="str">
        <f t="shared" si="111"/>
        <v>Normal</v>
      </c>
      <c r="V895" t="s">
        <v>102</v>
      </c>
    </row>
    <row r="896" spans="1:22">
      <c r="A896" t="s">
        <v>1431</v>
      </c>
      <c r="B896" s="10">
        <v>43099.403703703705</v>
      </c>
      <c r="C896" s="10">
        <v>43103.189236111109</v>
      </c>
      <c r="D896" s="10">
        <v>43110.448877314811</v>
      </c>
      <c r="E896" s="10">
        <v>43129.714479166665</v>
      </c>
      <c r="F896" s="10">
        <v>43133</v>
      </c>
      <c r="G896" t="s">
        <v>16</v>
      </c>
      <c r="H896" t="s">
        <v>1432</v>
      </c>
      <c r="I896" t="s">
        <v>180</v>
      </c>
      <c r="J896" s="11">
        <v>2</v>
      </c>
      <c r="K896" s="12">
        <v>211.8</v>
      </c>
      <c r="L896" s="12">
        <v>34.49</v>
      </c>
      <c r="M896" s="13">
        <v>5</v>
      </c>
      <c r="N896" s="13">
        <f t="shared" si="104"/>
        <v>30.310775462960009</v>
      </c>
      <c r="O896" s="13">
        <f t="shared" si="105"/>
        <v>0</v>
      </c>
      <c r="P896" t="str">
        <f t="shared" si="106"/>
        <v>On Time</v>
      </c>
      <c r="Q896" s="13">
        <f t="shared" si="107"/>
        <v>90.852777777705342</v>
      </c>
      <c r="R896" s="13">
        <f t="shared" si="108"/>
        <v>7.2596412037019036</v>
      </c>
      <c r="S896" s="13">
        <f t="shared" si="109"/>
        <v>19.265601851853717</v>
      </c>
      <c r="T896" t="str">
        <f t="shared" si="110"/>
        <v>On Time/Early</v>
      </c>
      <c r="U896" t="str">
        <f t="shared" si="111"/>
        <v>Normal</v>
      </c>
      <c r="V896" t="s">
        <v>102</v>
      </c>
    </row>
    <row r="897" spans="1:22">
      <c r="A897" t="s">
        <v>1433</v>
      </c>
      <c r="B897" s="10">
        <v>43099.833425925928</v>
      </c>
      <c r="C897" s="10">
        <v>43099.840567129628</v>
      </c>
      <c r="D897" s="10">
        <v>43103.718877314815</v>
      </c>
      <c r="E897" s="10">
        <v>43126.683900462966</v>
      </c>
      <c r="F897" s="10">
        <v>43131</v>
      </c>
      <c r="G897" t="s">
        <v>134</v>
      </c>
      <c r="H897" t="s">
        <v>799</v>
      </c>
      <c r="I897" t="s">
        <v>246</v>
      </c>
      <c r="J897" s="11">
        <v>1</v>
      </c>
      <c r="K897" s="12">
        <v>109.9</v>
      </c>
      <c r="L897" s="12">
        <v>19.309999999999999</v>
      </c>
      <c r="M897" s="13">
        <v>5</v>
      </c>
      <c r="N897" s="13">
        <f t="shared" si="104"/>
        <v>26.850474537037371</v>
      </c>
      <c r="O897" s="13">
        <f t="shared" si="105"/>
        <v>0</v>
      </c>
      <c r="P897" t="str">
        <f t="shared" si="106"/>
        <v>On Time</v>
      </c>
      <c r="Q897" s="13">
        <f t="shared" si="107"/>
        <v>0.17138888878980651</v>
      </c>
      <c r="R897" s="13">
        <f t="shared" si="108"/>
        <v>3.8783101851877291</v>
      </c>
      <c r="S897" s="13">
        <f t="shared" si="109"/>
        <v>22.965023148150067</v>
      </c>
      <c r="T897" t="str">
        <f t="shared" si="110"/>
        <v>On Time/Early</v>
      </c>
      <c r="U897" t="str">
        <f t="shared" si="111"/>
        <v>Normal</v>
      </c>
      <c r="V897" t="s">
        <v>102</v>
      </c>
    </row>
    <row r="898" spans="1:22">
      <c r="A898" t="s">
        <v>1434</v>
      </c>
      <c r="B898" s="10">
        <v>43101.76662037037</v>
      </c>
      <c r="C898" s="10">
        <v>43101.772824074076</v>
      </c>
      <c r="D898" s="10">
        <v>43104.006886574076</v>
      </c>
      <c r="E898" s="10">
        <v>43104.516076388885</v>
      </c>
      <c r="F898" s="10">
        <v>43118</v>
      </c>
      <c r="G898" t="s">
        <v>8</v>
      </c>
      <c r="H898" t="s">
        <v>225</v>
      </c>
      <c r="I898" t="s">
        <v>101</v>
      </c>
      <c r="J898" s="11">
        <v>1</v>
      </c>
      <c r="K898" s="12">
        <v>93</v>
      </c>
      <c r="L898" s="12">
        <v>13.21</v>
      </c>
      <c r="M898" s="13">
        <v>1</v>
      </c>
      <c r="N898" s="13">
        <f t="shared" ref="N898:N961" si="112">IFERROR(E898-B898,"")</f>
        <v>2.7494560185150476</v>
      </c>
      <c r="O898" s="13">
        <f t="shared" ref="O898:O961" si="113">IFERROR(MAX(0,E898-F898),"")</f>
        <v>0</v>
      </c>
      <c r="P898" t="str">
        <f t="shared" ref="P898:P961" si="114">IF(O898&gt;0,"Delayed","On Time")</f>
        <v>On Time</v>
      </c>
      <c r="Q898" s="13">
        <f t="shared" ref="Q898:Q961" si="115">IFERROR((C898-B898)*24,"")</f>
        <v>0.14888888894347474</v>
      </c>
      <c r="R898" s="13">
        <f t="shared" ref="R898:R961" si="116">IFERROR(D898-C898,"")</f>
        <v>2.234062499999709</v>
      </c>
      <c r="S898" s="13">
        <f t="shared" ref="S898:S961" si="117">IFERROR(E898-D898,"")</f>
        <v>0.50918981480936054</v>
      </c>
      <c r="T898" t="str">
        <f t="shared" ref="T898:T961" si="118">IF(O898=0,"On Time/Early",IF(O898&lt;=3,"1-3 Days Late",IF(O898&lt;=7,"4-7 Days Late","8+ Days Late")))</f>
        <v>On Time/Early</v>
      </c>
      <c r="U898" t="str">
        <f t="shared" ref="U898:U961" si="119">IF(P898="Delayed","Needs Review","Normal")</f>
        <v>Normal</v>
      </c>
      <c r="V898" t="s">
        <v>102</v>
      </c>
    </row>
    <row r="899" spans="1:22">
      <c r="A899" t="s">
        <v>1435</v>
      </c>
      <c r="B899" s="10">
        <v>43101.7893287037</v>
      </c>
      <c r="C899" s="10">
        <v>43101.795474537037</v>
      </c>
      <c r="D899" s="10">
        <v>43105.719189814816</v>
      </c>
      <c r="E899" s="10">
        <v>43111.90079861111</v>
      </c>
      <c r="F899" s="10">
        <v>43152</v>
      </c>
      <c r="G899" t="s">
        <v>164</v>
      </c>
      <c r="H899" t="s">
        <v>1436</v>
      </c>
      <c r="I899" t="s">
        <v>123</v>
      </c>
      <c r="J899" s="11">
        <v>1</v>
      </c>
      <c r="K899" s="12">
        <v>100</v>
      </c>
      <c r="L899" s="12">
        <v>27.24</v>
      </c>
      <c r="M899" s="13">
        <v>3</v>
      </c>
      <c r="N899" s="13">
        <f t="shared" si="112"/>
        <v>10.111469907409628</v>
      </c>
      <c r="O899" s="13">
        <f t="shared" si="113"/>
        <v>0</v>
      </c>
      <c r="P899" t="str">
        <f t="shared" si="114"/>
        <v>On Time</v>
      </c>
      <c r="Q899" s="13">
        <f t="shared" si="115"/>
        <v>0.14750000007916242</v>
      </c>
      <c r="R899" s="13">
        <f t="shared" si="116"/>
        <v>3.9237152777786832</v>
      </c>
      <c r="S899" s="13">
        <f t="shared" si="117"/>
        <v>6.1816087962943129</v>
      </c>
      <c r="T899" t="str">
        <f t="shared" si="118"/>
        <v>On Time/Early</v>
      </c>
      <c r="U899" t="str">
        <f t="shared" si="119"/>
        <v>Normal</v>
      </c>
      <c r="V899" t="s">
        <v>102</v>
      </c>
    </row>
    <row r="900" spans="1:22">
      <c r="A900" t="s">
        <v>1437</v>
      </c>
      <c r="B900" s="10">
        <v>43102.466828703706</v>
      </c>
      <c r="C900" s="10">
        <v>43102.471817129626</v>
      </c>
      <c r="D900" s="10">
        <v>43104.621689814812</v>
      </c>
      <c r="E900" s="10">
        <v>43110.78707175926</v>
      </c>
      <c r="F900" s="10">
        <v>43130</v>
      </c>
      <c r="G900" t="s">
        <v>320</v>
      </c>
      <c r="H900" t="s">
        <v>321</v>
      </c>
      <c r="I900" t="s">
        <v>101</v>
      </c>
      <c r="J900" s="11">
        <v>1</v>
      </c>
      <c r="K900" s="12">
        <v>75</v>
      </c>
      <c r="L900" s="12">
        <v>20.02</v>
      </c>
      <c r="M900" s="13">
        <v>5</v>
      </c>
      <c r="N900" s="13">
        <f t="shared" si="112"/>
        <v>8.320243055553874</v>
      </c>
      <c r="O900" s="13">
        <f t="shared" si="113"/>
        <v>0</v>
      </c>
      <c r="P900" t="str">
        <f t="shared" si="114"/>
        <v>On Time</v>
      </c>
      <c r="Q900" s="13">
        <f t="shared" si="115"/>
        <v>0.11972222209442407</v>
      </c>
      <c r="R900" s="13">
        <f t="shared" si="116"/>
        <v>2.1498726851859828</v>
      </c>
      <c r="S900" s="13">
        <f t="shared" si="117"/>
        <v>6.1653819444472902</v>
      </c>
      <c r="T900" t="str">
        <f t="shared" si="118"/>
        <v>On Time/Early</v>
      </c>
      <c r="U900" t="str">
        <f t="shared" si="119"/>
        <v>Normal</v>
      </c>
      <c r="V900" t="s">
        <v>102</v>
      </c>
    </row>
    <row r="901" spans="1:22">
      <c r="A901" t="s">
        <v>1438</v>
      </c>
      <c r="B901" s="10">
        <v>43102.579687500001</v>
      </c>
      <c r="C901" s="10">
        <v>43103.588159722225</v>
      </c>
      <c r="D901" s="10">
        <v>43104.661747685182</v>
      </c>
      <c r="E901" s="10">
        <v>43120.110300925924</v>
      </c>
      <c r="F901" s="10">
        <v>43136</v>
      </c>
      <c r="G901" t="s">
        <v>16</v>
      </c>
      <c r="H901" t="s">
        <v>138</v>
      </c>
      <c r="I901" t="s">
        <v>753</v>
      </c>
      <c r="J901" s="11">
        <v>1</v>
      </c>
      <c r="K901" s="12">
        <v>199</v>
      </c>
      <c r="L901" s="12">
        <v>16.149999999999999</v>
      </c>
      <c r="M901" s="13">
        <v>4</v>
      </c>
      <c r="N901" s="13">
        <f t="shared" si="112"/>
        <v>17.530613425922638</v>
      </c>
      <c r="O901" s="13">
        <f t="shared" si="113"/>
        <v>0</v>
      </c>
      <c r="P901" t="str">
        <f t="shared" si="114"/>
        <v>On Time</v>
      </c>
      <c r="Q901" s="13">
        <f t="shared" si="115"/>
        <v>24.203333333367482</v>
      </c>
      <c r="R901" s="13">
        <f t="shared" si="116"/>
        <v>1.0735879629573901</v>
      </c>
      <c r="S901" s="13">
        <f t="shared" si="117"/>
        <v>15.448553240741603</v>
      </c>
      <c r="T901" t="str">
        <f t="shared" si="118"/>
        <v>On Time/Early</v>
      </c>
      <c r="U901" t="str">
        <f t="shared" si="119"/>
        <v>Normal</v>
      </c>
      <c r="V901" t="s">
        <v>102</v>
      </c>
    </row>
    <row r="902" spans="1:22">
      <c r="A902" t="s">
        <v>1439</v>
      </c>
      <c r="B902" s="10">
        <v>43102.629189814812</v>
      </c>
      <c r="C902" s="10">
        <v>43102.636388888888</v>
      </c>
      <c r="D902" s="10">
        <v>43108.790081018517</v>
      </c>
      <c r="E902" s="10">
        <v>43109.854062500002</v>
      </c>
      <c r="F902" s="10">
        <v>43118</v>
      </c>
      <c r="G902" t="s">
        <v>8</v>
      </c>
      <c r="H902" t="s">
        <v>140</v>
      </c>
      <c r="I902" t="s">
        <v>1440</v>
      </c>
      <c r="J902" s="11">
        <v>1</v>
      </c>
      <c r="K902" s="12">
        <v>55.49</v>
      </c>
      <c r="L902" s="12">
        <v>9.94</v>
      </c>
      <c r="M902" s="13">
        <v>5</v>
      </c>
      <c r="N902" s="13">
        <f t="shared" si="112"/>
        <v>7.2248726851903484</v>
      </c>
      <c r="O902" s="13">
        <f t="shared" si="113"/>
        <v>0</v>
      </c>
      <c r="P902" t="str">
        <f t="shared" si="114"/>
        <v>On Time</v>
      </c>
      <c r="Q902" s="13">
        <f t="shared" si="115"/>
        <v>0.17277777782874182</v>
      </c>
      <c r="R902" s="13">
        <f t="shared" si="116"/>
        <v>6.1536921296283253</v>
      </c>
      <c r="S902" s="13">
        <f t="shared" si="117"/>
        <v>1.0639814814858255</v>
      </c>
      <c r="T902" t="str">
        <f t="shared" si="118"/>
        <v>On Time/Early</v>
      </c>
      <c r="U902" t="str">
        <f t="shared" si="119"/>
        <v>Normal</v>
      </c>
      <c r="V902" t="s">
        <v>102</v>
      </c>
    </row>
    <row r="903" spans="1:22">
      <c r="A903" t="s">
        <v>1441</v>
      </c>
      <c r="B903" s="10">
        <v>43102.684618055559</v>
      </c>
      <c r="C903" s="10">
        <v>43102.690636574072</v>
      </c>
      <c r="D903" s="10">
        <v>43103.556192129632</v>
      </c>
      <c r="E903" s="10">
        <v>43104.904502314814</v>
      </c>
      <c r="F903" s="10">
        <v>43118</v>
      </c>
      <c r="G903" t="s">
        <v>8</v>
      </c>
      <c r="H903" t="s">
        <v>1442</v>
      </c>
      <c r="I903" t="s">
        <v>123</v>
      </c>
      <c r="J903" s="11">
        <v>1</v>
      </c>
      <c r="K903" s="12">
        <v>166.99</v>
      </c>
      <c r="L903" s="12">
        <v>13.72</v>
      </c>
      <c r="M903" s="13">
        <v>4</v>
      </c>
      <c r="N903" s="13">
        <f t="shared" si="112"/>
        <v>2.2198842592551955</v>
      </c>
      <c r="O903" s="13">
        <f t="shared" si="113"/>
        <v>0</v>
      </c>
      <c r="P903" t="str">
        <f t="shared" si="114"/>
        <v>On Time</v>
      </c>
      <c r="Q903" s="13">
        <f t="shared" si="115"/>
        <v>0.14444444433320314</v>
      </c>
      <c r="R903" s="13">
        <f t="shared" si="116"/>
        <v>0.86555555555969477</v>
      </c>
      <c r="S903" s="13">
        <f t="shared" si="117"/>
        <v>1.3483101851816173</v>
      </c>
      <c r="T903" t="str">
        <f t="shared" si="118"/>
        <v>On Time/Early</v>
      </c>
      <c r="U903" t="str">
        <f t="shared" si="119"/>
        <v>Normal</v>
      </c>
      <c r="V903" t="s">
        <v>102</v>
      </c>
    </row>
    <row r="904" spans="1:22">
      <c r="A904" t="s">
        <v>1443</v>
      </c>
      <c r="B904" s="10">
        <v>43102.685347222221</v>
      </c>
      <c r="C904" s="10">
        <v>43102.692766203705</v>
      </c>
      <c r="D904" s="10">
        <v>43104.675520833334</v>
      </c>
      <c r="E904" s="10">
        <v>43126.859409722223</v>
      </c>
      <c r="F904" s="10">
        <v>43146</v>
      </c>
      <c r="G904" t="s">
        <v>1444</v>
      </c>
      <c r="H904" t="s">
        <v>1445</v>
      </c>
      <c r="I904" t="s">
        <v>228</v>
      </c>
      <c r="J904" s="11">
        <v>1</v>
      </c>
      <c r="K904" s="12">
        <v>79.900000000000006</v>
      </c>
      <c r="L904" s="12">
        <v>48</v>
      </c>
      <c r="M904" s="13">
        <v>4</v>
      </c>
      <c r="N904" s="13">
        <f t="shared" si="112"/>
        <v>24.174062500002037</v>
      </c>
      <c r="O904" s="13">
        <f t="shared" si="113"/>
        <v>0</v>
      </c>
      <c r="P904" t="str">
        <f t="shared" si="114"/>
        <v>On Time</v>
      </c>
      <c r="Q904" s="13">
        <f t="shared" si="115"/>
        <v>0.17805555561790243</v>
      </c>
      <c r="R904" s="13">
        <f t="shared" si="116"/>
        <v>1.9827546296291985</v>
      </c>
      <c r="S904" s="13">
        <f t="shared" si="117"/>
        <v>22.18388888888876</v>
      </c>
      <c r="T904" t="str">
        <f t="shared" si="118"/>
        <v>On Time/Early</v>
      </c>
      <c r="U904" t="str">
        <f t="shared" si="119"/>
        <v>Normal</v>
      </c>
      <c r="V904" t="s">
        <v>102</v>
      </c>
    </row>
    <row r="905" spans="1:22">
      <c r="A905" t="s">
        <v>1446</v>
      </c>
      <c r="B905" s="10">
        <v>43102.747824074075</v>
      </c>
      <c r="C905" s="10">
        <v>43102.757106481484</v>
      </c>
      <c r="D905" s="10">
        <v>43108.721898148149</v>
      </c>
      <c r="E905" s="10">
        <v>43116.717094907406</v>
      </c>
      <c r="F905" s="10">
        <v>43131</v>
      </c>
      <c r="G905" t="s">
        <v>16</v>
      </c>
      <c r="H905" t="s">
        <v>1447</v>
      </c>
      <c r="I905" t="s">
        <v>143</v>
      </c>
      <c r="J905" s="11">
        <v>2</v>
      </c>
      <c r="K905" s="12">
        <v>235.8</v>
      </c>
      <c r="L905" s="12">
        <v>25.66</v>
      </c>
      <c r="M905" s="13">
        <v>2</v>
      </c>
      <c r="N905" s="13">
        <f t="shared" si="112"/>
        <v>13.969270833331393</v>
      </c>
      <c r="O905" s="13">
        <f t="shared" si="113"/>
        <v>0</v>
      </c>
      <c r="P905" t="str">
        <f t="shared" si="114"/>
        <v>On Time</v>
      </c>
      <c r="Q905" s="13">
        <f t="shared" si="115"/>
        <v>0.22277777781710029</v>
      </c>
      <c r="R905" s="13">
        <f t="shared" si="116"/>
        <v>5.9647916666654055</v>
      </c>
      <c r="S905" s="13">
        <f t="shared" si="117"/>
        <v>7.9951967592569417</v>
      </c>
      <c r="T905" t="str">
        <f t="shared" si="118"/>
        <v>On Time/Early</v>
      </c>
      <c r="U905" t="str">
        <f t="shared" si="119"/>
        <v>Normal</v>
      </c>
      <c r="V905" t="s">
        <v>102</v>
      </c>
    </row>
    <row r="906" spans="1:22">
      <c r="A906" t="s">
        <v>1448</v>
      </c>
      <c r="B906" s="10">
        <v>43103.344282407408</v>
      </c>
      <c r="C906" s="10">
        <v>43103.352384259262</v>
      </c>
      <c r="D906" s="10">
        <v>43109.929212962961</v>
      </c>
      <c r="E906" s="10">
        <v>43125.95275462963</v>
      </c>
      <c r="F906" s="10">
        <v>43136</v>
      </c>
      <c r="G906" t="s">
        <v>16</v>
      </c>
      <c r="H906" t="s">
        <v>1008</v>
      </c>
      <c r="I906" t="s">
        <v>34</v>
      </c>
      <c r="J906" s="11">
        <v>1</v>
      </c>
      <c r="K906" s="12">
        <v>134.9</v>
      </c>
      <c r="L906" s="12">
        <v>16.7</v>
      </c>
      <c r="M906" s="13">
        <v>1</v>
      </c>
      <c r="N906" s="13">
        <f t="shared" si="112"/>
        <v>22.60847222222219</v>
      </c>
      <c r="O906" s="13">
        <f t="shared" si="113"/>
        <v>0</v>
      </c>
      <c r="P906" t="str">
        <f t="shared" si="114"/>
        <v>On Time</v>
      </c>
      <c r="Q906" s="13">
        <f t="shared" si="115"/>
        <v>0.19444444449618459</v>
      </c>
      <c r="R906" s="13">
        <f t="shared" si="116"/>
        <v>6.5768287036989932</v>
      </c>
      <c r="S906" s="13">
        <f t="shared" si="117"/>
        <v>16.023541666669189</v>
      </c>
      <c r="T906" t="str">
        <f t="shared" si="118"/>
        <v>On Time/Early</v>
      </c>
      <c r="U906" t="str">
        <f t="shared" si="119"/>
        <v>Normal</v>
      </c>
      <c r="V906" t="s">
        <v>102</v>
      </c>
    </row>
    <row r="907" spans="1:22">
      <c r="A907" t="s">
        <v>1449</v>
      </c>
      <c r="B907" s="10">
        <v>43103.42527777778</v>
      </c>
      <c r="C907" s="10">
        <v>43104.219560185185</v>
      </c>
      <c r="D907" s="10">
        <v>43105.535787037035</v>
      </c>
      <c r="E907" s="10">
        <v>43122.761701388888</v>
      </c>
      <c r="F907" s="10">
        <v>43133</v>
      </c>
      <c r="G907" t="s">
        <v>20</v>
      </c>
      <c r="H907" t="s">
        <v>130</v>
      </c>
      <c r="I907" t="s">
        <v>31</v>
      </c>
      <c r="J907" s="11">
        <v>1</v>
      </c>
      <c r="K907" s="12">
        <v>18.899999999999999</v>
      </c>
      <c r="L907" s="12">
        <v>16.79</v>
      </c>
      <c r="M907" s="13">
        <v>4</v>
      </c>
      <c r="N907" s="13">
        <f t="shared" si="112"/>
        <v>19.33642361110833</v>
      </c>
      <c r="O907" s="13">
        <f t="shared" si="113"/>
        <v>0</v>
      </c>
      <c r="P907" t="str">
        <f t="shared" si="114"/>
        <v>On Time</v>
      </c>
      <c r="Q907" s="13">
        <f t="shared" si="115"/>
        <v>19.062777777726296</v>
      </c>
      <c r="R907" s="13">
        <f t="shared" si="116"/>
        <v>1.3162268518499332</v>
      </c>
      <c r="S907" s="13">
        <f t="shared" si="117"/>
        <v>17.225914351853135</v>
      </c>
      <c r="T907" t="str">
        <f t="shared" si="118"/>
        <v>On Time/Early</v>
      </c>
      <c r="U907" t="str">
        <f t="shared" si="119"/>
        <v>Normal</v>
      </c>
      <c r="V907" t="s">
        <v>102</v>
      </c>
    </row>
    <row r="908" spans="1:22">
      <c r="A908" t="s">
        <v>1450</v>
      </c>
      <c r="B908" s="10">
        <v>43103.49322916667</v>
      </c>
      <c r="C908" s="10">
        <v>43103.498912037037</v>
      </c>
      <c r="D908" s="10">
        <v>43105.891539351855</v>
      </c>
      <c r="E908" s="10">
        <v>43122.869780092595</v>
      </c>
      <c r="F908" s="10">
        <v>43140</v>
      </c>
      <c r="G908" t="s">
        <v>16</v>
      </c>
      <c r="H908" t="s">
        <v>1451</v>
      </c>
      <c r="I908" t="s">
        <v>136</v>
      </c>
      <c r="J908" s="11">
        <v>1</v>
      </c>
      <c r="K908" s="12">
        <v>29.5</v>
      </c>
      <c r="L908" s="12">
        <v>17.920000000000002</v>
      </c>
      <c r="M908" s="13">
        <v>4</v>
      </c>
      <c r="N908" s="13">
        <f t="shared" si="112"/>
        <v>19.376550925924676</v>
      </c>
      <c r="O908" s="13">
        <f t="shared" si="113"/>
        <v>0</v>
      </c>
      <c r="P908" t="str">
        <f t="shared" si="114"/>
        <v>On Time</v>
      </c>
      <c r="Q908" s="13">
        <f t="shared" si="115"/>
        <v>0.13638888881541789</v>
      </c>
      <c r="R908" s="13">
        <f t="shared" si="116"/>
        <v>2.3926273148172186</v>
      </c>
      <c r="S908" s="13">
        <f t="shared" si="117"/>
        <v>16.978240740740148</v>
      </c>
      <c r="T908" t="str">
        <f t="shared" si="118"/>
        <v>On Time/Early</v>
      </c>
      <c r="U908" t="str">
        <f t="shared" si="119"/>
        <v>Normal</v>
      </c>
      <c r="V908" t="s">
        <v>102</v>
      </c>
    </row>
    <row r="909" spans="1:22">
      <c r="A909" t="s">
        <v>1452</v>
      </c>
      <c r="B909" s="10">
        <v>43103.689618055556</v>
      </c>
      <c r="C909" s="10">
        <v>43103.699143518519</v>
      </c>
      <c r="D909" s="10">
        <v>43104.523657407408</v>
      </c>
      <c r="E909" s="10">
        <v>43110.967094907406</v>
      </c>
      <c r="F909" s="10">
        <v>43132</v>
      </c>
      <c r="G909" t="s">
        <v>164</v>
      </c>
      <c r="H909" t="s">
        <v>1453</v>
      </c>
      <c r="I909" t="s">
        <v>123</v>
      </c>
      <c r="J909" s="11">
        <v>1</v>
      </c>
      <c r="K909" s="12">
        <v>169.99</v>
      </c>
      <c r="L909" s="12">
        <v>21.68</v>
      </c>
      <c r="M909" s="13">
        <v>5</v>
      </c>
      <c r="N909" s="13">
        <f t="shared" si="112"/>
        <v>7.2774768518502242</v>
      </c>
      <c r="O909" s="13">
        <f t="shared" si="113"/>
        <v>0</v>
      </c>
      <c r="P909" t="str">
        <f t="shared" si="114"/>
        <v>On Time</v>
      </c>
      <c r="Q909" s="13">
        <f t="shared" si="115"/>
        <v>0.22861111111706123</v>
      </c>
      <c r="R909" s="13">
        <f t="shared" si="116"/>
        <v>0.82451388888875954</v>
      </c>
      <c r="S909" s="13">
        <f t="shared" si="117"/>
        <v>6.4434374999982538</v>
      </c>
      <c r="T909" t="str">
        <f t="shared" si="118"/>
        <v>On Time/Early</v>
      </c>
      <c r="U909" t="str">
        <f t="shared" si="119"/>
        <v>Normal</v>
      </c>
      <c r="V909" t="s">
        <v>102</v>
      </c>
    </row>
    <row r="910" spans="1:22">
      <c r="A910" t="s">
        <v>1454</v>
      </c>
      <c r="B910" s="10">
        <v>43104.337638888886</v>
      </c>
      <c r="C910" s="10">
        <v>43104.355555555558</v>
      </c>
      <c r="D910" s="10">
        <v>43109.641168981485</v>
      </c>
      <c r="E910" s="10">
        <v>43116.887777777774</v>
      </c>
      <c r="F910" s="10">
        <v>43129</v>
      </c>
      <c r="G910" t="s">
        <v>8</v>
      </c>
      <c r="H910" t="s">
        <v>430</v>
      </c>
      <c r="I910" t="s">
        <v>154</v>
      </c>
      <c r="J910" s="11">
        <v>1</v>
      </c>
      <c r="K910" s="12">
        <v>99</v>
      </c>
      <c r="L910" s="12">
        <v>29.48</v>
      </c>
      <c r="M910" s="13">
        <v>5</v>
      </c>
      <c r="N910" s="13">
        <f t="shared" si="112"/>
        <v>12.550138888887886</v>
      </c>
      <c r="O910" s="13">
        <f t="shared" si="113"/>
        <v>0</v>
      </c>
      <c r="P910" t="str">
        <f t="shared" si="114"/>
        <v>On Time</v>
      </c>
      <c r="Q910" s="13">
        <f t="shared" si="115"/>
        <v>0.4300000001094304</v>
      </c>
      <c r="R910" s="13">
        <f t="shared" si="116"/>
        <v>5.2856134259272949</v>
      </c>
      <c r="S910" s="13">
        <f t="shared" si="117"/>
        <v>7.2466087962893653</v>
      </c>
      <c r="T910" t="str">
        <f t="shared" si="118"/>
        <v>On Time/Early</v>
      </c>
      <c r="U910" t="str">
        <f t="shared" si="119"/>
        <v>Normal</v>
      </c>
      <c r="V910" t="s">
        <v>102</v>
      </c>
    </row>
    <row r="911" spans="1:22">
      <c r="A911" t="s">
        <v>1455</v>
      </c>
      <c r="B911" s="10">
        <v>43104.374201388891</v>
      </c>
      <c r="C911" s="10">
        <v>43104.379444444443</v>
      </c>
      <c r="D911" s="10">
        <v>43105.513101851851</v>
      </c>
      <c r="E911" s="10">
        <v>43112.935474537036</v>
      </c>
      <c r="F911" s="10">
        <v>43130</v>
      </c>
      <c r="G911" t="s">
        <v>320</v>
      </c>
      <c r="H911" t="s">
        <v>321</v>
      </c>
      <c r="I911" t="s">
        <v>31</v>
      </c>
      <c r="J911" s="11">
        <v>1</v>
      </c>
      <c r="K911" s="12">
        <v>13.7</v>
      </c>
      <c r="L911" s="12">
        <v>14.1</v>
      </c>
      <c r="M911" s="13">
        <v>5</v>
      </c>
      <c r="N911" s="13">
        <f t="shared" si="112"/>
        <v>8.5612731481451192</v>
      </c>
      <c r="O911" s="13">
        <f t="shared" si="113"/>
        <v>0</v>
      </c>
      <c r="P911" t="str">
        <f t="shared" si="114"/>
        <v>On Time</v>
      </c>
      <c r="Q911" s="13">
        <f t="shared" si="115"/>
        <v>0.12583333323709667</v>
      </c>
      <c r="R911" s="13">
        <f t="shared" si="116"/>
        <v>1.1336574074084638</v>
      </c>
      <c r="S911" s="13">
        <f t="shared" si="117"/>
        <v>7.4223726851851097</v>
      </c>
      <c r="T911" t="str">
        <f t="shared" si="118"/>
        <v>On Time/Early</v>
      </c>
      <c r="U911" t="str">
        <f t="shared" si="119"/>
        <v>Normal</v>
      </c>
      <c r="V911" t="s">
        <v>102</v>
      </c>
    </row>
    <row r="912" spans="1:22">
      <c r="A912" t="s">
        <v>1456</v>
      </c>
      <c r="B912" s="10">
        <v>43104.380428240744</v>
      </c>
      <c r="C912" s="10">
        <v>43104.388541666667</v>
      </c>
      <c r="D912" s="10">
        <v>43108.878958333335</v>
      </c>
      <c r="E912" s="10">
        <v>43131.873657407406</v>
      </c>
      <c r="F912" s="10">
        <v>43139</v>
      </c>
      <c r="G912" t="s">
        <v>16</v>
      </c>
      <c r="H912" t="s">
        <v>151</v>
      </c>
      <c r="I912" t="s">
        <v>101</v>
      </c>
      <c r="J912" s="11">
        <v>1</v>
      </c>
      <c r="K912" s="12">
        <v>69.900000000000006</v>
      </c>
      <c r="L912" s="12">
        <v>20.98</v>
      </c>
      <c r="M912" s="13">
        <v>5</v>
      </c>
      <c r="N912" s="13">
        <f t="shared" si="112"/>
        <v>27.493229166662786</v>
      </c>
      <c r="O912" s="13">
        <f t="shared" si="113"/>
        <v>0</v>
      </c>
      <c r="P912" t="str">
        <f t="shared" si="114"/>
        <v>On Time</v>
      </c>
      <c r="Q912" s="13">
        <f t="shared" si="115"/>
        <v>0.19472222216427326</v>
      </c>
      <c r="R912" s="13">
        <f t="shared" si="116"/>
        <v>4.4904166666674428</v>
      </c>
      <c r="S912" s="13">
        <f t="shared" si="117"/>
        <v>22.994699074071832</v>
      </c>
      <c r="T912" t="str">
        <f t="shared" si="118"/>
        <v>On Time/Early</v>
      </c>
      <c r="U912" t="str">
        <f t="shared" si="119"/>
        <v>Normal</v>
      </c>
      <c r="V912" t="s">
        <v>102</v>
      </c>
    </row>
    <row r="913" spans="1:22">
      <c r="A913" t="s">
        <v>1457</v>
      </c>
      <c r="B913" s="10">
        <v>43104.406087962961</v>
      </c>
      <c r="C913" s="10">
        <v>43104.412858796299</v>
      </c>
      <c r="D913" s="10">
        <v>43105.068657407406</v>
      </c>
      <c r="E913" s="10">
        <v>43130.578020833331</v>
      </c>
      <c r="F913" s="10">
        <v>43133</v>
      </c>
      <c r="G913" t="s">
        <v>8</v>
      </c>
      <c r="H913" t="s">
        <v>182</v>
      </c>
      <c r="I913" t="s">
        <v>34</v>
      </c>
      <c r="J913" s="11">
        <v>1</v>
      </c>
      <c r="K913" s="12">
        <v>26.9</v>
      </c>
      <c r="L913" s="12">
        <v>14.1</v>
      </c>
      <c r="M913" s="13"/>
      <c r="N913" s="13">
        <f t="shared" si="112"/>
        <v>26.171932870369346</v>
      </c>
      <c r="O913" s="13">
        <f t="shared" si="113"/>
        <v>0</v>
      </c>
      <c r="P913" t="str">
        <f t="shared" si="114"/>
        <v>On Time</v>
      </c>
      <c r="Q913" s="13">
        <f t="shared" si="115"/>
        <v>0.16250000009313226</v>
      </c>
      <c r="R913" s="13">
        <f t="shared" si="116"/>
        <v>0.65579861110745696</v>
      </c>
      <c r="S913" s="13">
        <f t="shared" si="117"/>
        <v>25.509363425924676</v>
      </c>
      <c r="T913" t="str">
        <f t="shared" si="118"/>
        <v>On Time/Early</v>
      </c>
      <c r="U913" t="str">
        <f t="shared" si="119"/>
        <v>Normal</v>
      </c>
      <c r="V913" t="s">
        <v>102</v>
      </c>
    </row>
    <row r="914" spans="1:22">
      <c r="A914" t="s">
        <v>1458</v>
      </c>
      <c r="B914" s="10">
        <v>43104.623240740744</v>
      </c>
      <c r="C914" s="10">
        <v>43104.630833333336</v>
      </c>
      <c r="D914" s="10">
        <v>43105.84883101852</v>
      </c>
      <c r="E914" s="10">
        <v>43119.123414351852</v>
      </c>
      <c r="F914" s="10">
        <v>43129</v>
      </c>
      <c r="G914" t="s">
        <v>8</v>
      </c>
      <c r="H914" t="s">
        <v>438</v>
      </c>
      <c r="I914" t="s">
        <v>31</v>
      </c>
      <c r="J914" s="11">
        <v>1</v>
      </c>
      <c r="K914" s="12">
        <v>18.899999999999999</v>
      </c>
      <c r="L914" s="12">
        <v>11.85</v>
      </c>
      <c r="M914" s="13">
        <v>5</v>
      </c>
      <c r="N914" s="13">
        <f t="shared" si="112"/>
        <v>14.500173611108039</v>
      </c>
      <c r="O914" s="13">
        <f t="shared" si="113"/>
        <v>0</v>
      </c>
      <c r="P914" t="str">
        <f t="shared" si="114"/>
        <v>On Time</v>
      </c>
      <c r="Q914" s="13">
        <f t="shared" si="115"/>
        <v>0.18222222221083939</v>
      </c>
      <c r="R914" s="13">
        <f t="shared" si="116"/>
        <v>1.2179976851839456</v>
      </c>
      <c r="S914" s="13">
        <f t="shared" si="117"/>
        <v>13.274583333331975</v>
      </c>
      <c r="T914" t="str">
        <f t="shared" si="118"/>
        <v>On Time/Early</v>
      </c>
      <c r="U914" t="str">
        <f t="shared" si="119"/>
        <v>Normal</v>
      </c>
      <c r="V914" t="s">
        <v>102</v>
      </c>
    </row>
    <row r="915" spans="1:22">
      <c r="A915" t="s">
        <v>1459</v>
      </c>
      <c r="B915" s="10">
        <v>43104.62599537037</v>
      </c>
      <c r="C915" s="10">
        <v>43105.855081018519</v>
      </c>
      <c r="D915" s="10">
        <v>43116.839490740742</v>
      </c>
      <c r="E915" s="10">
        <v>43117.952731481484</v>
      </c>
      <c r="F915" s="10">
        <v>43122</v>
      </c>
      <c r="G915" t="s">
        <v>8</v>
      </c>
      <c r="H915" t="s">
        <v>140</v>
      </c>
      <c r="I915" t="s">
        <v>112</v>
      </c>
      <c r="J915" s="11">
        <v>1</v>
      </c>
      <c r="K915" s="12">
        <v>160</v>
      </c>
      <c r="L915" s="12">
        <v>12.33</v>
      </c>
      <c r="M915" s="13">
        <v>5</v>
      </c>
      <c r="N915" s="13">
        <f t="shared" si="112"/>
        <v>13.32673611111386</v>
      </c>
      <c r="O915" s="13">
        <f t="shared" si="113"/>
        <v>0</v>
      </c>
      <c r="P915" t="str">
        <f t="shared" si="114"/>
        <v>On Time</v>
      </c>
      <c r="Q915" s="13">
        <f t="shared" si="115"/>
        <v>29.49805555556668</v>
      </c>
      <c r="R915" s="13">
        <f t="shared" si="116"/>
        <v>10.984409722223063</v>
      </c>
      <c r="S915" s="13">
        <f t="shared" si="117"/>
        <v>1.1132407407421852</v>
      </c>
      <c r="T915" t="str">
        <f t="shared" si="118"/>
        <v>On Time/Early</v>
      </c>
      <c r="U915" t="str">
        <f t="shared" si="119"/>
        <v>Normal</v>
      </c>
      <c r="V915" t="s">
        <v>102</v>
      </c>
    </row>
    <row r="916" spans="1:22">
      <c r="A916" t="s">
        <v>1460</v>
      </c>
      <c r="B916" s="10">
        <v>43104.65216435185</v>
      </c>
      <c r="C916" s="10">
        <v>43104.658599537041</v>
      </c>
      <c r="D916" s="10">
        <v>43108.776192129626</v>
      </c>
      <c r="E916" s="10">
        <v>43119.728229166663</v>
      </c>
      <c r="F916" s="10">
        <v>43136</v>
      </c>
      <c r="G916" t="s">
        <v>43</v>
      </c>
      <c r="H916" t="s">
        <v>1461</v>
      </c>
      <c r="I916" t="s">
        <v>368</v>
      </c>
      <c r="J916" s="11">
        <v>1</v>
      </c>
      <c r="K916" s="12">
        <v>129</v>
      </c>
      <c r="L916" s="12">
        <v>18.149999999999999</v>
      </c>
      <c r="M916" s="13">
        <v>5</v>
      </c>
      <c r="N916" s="13">
        <f t="shared" si="112"/>
        <v>15.076064814813435</v>
      </c>
      <c r="O916" s="13">
        <f t="shared" si="113"/>
        <v>0</v>
      </c>
      <c r="P916" t="str">
        <f t="shared" si="114"/>
        <v>On Time</v>
      </c>
      <c r="Q916" s="13">
        <f t="shared" si="115"/>
        <v>0.15444444457534701</v>
      </c>
      <c r="R916" s="13">
        <f t="shared" si="116"/>
        <v>4.1175925925854244</v>
      </c>
      <c r="S916" s="13">
        <f t="shared" si="117"/>
        <v>10.952037037037371</v>
      </c>
      <c r="T916" t="str">
        <f t="shared" si="118"/>
        <v>On Time/Early</v>
      </c>
      <c r="U916" t="str">
        <f t="shared" si="119"/>
        <v>Normal</v>
      </c>
      <c r="V916" t="s">
        <v>102</v>
      </c>
    </row>
    <row r="917" spans="1:22">
      <c r="A917" t="s">
        <v>1462</v>
      </c>
      <c r="B917" s="10">
        <v>43104.687997685185</v>
      </c>
      <c r="C917" s="10">
        <v>43104.699884259258</v>
      </c>
      <c r="D917" s="10">
        <v>43110.693472222221</v>
      </c>
      <c r="E917" s="10">
        <v>43131.661064814813</v>
      </c>
      <c r="F917" s="10">
        <v>43136</v>
      </c>
      <c r="G917" t="s">
        <v>33</v>
      </c>
      <c r="H917" t="s">
        <v>1463</v>
      </c>
      <c r="I917" t="s">
        <v>339</v>
      </c>
      <c r="J917" s="11">
        <v>1</v>
      </c>
      <c r="K917" s="12">
        <v>193</v>
      </c>
      <c r="L917" s="12">
        <v>15.08</v>
      </c>
      <c r="M917" s="13">
        <v>5</v>
      </c>
      <c r="N917" s="13">
        <f t="shared" si="112"/>
        <v>26.973067129627452</v>
      </c>
      <c r="O917" s="13">
        <f t="shared" si="113"/>
        <v>0</v>
      </c>
      <c r="P917" t="str">
        <f t="shared" si="114"/>
        <v>On Time</v>
      </c>
      <c r="Q917" s="13">
        <f t="shared" si="115"/>
        <v>0.28527777775889263</v>
      </c>
      <c r="R917" s="13">
        <f t="shared" si="116"/>
        <v>5.9935879629629198</v>
      </c>
      <c r="S917" s="13">
        <f t="shared" si="117"/>
        <v>20.967592592591245</v>
      </c>
      <c r="T917" t="str">
        <f t="shared" si="118"/>
        <v>On Time/Early</v>
      </c>
      <c r="U917" t="str">
        <f t="shared" si="119"/>
        <v>Normal</v>
      </c>
      <c r="V917" t="s">
        <v>102</v>
      </c>
    </row>
    <row r="918" spans="1:22">
      <c r="A918" t="s">
        <v>1464</v>
      </c>
      <c r="B918" s="10">
        <v>43104.709780092591</v>
      </c>
      <c r="C918" s="10">
        <v>43104.71770833333</v>
      </c>
      <c r="D918" s="10">
        <v>43110.836944444447</v>
      </c>
      <c r="E918" s="10">
        <v>43112.928773148145</v>
      </c>
      <c r="F918" s="10">
        <v>43122</v>
      </c>
      <c r="G918" t="s">
        <v>8</v>
      </c>
      <c r="H918" t="s">
        <v>140</v>
      </c>
      <c r="I918" t="s">
        <v>1440</v>
      </c>
      <c r="J918" s="11">
        <v>1</v>
      </c>
      <c r="K918" s="12">
        <v>39.49</v>
      </c>
      <c r="L918" s="12">
        <v>8.27</v>
      </c>
      <c r="M918" s="13">
        <v>3</v>
      </c>
      <c r="N918" s="13">
        <f t="shared" si="112"/>
        <v>8.218993055554165</v>
      </c>
      <c r="O918" s="13">
        <f t="shared" si="113"/>
        <v>0</v>
      </c>
      <c r="P918" t="str">
        <f t="shared" si="114"/>
        <v>On Time</v>
      </c>
      <c r="Q918" s="13">
        <f t="shared" si="115"/>
        <v>0.19027777772862464</v>
      </c>
      <c r="R918" s="13">
        <f t="shared" si="116"/>
        <v>6.1192361111170612</v>
      </c>
      <c r="S918" s="13">
        <f t="shared" si="117"/>
        <v>2.0918287036984111</v>
      </c>
      <c r="T918" t="str">
        <f t="shared" si="118"/>
        <v>On Time/Early</v>
      </c>
      <c r="U918" t="str">
        <f t="shared" si="119"/>
        <v>Normal</v>
      </c>
      <c r="V918" t="s">
        <v>102</v>
      </c>
    </row>
    <row r="919" spans="1:22">
      <c r="A919" t="s">
        <v>1465</v>
      </c>
      <c r="B919" s="10">
        <v>43104.763032407405</v>
      </c>
      <c r="C919" s="10">
        <v>43106.089456018519</v>
      </c>
      <c r="D919" s="10">
        <v>43110.559525462966</v>
      </c>
      <c r="E919" s="10">
        <v>43112.931944444441</v>
      </c>
      <c r="F919" s="10">
        <v>43129</v>
      </c>
      <c r="G919" t="s">
        <v>8</v>
      </c>
      <c r="H919" t="s">
        <v>1466</v>
      </c>
      <c r="I919" t="s">
        <v>368</v>
      </c>
      <c r="J919" s="11">
        <v>1</v>
      </c>
      <c r="K919" s="12">
        <v>129</v>
      </c>
      <c r="L919" s="12">
        <v>13.92</v>
      </c>
      <c r="M919" s="13">
        <v>4</v>
      </c>
      <c r="N919" s="13">
        <f t="shared" si="112"/>
        <v>8.168912037035625</v>
      </c>
      <c r="O919" s="13">
        <f t="shared" si="113"/>
        <v>0</v>
      </c>
      <c r="P919" t="str">
        <f t="shared" si="114"/>
        <v>On Time</v>
      </c>
      <c r="Q919" s="13">
        <f t="shared" si="115"/>
        <v>31.83416666672565</v>
      </c>
      <c r="R919" s="13">
        <f t="shared" si="116"/>
        <v>4.4700694444472902</v>
      </c>
      <c r="S919" s="13">
        <f t="shared" si="117"/>
        <v>2.372418981474766</v>
      </c>
      <c r="T919" t="str">
        <f t="shared" si="118"/>
        <v>On Time/Early</v>
      </c>
      <c r="U919" t="str">
        <f t="shared" si="119"/>
        <v>Normal</v>
      </c>
      <c r="V919" t="s">
        <v>102</v>
      </c>
    </row>
    <row r="920" spans="1:22">
      <c r="A920" t="s">
        <v>1467</v>
      </c>
      <c r="B920" s="10">
        <v>43104.804895833331</v>
      </c>
      <c r="C920" s="10">
        <v>43104.811157407406</v>
      </c>
      <c r="D920" s="10">
        <v>43105.84884259259</v>
      </c>
      <c r="E920" s="10">
        <v>43113.008425925924</v>
      </c>
      <c r="F920" s="10">
        <v>43133</v>
      </c>
      <c r="G920" t="s">
        <v>36</v>
      </c>
      <c r="H920" t="s">
        <v>1468</v>
      </c>
      <c r="I920" t="s">
        <v>31</v>
      </c>
      <c r="J920" s="11">
        <v>1</v>
      </c>
      <c r="K920" s="12">
        <v>18.899999999999999</v>
      </c>
      <c r="L920" s="12">
        <v>15.1</v>
      </c>
      <c r="M920" s="13">
        <v>5</v>
      </c>
      <c r="N920" s="13">
        <f t="shared" si="112"/>
        <v>8.2035300925927004</v>
      </c>
      <c r="O920" s="13">
        <f t="shared" si="113"/>
        <v>0</v>
      </c>
      <c r="P920" t="str">
        <f t="shared" si="114"/>
        <v>On Time</v>
      </c>
      <c r="Q920" s="13">
        <f t="shared" si="115"/>
        <v>0.15027777780778706</v>
      </c>
      <c r="R920" s="13">
        <f t="shared" si="116"/>
        <v>1.0376851851833635</v>
      </c>
      <c r="S920" s="13">
        <f t="shared" si="117"/>
        <v>7.1595833333340124</v>
      </c>
      <c r="T920" t="str">
        <f t="shared" si="118"/>
        <v>On Time/Early</v>
      </c>
      <c r="U920" t="str">
        <f t="shared" si="119"/>
        <v>Normal</v>
      </c>
      <c r="V920" t="s">
        <v>102</v>
      </c>
    </row>
    <row r="921" spans="1:22">
      <c r="A921" t="s">
        <v>1469</v>
      </c>
      <c r="B921" s="10">
        <v>43105.89439814815</v>
      </c>
      <c r="C921" s="10">
        <v>43105.899583333332</v>
      </c>
      <c r="D921" s="10">
        <v>43109.901585648149</v>
      </c>
      <c r="E921" s="10">
        <v>43113.068796296298</v>
      </c>
      <c r="F921" s="10">
        <v>43133</v>
      </c>
      <c r="G921" t="s">
        <v>8</v>
      </c>
      <c r="H921" t="s">
        <v>140</v>
      </c>
      <c r="I921" t="s">
        <v>246</v>
      </c>
      <c r="J921" s="11">
        <v>1</v>
      </c>
      <c r="K921" s="12">
        <v>129.99</v>
      </c>
      <c r="L921" s="12">
        <v>17.16</v>
      </c>
      <c r="M921" s="13">
        <v>5</v>
      </c>
      <c r="N921" s="13">
        <f t="shared" si="112"/>
        <v>7.1743981481486117</v>
      </c>
      <c r="O921" s="13">
        <f t="shared" si="113"/>
        <v>0</v>
      </c>
      <c r="P921" t="str">
        <f t="shared" si="114"/>
        <v>On Time</v>
      </c>
      <c r="Q921" s="13">
        <f t="shared" si="115"/>
        <v>0.12444444437278435</v>
      </c>
      <c r="R921" s="13">
        <f t="shared" si="116"/>
        <v>4.0020023148172186</v>
      </c>
      <c r="S921" s="13">
        <f t="shared" si="117"/>
        <v>3.1672106481491937</v>
      </c>
      <c r="T921" t="str">
        <f t="shared" si="118"/>
        <v>On Time/Early</v>
      </c>
      <c r="U921" t="str">
        <f t="shared" si="119"/>
        <v>Normal</v>
      </c>
      <c r="V921" t="s">
        <v>102</v>
      </c>
    </row>
    <row r="922" spans="1:22">
      <c r="A922" t="s">
        <v>1470</v>
      </c>
      <c r="B922" s="10">
        <v>43106.365925925929</v>
      </c>
      <c r="C922" s="10">
        <v>43109.307199074072</v>
      </c>
      <c r="D922" s="10">
        <v>43111.821018518516</v>
      </c>
      <c r="E922" s="10">
        <v>43116.540856481479</v>
      </c>
      <c r="F922" s="10">
        <v>43131</v>
      </c>
      <c r="G922" t="s">
        <v>8</v>
      </c>
      <c r="H922" t="s">
        <v>1471</v>
      </c>
      <c r="I922" t="s">
        <v>154</v>
      </c>
      <c r="J922" s="11">
        <v>1</v>
      </c>
      <c r="K922" s="12">
        <v>119</v>
      </c>
      <c r="L922" s="12">
        <v>40.82</v>
      </c>
      <c r="M922" s="13">
        <v>5</v>
      </c>
      <c r="N922" s="13">
        <f t="shared" si="112"/>
        <v>10.174930555549508</v>
      </c>
      <c r="O922" s="13">
        <f t="shared" si="113"/>
        <v>0</v>
      </c>
      <c r="P922" t="str">
        <f t="shared" si="114"/>
        <v>On Time</v>
      </c>
      <c r="Q922" s="13">
        <f t="shared" si="115"/>
        <v>70.590555555419996</v>
      </c>
      <c r="R922" s="13">
        <f t="shared" si="116"/>
        <v>2.5138194444443798</v>
      </c>
      <c r="S922" s="13">
        <f t="shared" si="117"/>
        <v>4.7198379629626288</v>
      </c>
      <c r="T922" t="str">
        <f t="shared" si="118"/>
        <v>On Time/Early</v>
      </c>
      <c r="U922" t="str">
        <f t="shared" si="119"/>
        <v>Normal</v>
      </c>
      <c r="V922" t="s">
        <v>102</v>
      </c>
    </row>
    <row r="923" spans="1:22">
      <c r="A923" t="s">
        <v>1472</v>
      </c>
      <c r="B923" s="10">
        <v>43106.667337962965</v>
      </c>
      <c r="C923" s="10">
        <v>43109.310266203705</v>
      </c>
      <c r="D923" s="10">
        <v>43109.985312500001</v>
      </c>
      <c r="E923" s="10">
        <v>43117.836655092593</v>
      </c>
      <c r="F923" s="10">
        <v>43137</v>
      </c>
      <c r="G923" t="s">
        <v>20</v>
      </c>
      <c r="H923" t="s">
        <v>1362</v>
      </c>
      <c r="I923" t="s">
        <v>841</v>
      </c>
      <c r="J923" s="11">
        <v>1</v>
      </c>
      <c r="K923" s="12">
        <v>599</v>
      </c>
      <c r="L923" s="12">
        <v>73.41</v>
      </c>
      <c r="M923" s="13">
        <v>5</v>
      </c>
      <c r="N923" s="13">
        <f t="shared" si="112"/>
        <v>11.169317129628325</v>
      </c>
      <c r="O923" s="13">
        <f t="shared" si="113"/>
        <v>0</v>
      </c>
      <c r="P923" t="str">
        <f t="shared" si="114"/>
        <v>On Time</v>
      </c>
      <c r="Q923" s="13">
        <f t="shared" si="115"/>
        <v>63.430277777777519</v>
      </c>
      <c r="R923" s="13">
        <f t="shared" si="116"/>
        <v>0.67504629629547708</v>
      </c>
      <c r="S923" s="13">
        <f t="shared" si="117"/>
        <v>7.8513425925921183</v>
      </c>
      <c r="T923" t="str">
        <f t="shared" si="118"/>
        <v>On Time/Early</v>
      </c>
      <c r="U923" t="str">
        <f t="shared" si="119"/>
        <v>Normal</v>
      </c>
      <c r="V923" t="s">
        <v>102</v>
      </c>
    </row>
    <row r="924" spans="1:22">
      <c r="A924" t="s">
        <v>1473</v>
      </c>
      <c r="B924" s="10">
        <v>43106.949965277781</v>
      </c>
      <c r="C924" s="10">
        <v>43106.955104166664</v>
      </c>
      <c r="D924" s="10">
        <v>43109.791689814818</v>
      </c>
      <c r="E924" s="10">
        <v>43129.916412037041</v>
      </c>
      <c r="F924" s="10">
        <v>43132</v>
      </c>
      <c r="G924" t="s">
        <v>8</v>
      </c>
      <c r="H924" t="s">
        <v>140</v>
      </c>
      <c r="I924" t="s">
        <v>101</v>
      </c>
      <c r="J924" s="11">
        <v>1</v>
      </c>
      <c r="K924" s="12">
        <v>49</v>
      </c>
      <c r="L924" s="12">
        <v>14.1</v>
      </c>
      <c r="M924" s="13">
        <v>3</v>
      </c>
      <c r="N924" s="13">
        <f t="shared" si="112"/>
        <v>22.96644675925927</v>
      </c>
      <c r="O924" s="13">
        <f t="shared" si="113"/>
        <v>0</v>
      </c>
      <c r="P924" t="str">
        <f t="shared" si="114"/>
        <v>On Time</v>
      </c>
      <c r="Q924" s="13">
        <f t="shared" si="115"/>
        <v>0.1233333331765607</v>
      </c>
      <c r="R924" s="13">
        <f t="shared" si="116"/>
        <v>2.8365856481541414</v>
      </c>
      <c r="S924" s="13">
        <f t="shared" si="117"/>
        <v>20.124722222222772</v>
      </c>
      <c r="T924" t="str">
        <f t="shared" si="118"/>
        <v>On Time/Early</v>
      </c>
      <c r="U924" t="str">
        <f t="shared" si="119"/>
        <v>Normal</v>
      </c>
      <c r="V924" t="s">
        <v>102</v>
      </c>
    </row>
    <row r="925" spans="1:22">
      <c r="A925" t="s">
        <v>1474</v>
      </c>
      <c r="B925" s="10">
        <v>43107.431331018517</v>
      </c>
      <c r="C925" s="10">
        <v>43107.437071759261</v>
      </c>
      <c r="D925" s="10">
        <v>43109.00236111111</v>
      </c>
      <c r="E925" s="10">
        <v>43123.711921296293</v>
      </c>
      <c r="F925" s="10">
        <v>43140</v>
      </c>
      <c r="G925" t="s">
        <v>16</v>
      </c>
      <c r="H925" t="s">
        <v>852</v>
      </c>
      <c r="I925" t="s">
        <v>143</v>
      </c>
      <c r="J925" s="11">
        <v>1</v>
      </c>
      <c r="K925" s="12">
        <v>98</v>
      </c>
      <c r="L925" s="12">
        <v>36.01</v>
      </c>
      <c r="M925" s="13">
        <v>5</v>
      </c>
      <c r="N925" s="13">
        <f t="shared" si="112"/>
        <v>16.280590277776355</v>
      </c>
      <c r="O925" s="13">
        <f t="shared" si="113"/>
        <v>0</v>
      </c>
      <c r="P925" t="str">
        <f t="shared" si="114"/>
        <v>On Time</v>
      </c>
      <c r="Q925" s="13">
        <f t="shared" si="115"/>
        <v>0.13777777785435319</v>
      </c>
      <c r="R925" s="13">
        <f t="shared" si="116"/>
        <v>1.56528935184906</v>
      </c>
      <c r="S925" s="13">
        <f t="shared" si="117"/>
        <v>14.709560185183364</v>
      </c>
      <c r="T925" t="str">
        <f t="shared" si="118"/>
        <v>On Time/Early</v>
      </c>
      <c r="U925" t="str">
        <f t="shared" si="119"/>
        <v>Normal</v>
      </c>
      <c r="V925" t="s">
        <v>102</v>
      </c>
    </row>
    <row r="926" spans="1:22">
      <c r="A926" t="s">
        <v>1475</v>
      </c>
      <c r="B926" s="10">
        <v>43107.452997685185</v>
      </c>
      <c r="C926" s="10">
        <v>43107.457974537036</v>
      </c>
      <c r="D926" s="10">
        <v>43108.865532407406</v>
      </c>
      <c r="E926" s="10">
        <v>43124.798634259256</v>
      </c>
      <c r="F926" s="10">
        <v>43132</v>
      </c>
      <c r="G926" t="s">
        <v>36</v>
      </c>
      <c r="H926" t="s">
        <v>467</v>
      </c>
      <c r="I926" t="s">
        <v>221</v>
      </c>
      <c r="J926" s="11">
        <v>1</v>
      </c>
      <c r="K926" s="12">
        <v>55</v>
      </c>
      <c r="L926" s="12">
        <v>14.14</v>
      </c>
      <c r="M926" s="13">
        <v>4</v>
      </c>
      <c r="N926" s="13">
        <f t="shared" si="112"/>
        <v>17.34563657407125</v>
      </c>
      <c r="O926" s="13">
        <f t="shared" si="113"/>
        <v>0</v>
      </c>
      <c r="P926" t="str">
        <f t="shared" si="114"/>
        <v>On Time</v>
      </c>
      <c r="Q926" s="13">
        <f t="shared" si="115"/>
        <v>0.11944444442633539</v>
      </c>
      <c r="R926" s="13">
        <f t="shared" si="116"/>
        <v>1.4075578703705105</v>
      </c>
      <c r="S926" s="13">
        <f t="shared" si="117"/>
        <v>15.933101851849642</v>
      </c>
      <c r="T926" t="str">
        <f t="shared" si="118"/>
        <v>On Time/Early</v>
      </c>
      <c r="U926" t="str">
        <f t="shared" si="119"/>
        <v>Normal</v>
      </c>
      <c r="V926" t="s">
        <v>102</v>
      </c>
    </row>
    <row r="927" spans="1:22">
      <c r="A927" t="s">
        <v>1476</v>
      </c>
      <c r="B927" s="10">
        <v>43108.594456018516</v>
      </c>
      <c r="C927" s="10">
        <v>43108.602800925924</v>
      </c>
      <c r="D927" s="10">
        <v>43109.722071759257</v>
      </c>
      <c r="E927" s="10">
        <v>43111.672592592593</v>
      </c>
      <c r="F927" s="10">
        <v>43132</v>
      </c>
      <c r="G927" t="s">
        <v>8</v>
      </c>
      <c r="H927" t="s">
        <v>140</v>
      </c>
      <c r="I927" t="s">
        <v>143</v>
      </c>
      <c r="J927" s="11">
        <v>1</v>
      </c>
      <c r="K927" s="12">
        <v>7</v>
      </c>
      <c r="L927" s="12">
        <v>14.1</v>
      </c>
      <c r="M927" s="13">
        <v>5</v>
      </c>
      <c r="N927" s="13">
        <f t="shared" si="112"/>
        <v>3.0781365740767797</v>
      </c>
      <c r="O927" s="13">
        <f t="shared" si="113"/>
        <v>0</v>
      </c>
      <c r="P927" t="str">
        <f t="shared" si="114"/>
        <v>On Time</v>
      </c>
      <c r="Q927" s="13">
        <f t="shared" si="115"/>
        <v>0.20027777779614553</v>
      </c>
      <c r="R927" s="13">
        <f t="shared" si="116"/>
        <v>1.1192708333328483</v>
      </c>
      <c r="S927" s="13">
        <f t="shared" si="117"/>
        <v>1.9505208333357587</v>
      </c>
      <c r="T927" t="str">
        <f t="shared" si="118"/>
        <v>On Time/Early</v>
      </c>
      <c r="U927" t="str">
        <f t="shared" si="119"/>
        <v>Normal</v>
      </c>
      <c r="V927" t="s">
        <v>102</v>
      </c>
    </row>
    <row r="928" spans="1:22">
      <c r="A928" t="s">
        <v>1477</v>
      </c>
      <c r="B928" s="10">
        <v>43108.612858796296</v>
      </c>
      <c r="C928" s="10">
        <v>43108.621099537035</v>
      </c>
      <c r="D928" s="10">
        <v>43109.454293981478</v>
      </c>
      <c r="E928" s="10">
        <v>43122.714930555558</v>
      </c>
      <c r="F928" s="10">
        <v>43140</v>
      </c>
      <c r="G928" t="s">
        <v>16</v>
      </c>
      <c r="H928" t="s">
        <v>656</v>
      </c>
      <c r="I928" t="s">
        <v>58</v>
      </c>
      <c r="J928" s="11">
        <v>1</v>
      </c>
      <c r="K928" s="12">
        <v>58.9</v>
      </c>
      <c r="L928" s="12">
        <v>16.170000000000002</v>
      </c>
      <c r="M928" s="13">
        <v>5</v>
      </c>
      <c r="N928" s="13">
        <f t="shared" si="112"/>
        <v>14.102071759261889</v>
      </c>
      <c r="O928" s="13">
        <f t="shared" si="113"/>
        <v>0</v>
      </c>
      <c r="P928" t="str">
        <f t="shared" si="114"/>
        <v>On Time</v>
      </c>
      <c r="Q928" s="13">
        <f t="shared" si="115"/>
        <v>0.19777777773560956</v>
      </c>
      <c r="R928" s="13">
        <f t="shared" si="116"/>
        <v>0.83319444444350665</v>
      </c>
      <c r="S928" s="13">
        <f t="shared" si="117"/>
        <v>13.260636574079399</v>
      </c>
      <c r="T928" t="str">
        <f t="shared" si="118"/>
        <v>On Time/Early</v>
      </c>
      <c r="U928" t="str">
        <f t="shared" si="119"/>
        <v>Normal</v>
      </c>
      <c r="V928" t="s">
        <v>102</v>
      </c>
    </row>
    <row r="929" spans="1:22">
      <c r="A929" t="s">
        <v>1478</v>
      </c>
      <c r="B929" s="10">
        <v>43108.633229166669</v>
      </c>
      <c r="C929" s="10">
        <v>43108.638495370367</v>
      </c>
      <c r="D929" s="10">
        <v>43108.956180555557</v>
      </c>
      <c r="E929" s="10">
        <v>43111.686759259261</v>
      </c>
      <c r="F929" s="10">
        <v>43136</v>
      </c>
      <c r="G929" t="s">
        <v>8</v>
      </c>
      <c r="H929" t="s">
        <v>1479</v>
      </c>
      <c r="I929" t="s">
        <v>154</v>
      </c>
      <c r="J929" s="11">
        <v>1</v>
      </c>
      <c r="K929" s="12">
        <v>179</v>
      </c>
      <c r="L929" s="12">
        <v>18</v>
      </c>
      <c r="M929" s="13">
        <v>5</v>
      </c>
      <c r="N929" s="13">
        <f t="shared" si="112"/>
        <v>3.0535300925912452</v>
      </c>
      <c r="O929" s="13">
        <f t="shared" si="113"/>
        <v>0</v>
      </c>
      <c r="P929" t="str">
        <f t="shared" si="114"/>
        <v>On Time</v>
      </c>
      <c r="Q929" s="13">
        <f t="shared" si="115"/>
        <v>0.126388888747897</v>
      </c>
      <c r="R929" s="13">
        <f t="shared" si="116"/>
        <v>0.31768518518947531</v>
      </c>
      <c r="S929" s="13">
        <f t="shared" si="117"/>
        <v>2.7305787037039408</v>
      </c>
      <c r="T929" t="str">
        <f t="shared" si="118"/>
        <v>On Time/Early</v>
      </c>
      <c r="U929" t="str">
        <f t="shared" si="119"/>
        <v>Normal</v>
      </c>
      <c r="V929" t="s">
        <v>102</v>
      </c>
    </row>
    <row r="930" spans="1:22">
      <c r="A930" t="s">
        <v>1480</v>
      </c>
      <c r="B930" s="10">
        <v>43108.779976851853</v>
      </c>
      <c r="C930" s="10">
        <v>43108.787847222222</v>
      </c>
      <c r="D930" s="10">
        <v>43109.679837962962</v>
      </c>
      <c r="E930" s="10">
        <v>43118.029490740744</v>
      </c>
      <c r="F930" s="10">
        <v>43137</v>
      </c>
      <c r="G930" t="s">
        <v>23</v>
      </c>
      <c r="H930" t="s">
        <v>789</v>
      </c>
      <c r="I930" t="s">
        <v>123</v>
      </c>
      <c r="J930" s="11">
        <v>1</v>
      </c>
      <c r="K930" s="12">
        <v>229.99</v>
      </c>
      <c r="L930" s="12">
        <v>24.48</v>
      </c>
      <c r="M930" s="13">
        <v>5</v>
      </c>
      <c r="N930" s="13">
        <f t="shared" si="112"/>
        <v>9.2495138888916699</v>
      </c>
      <c r="O930" s="13">
        <f t="shared" si="113"/>
        <v>0</v>
      </c>
      <c r="P930" t="str">
        <f t="shared" si="114"/>
        <v>On Time</v>
      </c>
      <c r="Q930" s="13">
        <f t="shared" si="115"/>
        <v>0.18888888886431232</v>
      </c>
      <c r="R930" s="13">
        <f t="shared" si="116"/>
        <v>0.89199074073985685</v>
      </c>
      <c r="S930" s="13">
        <f t="shared" si="117"/>
        <v>8.3496527777824667</v>
      </c>
      <c r="T930" t="str">
        <f t="shared" si="118"/>
        <v>On Time/Early</v>
      </c>
      <c r="U930" t="str">
        <f t="shared" si="119"/>
        <v>Normal</v>
      </c>
      <c r="V930" t="s">
        <v>102</v>
      </c>
    </row>
    <row r="931" spans="1:22">
      <c r="A931" t="s">
        <v>1481</v>
      </c>
      <c r="B931" s="10">
        <v>43108.836157407408</v>
      </c>
      <c r="C931" s="10">
        <v>43108.842037037037</v>
      </c>
      <c r="D931" s="10">
        <v>43110.781446759262</v>
      </c>
      <c r="E931" s="10">
        <v>43124.779849537037</v>
      </c>
      <c r="F931" s="10">
        <v>43133</v>
      </c>
      <c r="G931" t="s">
        <v>110</v>
      </c>
      <c r="H931" t="s">
        <v>111</v>
      </c>
      <c r="I931" t="s">
        <v>37</v>
      </c>
      <c r="J931" s="11">
        <v>1</v>
      </c>
      <c r="K931" s="12">
        <v>94.9</v>
      </c>
      <c r="L931" s="12">
        <v>20.149999999999999</v>
      </c>
      <c r="M931" s="13">
        <v>5</v>
      </c>
      <c r="N931" s="13">
        <f t="shared" si="112"/>
        <v>15.943692129629198</v>
      </c>
      <c r="O931" s="13">
        <f t="shared" si="113"/>
        <v>0</v>
      </c>
      <c r="P931" t="str">
        <f t="shared" si="114"/>
        <v>On Time</v>
      </c>
      <c r="Q931" s="13">
        <f t="shared" si="115"/>
        <v>0.14111111109377816</v>
      </c>
      <c r="R931" s="13">
        <f t="shared" si="116"/>
        <v>1.9394097222248092</v>
      </c>
      <c r="S931" s="13">
        <f t="shared" si="117"/>
        <v>13.998402777775482</v>
      </c>
      <c r="T931" t="str">
        <f t="shared" si="118"/>
        <v>On Time/Early</v>
      </c>
      <c r="U931" t="str">
        <f t="shared" si="119"/>
        <v>Normal</v>
      </c>
      <c r="V931" t="s">
        <v>102</v>
      </c>
    </row>
    <row r="932" spans="1:22">
      <c r="A932" t="s">
        <v>1482</v>
      </c>
      <c r="B932" s="10">
        <v>43108.931087962963</v>
      </c>
      <c r="C932" s="10">
        <v>43108.938622685186</v>
      </c>
      <c r="D932" s="10">
        <v>43109.676354166666</v>
      </c>
      <c r="E932" s="10">
        <v>43121.741354166668</v>
      </c>
      <c r="F932" s="10">
        <v>43132</v>
      </c>
      <c r="G932" t="s">
        <v>8</v>
      </c>
      <c r="H932" t="s">
        <v>1483</v>
      </c>
      <c r="I932" t="s">
        <v>136</v>
      </c>
      <c r="J932" s="11">
        <v>1</v>
      </c>
      <c r="K932" s="12">
        <v>167.68</v>
      </c>
      <c r="L932" s="12">
        <v>14.92</v>
      </c>
      <c r="M932" s="13">
        <v>3</v>
      </c>
      <c r="N932" s="13">
        <f t="shared" si="112"/>
        <v>12.810266203705396</v>
      </c>
      <c r="O932" s="13">
        <f t="shared" si="113"/>
        <v>0</v>
      </c>
      <c r="P932" t="str">
        <f t="shared" si="114"/>
        <v>On Time</v>
      </c>
      <c r="Q932" s="13">
        <f t="shared" si="115"/>
        <v>0.18083333334652707</v>
      </c>
      <c r="R932" s="13">
        <f t="shared" si="116"/>
        <v>0.73773148148029577</v>
      </c>
      <c r="S932" s="13">
        <f t="shared" si="117"/>
        <v>12.065000000002328</v>
      </c>
      <c r="T932" t="str">
        <f t="shared" si="118"/>
        <v>On Time/Early</v>
      </c>
      <c r="U932" t="str">
        <f t="shared" si="119"/>
        <v>Normal</v>
      </c>
      <c r="V932" t="s">
        <v>102</v>
      </c>
    </row>
    <row r="933" spans="1:22">
      <c r="A933" t="s">
        <v>1484</v>
      </c>
      <c r="B933" s="10">
        <v>43108.988518518519</v>
      </c>
      <c r="C933" s="10">
        <v>43109.061215277776</v>
      </c>
      <c r="D933" s="10">
        <v>43109.754386574074</v>
      </c>
      <c r="E933" s="10">
        <v>43122.749432870369</v>
      </c>
      <c r="F933" s="10">
        <v>43145</v>
      </c>
      <c r="G933" t="s">
        <v>134</v>
      </c>
      <c r="H933" t="s">
        <v>1485</v>
      </c>
      <c r="I933" t="s">
        <v>118</v>
      </c>
      <c r="J933" s="11">
        <v>1</v>
      </c>
      <c r="K933" s="12">
        <v>29.9</v>
      </c>
      <c r="L933" s="12">
        <v>16.79</v>
      </c>
      <c r="M933" s="13">
        <v>5</v>
      </c>
      <c r="N933" s="13">
        <f t="shared" si="112"/>
        <v>13.760914351849351</v>
      </c>
      <c r="O933" s="13">
        <f t="shared" si="113"/>
        <v>0</v>
      </c>
      <c r="P933" t="str">
        <f t="shared" si="114"/>
        <v>On Time</v>
      </c>
      <c r="Q933" s="13">
        <f t="shared" si="115"/>
        <v>1.7447222221526317</v>
      </c>
      <c r="R933" s="13">
        <f t="shared" si="116"/>
        <v>0.69317129629780538</v>
      </c>
      <c r="S933" s="13">
        <f t="shared" si="117"/>
        <v>12.995046296295186</v>
      </c>
      <c r="T933" t="str">
        <f t="shared" si="118"/>
        <v>On Time/Early</v>
      </c>
      <c r="U933" t="str">
        <f t="shared" si="119"/>
        <v>Normal</v>
      </c>
      <c r="V933" t="s">
        <v>102</v>
      </c>
    </row>
    <row r="934" spans="1:22">
      <c r="A934" t="s">
        <v>1486</v>
      </c>
      <c r="B934" s="10">
        <v>43109.398113425923</v>
      </c>
      <c r="C934" s="10">
        <v>43109.40898148148</v>
      </c>
      <c r="D934" s="10">
        <v>43111.826215277775</v>
      </c>
      <c r="E934" s="10">
        <v>43115.700833333336</v>
      </c>
      <c r="F934" s="10">
        <v>43133</v>
      </c>
      <c r="G934" t="s">
        <v>8</v>
      </c>
      <c r="H934" t="s">
        <v>1487</v>
      </c>
      <c r="I934" t="s">
        <v>368</v>
      </c>
      <c r="J934" s="11">
        <v>1</v>
      </c>
      <c r="K934" s="12">
        <v>129</v>
      </c>
      <c r="L934" s="12">
        <v>13.92</v>
      </c>
      <c r="M934" s="13">
        <v>2</v>
      </c>
      <c r="N934" s="13">
        <f t="shared" si="112"/>
        <v>6.3027199074131204</v>
      </c>
      <c r="O934" s="13">
        <f t="shared" si="113"/>
        <v>0</v>
      </c>
      <c r="P934" t="str">
        <f t="shared" si="114"/>
        <v>On Time</v>
      </c>
      <c r="Q934" s="13">
        <f t="shared" si="115"/>
        <v>0.26083333336282521</v>
      </c>
      <c r="R934" s="13">
        <f t="shared" si="116"/>
        <v>2.4172337962954771</v>
      </c>
      <c r="S934" s="13">
        <f t="shared" si="117"/>
        <v>3.8746180555608589</v>
      </c>
      <c r="T934" t="str">
        <f t="shared" si="118"/>
        <v>On Time/Early</v>
      </c>
      <c r="U934" t="str">
        <f t="shared" si="119"/>
        <v>Normal</v>
      </c>
      <c r="V934" t="s">
        <v>102</v>
      </c>
    </row>
    <row r="935" spans="1:22">
      <c r="A935" t="s">
        <v>1488</v>
      </c>
      <c r="B935" s="10">
        <v>43109.593090277776</v>
      </c>
      <c r="C935" s="10">
        <v>43110.623981481483</v>
      </c>
      <c r="D935" s="10">
        <v>43111.787256944444</v>
      </c>
      <c r="E935" s="10">
        <v>43116.802233796298</v>
      </c>
      <c r="F935" s="10">
        <v>43132</v>
      </c>
      <c r="G935" t="s">
        <v>20</v>
      </c>
      <c r="H935" t="s">
        <v>104</v>
      </c>
      <c r="I935" t="s">
        <v>380</v>
      </c>
      <c r="J935" s="11">
        <v>1</v>
      </c>
      <c r="K935" s="12">
        <v>68</v>
      </c>
      <c r="L935" s="12">
        <v>14.23</v>
      </c>
      <c r="M935" s="13">
        <v>5</v>
      </c>
      <c r="N935" s="13">
        <f t="shared" si="112"/>
        <v>7.2091435185211594</v>
      </c>
      <c r="O935" s="13">
        <f t="shared" si="113"/>
        <v>0</v>
      </c>
      <c r="P935" t="str">
        <f t="shared" si="114"/>
        <v>On Time</v>
      </c>
      <c r="Q935" s="13">
        <f t="shared" si="115"/>
        <v>24.741388888971414</v>
      </c>
      <c r="R935" s="13">
        <f t="shared" si="116"/>
        <v>1.1632754629608826</v>
      </c>
      <c r="S935" s="13">
        <f t="shared" si="117"/>
        <v>5.0149768518531346</v>
      </c>
      <c r="T935" t="str">
        <f t="shared" si="118"/>
        <v>On Time/Early</v>
      </c>
      <c r="U935" t="str">
        <f t="shared" si="119"/>
        <v>Normal</v>
      </c>
      <c r="V935" t="s">
        <v>102</v>
      </c>
    </row>
    <row r="936" spans="1:22">
      <c r="A936" t="s">
        <v>1489</v>
      </c>
      <c r="B936" s="10">
        <v>43109.932604166665</v>
      </c>
      <c r="C936" s="10">
        <v>43110.438923611109</v>
      </c>
      <c r="D936" s="10">
        <v>43115.661493055559</v>
      </c>
      <c r="E936" s="10">
        <v>43140.761157407411</v>
      </c>
      <c r="F936" s="10">
        <v>43146</v>
      </c>
      <c r="G936" t="s">
        <v>36</v>
      </c>
      <c r="H936" t="s">
        <v>1490</v>
      </c>
      <c r="I936" t="s">
        <v>368</v>
      </c>
      <c r="J936" s="11">
        <v>1</v>
      </c>
      <c r="K936" s="12">
        <v>129</v>
      </c>
      <c r="L936" s="12">
        <v>18.149999999999999</v>
      </c>
      <c r="M936" s="13">
        <v>5</v>
      </c>
      <c r="N936" s="13">
        <f t="shared" si="112"/>
        <v>30.82855324074626</v>
      </c>
      <c r="O936" s="13">
        <f t="shared" si="113"/>
        <v>0</v>
      </c>
      <c r="P936" t="str">
        <f t="shared" si="114"/>
        <v>On Time</v>
      </c>
      <c r="Q936" s="13">
        <f t="shared" si="115"/>
        <v>12.151666666672099</v>
      </c>
      <c r="R936" s="13">
        <f t="shared" si="116"/>
        <v>5.2225694444496185</v>
      </c>
      <c r="S936" s="13">
        <f t="shared" si="117"/>
        <v>25.09966435185197</v>
      </c>
      <c r="T936" t="str">
        <f t="shared" si="118"/>
        <v>On Time/Early</v>
      </c>
      <c r="U936" t="str">
        <f t="shared" si="119"/>
        <v>Normal</v>
      </c>
      <c r="V936" t="s">
        <v>102</v>
      </c>
    </row>
    <row r="937" spans="1:22">
      <c r="A937" t="s">
        <v>1491</v>
      </c>
      <c r="B937" s="10">
        <v>43109.948067129626</v>
      </c>
      <c r="C937" s="10">
        <v>43110.438923611109</v>
      </c>
      <c r="D937" s="10">
        <v>43115.567893518521</v>
      </c>
      <c r="E937" s="10">
        <v>43127.47315972222</v>
      </c>
      <c r="F937" s="10">
        <v>43133</v>
      </c>
      <c r="G937" t="s">
        <v>30</v>
      </c>
      <c r="H937" t="s">
        <v>329</v>
      </c>
      <c r="I937" t="s">
        <v>422</v>
      </c>
      <c r="J937" s="11">
        <v>1</v>
      </c>
      <c r="K937" s="12">
        <v>79</v>
      </c>
      <c r="L937" s="12">
        <v>14.3</v>
      </c>
      <c r="M937" s="13">
        <v>5</v>
      </c>
      <c r="N937" s="13">
        <f t="shared" si="112"/>
        <v>17.525092592593865</v>
      </c>
      <c r="O937" s="13">
        <f t="shared" si="113"/>
        <v>0</v>
      </c>
      <c r="P937" t="str">
        <f t="shared" si="114"/>
        <v>On Time</v>
      </c>
      <c r="Q937" s="13">
        <f t="shared" si="115"/>
        <v>11.780555555596948</v>
      </c>
      <c r="R937" s="13">
        <f t="shared" si="116"/>
        <v>5.1289699074113742</v>
      </c>
      <c r="S937" s="13">
        <f t="shared" si="117"/>
        <v>11.905266203699284</v>
      </c>
      <c r="T937" t="str">
        <f t="shared" si="118"/>
        <v>On Time/Early</v>
      </c>
      <c r="U937" t="str">
        <f t="shared" si="119"/>
        <v>Normal</v>
      </c>
      <c r="V937" t="s">
        <v>102</v>
      </c>
    </row>
    <row r="938" spans="1:22">
      <c r="A938" t="s">
        <v>1492</v>
      </c>
      <c r="B938" s="10">
        <v>43110.412557870368</v>
      </c>
      <c r="C938" s="10">
        <v>43110.438715277778</v>
      </c>
      <c r="D938" s="10">
        <v>43115.714606481481</v>
      </c>
      <c r="E938" s="10">
        <v>43122.640555555554</v>
      </c>
      <c r="F938" s="10">
        <v>43137</v>
      </c>
      <c r="G938" t="s">
        <v>8</v>
      </c>
      <c r="H938" t="s">
        <v>214</v>
      </c>
      <c r="I938" t="s">
        <v>753</v>
      </c>
      <c r="J938" s="11">
        <v>2</v>
      </c>
      <c r="K938" s="12">
        <v>53.8</v>
      </c>
      <c r="L938" s="12">
        <v>24.96</v>
      </c>
      <c r="M938" s="13">
        <v>4</v>
      </c>
      <c r="N938" s="13">
        <f t="shared" si="112"/>
        <v>12.227997685185983</v>
      </c>
      <c r="O938" s="13">
        <f t="shared" si="113"/>
        <v>0</v>
      </c>
      <c r="P938" t="str">
        <f t="shared" si="114"/>
        <v>On Time</v>
      </c>
      <c r="Q938" s="13">
        <f t="shared" si="115"/>
        <v>0.62777777784503996</v>
      </c>
      <c r="R938" s="13">
        <f t="shared" si="116"/>
        <v>5.2758912037024857</v>
      </c>
      <c r="S938" s="13">
        <f t="shared" si="117"/>
        <v>6.9259490740732872</v>
      </c>
      <c r="T938" t="str">
        <f t="shared" si="118"/>
        <v>On Time/Early</v>
      </c>
      <c r="U938" t="str">
        <f t="shared" si="119"/>
        <v>Normal</v>
      </c>
      <c r="V938" t="s">
        <v>102</v>
      </c>
    </row>
    <row r="939" spans="1:22">
      <c r="A939" t="s">
        <v>1493</v>
      </c>
      <c r="B939" s="10">
        <v>43110.495833333334</v>
      </c>
      <c r="C939" s="10">
        <v>43110.506238425929</v>
      </c>
      <c r="D939" s="10">
        <v>43111.96193287037</v>
      </c>
      <c r="E939" s="10">
        <v>43130.98060185185</v>
      </c>
      <c r="F939" s="10">
        <v>43151</v>
      </c>
      <c r="G939" t="s">
        <v>175</v>
      </c>
      <c r="H939" t="s">
        <v>1494</v>
      </c>
      <c r="I939" t="s">
        <v>279</v>
      </c>
      <c r="J939" s="11">
        <v>1</v>
      </c>
      <c r="K939" s="12">
        <v>34.9</v>
      </c>
      <c r="L939" s="12">
        <v>34.15</v>
      </c>
      <c r="M939" s="13">
        <v>5</v>
      </c>
      <c r="N939" s="13">
        <f t="shared" si="112"/>
        <v>20.484768518515921</v>
      </c>
      <c r="O939" s="13">
        <f t="shared" si="113"/>
        <v>0</v>
      </c>
      <c r="P939" t="str">
        <f t="shared" si="114"/>
        <v>On Time</v>
      </c>
      <c r="Q939" s="13">
        <f t="shared" si="115"/>
        <v>0.24972222227370366</v>
      </c>
      <c r="R939" s="13">
        <f t="shared" si="116"/>
        <v>1.4556944444411783</v>
      </c>
      <c r="S939" s="13">
        <f t="shared" si="117"/>
        <v>19.018668981480005</v>
      </c>
      <c r="T939" t="str">
        <f t="shared" si="118"/>
        <v>On Time/Early</v>
      </c>
      <c r="U939" t="str">
        <f t="shared" si="119"/>
        <v>Normal</v>
      </c>
      <c r="V939" t="s">
        <v>102</v>
      </c>
    </row>
    <row r="940" spans="1:22">
      <c r="A940" t="s">
        <v>1495</v>
      </c>
      <c r="B940" s="10">
        <v>43110.517592592594</v>
      </c>
      <c r="C940" s="10">
        <v>43110.525335648148</v>
      </c>
      <c r="D940" s="10">
        <v>43111.690046296295</v>
      </c>
      <c r="E940" s="10">
        <v>43130.758645833332</v>
      </c>
      <c r="F940" s="10">
        <v>43139</v>
      </c>
      <c r="G940" t="s">
        <v>16</v>
      </c>
      <c r="H940" t="s">
        <v>561</v>
      </c>
      <c r="I940" t="s">
        <v>123</v>
      </c>
      <c r="J940" s="11">
        <v>1</v>
      </c>
      <c r="K940" s="12">
        <v>166.99</v>
      </c>
      <c r="L940" s="12">
        <v>23.49</v>
      </c>
      <c r="M940" s="13">
        <v>5</v>
      </c>
      <c r="N940" s="13">
        <f t="shared" si="112"/>
        <v>20.241053240737529</v>
      </c>
      <c r="O940" s="13">
        <f t="shared" si="113"/>
        <v>0</v>
      </c>
      <c r="P940" t="str">
        <f t="shared" si="114"/>
        <v>On Time</v>
      </c>
      <c r="Q940" s="13">
        <f t="shared" si="115"/>
        <v>0.18583333329297602</v>
      </c>
      <c r="R940" s="13">
        <f t="shared" si="116"/>
        <v>1.1647106481468654</v>
      </c>
      <c r="S940" s="13">
        <f t="shared" si="117"/>
        <v>19.068599537036789</v>
      </c>
      <c r="T940" t="str">
        <f t="shared" si="118"/>
        <v>On Time/Early</v>
      </c>
      <c r="U940" t="str">
        <f t="shared" si="119"/>
        <v>Normal</v>
      </c>
      <c r="V940" t="s">
        <v>102</v>
      </c>
    </row>
    <row r="941" spans="1:22">
      <c r="A941" t="s">
        <v>1496</v>
      </c>
      <c r="B941" s="10">
        <v>43110.991412037038</v>
      </c>
      <c r="C941" s="10">
        <v>43111.991087962961</v>
      </c>
      <c r="D941" s="10">
        <v>43113.019606481481</v>
      </c>
      <c r="E941" s="10">
        <v>43122.908263888887</v>
      </c>
      <c r="F941" s="10">
        <v>43146</v>
      </c>
      <c r="G941" t="s">
        <v>8</v>
      </c>
      <c r="H941" t="s">
        <v>605</v>
      </c>
      <c r="I941" t="s">
        <v>154</v>
      </c>
      <c r="J941" s="11">
        <v>1</v>
      </c>
      <c r="K941" s="12">
        <v>29.9</v>
      </c>
      <c r="L941" s="12">
        <v>31.68</v>
      </c>
      <c r="M941" s="13">
        <v>5</v>
      </c>
      <c r="N941" s="13">
        <f t="shared" si="112"/>
        <v>11.91685185184906</v>
      </c>
      <c r="O941" s="13">
        <f t="shared" si="113"/>
        <v>0</v>
      </c>
      <c r="P941" t="str">
        <f t="shared" si="114"/>
        <v>On Time</v>
      </c>
      <c r="Q941" s="13">
        <f t="shared" si="115"/>
        <v>23.992222222150303</v>
      </c>
      <c r="R941" s="13">
        <f t="shared" si="116"/>
        <v>1.0285185185202863</v>
      </c>
      <c r="S941" s="13">
        <f t="shared" si="117"/>
        <v>9.8886574074058444</v>
      </c>
      <c r="T941" t="str">
        <f t="shared" si="118"/>
        <v>On Time/Early</v>
      </c>
      <c r="U941" t="str">
        <f t="shared" si="119"/>
        <v>Normal</v>
      </c>
      <c r="V941" t="s">
        <v>102</v>
      </c>
    </row>
    <row r="942" spans="1:22">
      <c r="A942" t="s">
        <v>1497</v>
      </c>
      <c r="B942" s="10">
        <v>43111.058831018519</v>
      </c>
      <c r="C942" s="10">
        <v>43111.367129629631</v>
      </c>
      <c r="D942" s="10">
        <v>43113.020046296297</v>
      </c>
      <c r="E942" s="10">
        <v>43122.837256944447</v>
      </c>
      <c r="F942" s="10">
        <v>43145</v>
      </c>
      <c r="G942" t="s">
        <v>16</v>
      </c>
      <c r="H942" t="s">
        <v>450</v>
      </c>
      <c r="I942" t="s">
        <v>1440</v>
      </c>
      <c r="J942" s="11">
        <v>1</v>
      </c>
      <c r="K942" s="12">
        <v>19.489999999999998</v>
      </c>
      <c r="L942" s="12">
        <v>15.1</v>
      </c>
      <c r="M942" s="13">
        <v>5</v>
      </c>
      <c r="N942" s="13">
        <f t="shared" si="112"/>
        <v>11.778425925927877</v>
      </c>
      <c r="O942" s="13">
        <f t="shared" si="113"/>
        <v>0</v>
      </c>
      <c r="P942" t="str">
        <f t="shared" si="114"/>
        <v>On Time</v>
      </c>
      <c r="Q942" s="13">
        <f t="shared" si="115"/>
        <v>7.3991666666697711</v>
      </c>
      <c r="R942" s="13">
        <f t="shared" si="116"/>
        <v>1.6529166666659876</v>
      </c>
      <c r="S942" s="13">
        <f t="shared" si="117"/>
        <v>9.8172106481506489</v>
      </c>
      <c r="T942" t="str">
        <f t="shared" si="118"/>
        <v>On Time/Early</v>
      </c>
      <c r="U942" t="str">
        <f t="shared" si="119"/>
        <v>Normal</v>
      </c>
      <c r="V942" t="s">
        <v>102</v>
      </c>
    </row>
    <row r="943" spans="1:22">
      <c r="A943" t="s">
        <v>1498</v>
      </c>
      <c r="B943" s="10">
        <v>43111.337256944447</v>
      </c>
      <c r="C943" s="10">
        <v>43111.343449074076</v>
      </c>
      <c r="D943" s="10">
        <v>43116.49459490741</v>
      </c>
      <c r="E943" s="10">
        <v>43122.817118055558</v>
      </c>
      <c r="F943" s="10">
        <v>43150</v>
      </c>
      <c r="G943" t="s">
        <v>8</v>
      </c>
      <c r="H943" t="s">
        <v>892</v>
      </c>
      <c r="I943" t="s">
        <v>180</v>
      </c>
      <c r="J943" s="11">
        <v>1</v>
      </c>
      <c r="K943" s="12">
        <v>13.9</v>
      </c>
      <c r="L943" s="12">
        <v>11.85</v>
      </c>
      <c r="M943" s="13">
        <v>5</v>
      </c>
      <c r="N943" s="13">
        <f t="shared" si="112"/>
        <v>11.479861111110949</v>
      </c>
      <c r="O943" s="13">
        <f t="shared" si="113"/>
        <v>0</v>
      </c>
      <c r="P943" t="str">
        <f t="shared" si="114"/>
        <v>On Time</v>
      </c>
      <c r="Q943" s="13">
        <f t="shared" si="115"/>
        <v>0.14861111110076308</v>
      </c>
      <c r="R943" s="13">
        <f t="shared" si="116"/>
        <v>5.1511458333334303</v>
      </c>
      <c r="S943" s="13">
        <f t="shared" si="117"/>
        <v>6.3225231481483206</v>
      </c>
      <c r="T943" t="str">
        <f t="shared" si="118"/>
        <v>On Time/Early</v>
      </c>
      <c r="U943" t="str">
        <f t="shared" si="119"/>
        <v>Normal</v>
      </c>
      <c r="V943" t="s">
        <v>102</v>
      </c>
    </row>
    <row r="944" spans="1:22">
      <c r="A944" t="s">
        <v>1499</v>
      </c>
      <c r="B944" s="10">
        <v>43111.392974537041</v>
      </c>
      <c r="C944" s="10">
        <v>43113.204930555556</v>
      </c>
      <c r="D944" s="10">
        <v>43115.4528125</v>
      </c>
      <c r="E944" s="10">
        <v>43126.820543981485</v>
      </c>
      <c r="F944" s="10">
        <v>43139</v>
      </c>
      <c r="G944" t="s">
        <v>8</v>
      </c>
      <c r="H944" t="s">
        <v>140</v>
      </c>
      <c r="I944" t="s">
        <v>37</v>
      </c>
      <c r="J944" s="11">
        <v>1</v>
      </c>
      <c r="K944" s="12">
        <v>61.5</v>
      </c>
      <c r="L944" s="12">
        <v>16.190000000000001</v>
      </c>
      <c r="M944" s="13">
        <v>5</v>
      </c>
      <c r="N944" s="13">
        <f t="shared" si="112"/>
        <v>15.427569444444089</v>
      </c>
      <c r="O944" s="13">
        <f t="shared" si="113"/>
        <v>0</v>
      </c>
      <c r="P944" t="str">
        <f t="shared" si="114"/>
        <v>On Time</v>
      </c>
      <c r="Q944" s="13">
        <f t="shared" si="115"/>
        <v>43.486944444361143</v>
      </c>
      <c r="R944" s="13">
        <f t="shared" si="116"/>
        <v>2.2478819444440887</v>
      </c>
      <c r="S944" s="13">
        <f t="shared" si="117"/>
        <v>11.367731481484952</v>
      </c>
      <c r="T944" t="str">
        <f t="shared" si="118"/>
        <v>On Time/Early</v>
      </c>
      <c r="U944" t="str">
        <f t="shared" si="119"/>
        <v>Normal</v>
      </c>
      <c r="V944" t="s">
        <v>102</v>
      </c>
    </row>
    <row r="945" spans="1:22">
      <c r="A945" t="s">
        <v>1500</v>
      </c>
      <c r="B945" s="10">
        <v>43111.483761574076</v>
      </c>
      <c r="C945" s="10">
        <v>43112.479571759257</v>
      </c>
      <c r="D945" s="10">
        <v>43113.055173611108</v>
      </c>
      <c r="E945" s="10">
        <v>43120.02611111111</v>
      </c>
      <c r="F945" s="10">
        <v>43136</v>
      </c>
      <c r="G945" t="s">
        <v>20</v>
      </c>
      <c r="H945" t="s">
        <v>391</v>
      </c>
      <c r="I945" t="s">
        <v>221</v>
      </c>
      <c r="J945" s="11">
        <v>1</v>
      </c>
      <c r="K945" s="12">
        <v>149</v>
      </c>
      <c r="L945" s="12">
        <v>14.79</v>
      </c>
      <c r="M945" s="13">
        <v>2</v>
      </c>
      <c r="N945" s="13">
        <f t="shared" si="112"/>
        <v>8.5423495370341698</v>
      </c>
      <c r="O945" s="13">
        <f t="shared" si="113"/>
        <v>0</v>
      </c>
      <c r="P945" t="str">
        <f t="shared" si="114"/>
        <v>On Time</v>
      </c>
      <c r="Q945" s="13">
        <f t="shared" si="115"/>
        <v>23.89944444433786</v>
      </c>
      <c r="R945" s="13">
        <f t="shared" si="116"/>
        <v>0.57560185185138835</v>
      </c>
      <c r="S945" s="13">
        <f t="shared" si="117"/>
        <v>6.9709375000020373</v>
      </c>
      <c r="T945" t="str">
        <f t="shared" si="118"/>
        <v>On Time/Early</v>
      </c>
      <c r="U945" t="str">
        <f t="shared" si="119"/>
        <v>Normal</v>
      </c>
      <c r="V945" t="s">
        <v>102</v>
      </c>
    </row>
    <row r="946" spans="1:22">
      <c r="A946" t="s">
        <v>1501</v>
      </c>
      <c r="B946" s="10">
        <v>43111.560694444444</v>
      </c>
      <c r="C946" s="10">
        <v>43111.569050925929</v>
      </c>
      <c r="D946" s="10">
        <v>43115.96429398148</v>
      </c>
      <c r="E946" s="10">
        <v>43119.672893518517</v>
      </c>
      <c r="F946" s="10">
        <v>43136</v>
      </c>
      <c r="G946" t="s">
        <v>8</v>
      </c>
      <c r="H946" t="s">
        <v>212</v>
      </c>
      <c r="I946" t="s">
        <v>963</v>
      </c>
      <c r="J946" s="11">
        <v>1</v>
      </c>
      <c r="K946" s="12">
        <v>95.2</v>
      </c>
      <c r="L946" s="12">
        <v>13.01</v>
      </c>
      <c r="M946" s="13">
        <v>4</v>
      </c>
      <c r="N946" s="13">
        <f t="shared" si="112"/>
        <v>8.112199074072123</v>
      </c>
      <c r="O946" s="13">
        <f t="shared" si="113"/>
        <v>0</v>
      </c>
      <c r="P946" t="str">
        <f t="shared" si="114"/>
        <v>On Time</v>
      </c>
      <c r="Q946" s="13">
        <f t="shared" si="115"/>
        <v>0.20055555563885719</v>
      </c>
      <c r="R946" s="13">
        <f t="shared" si="116"/>
        <v>4.3952430555509636</v>
      </c>
      <c r="S946" s="13">
        <f t="shared" si="117"/>
        <v>3.708599537036207</v>
      </c>
      <c r="T946" t="str">
        <f t="shared" si="118"/>
        <v>On Time/Early</v>
      </c>
      <c r="U946" t="str">
        <f t="shared" si="119"/>
        <v>Normal</v>
      </c>
      <c r="V946" t="s">
        <v>102</v>
      </c>
    </row>
    <row r="947" spans="1:22">
      <c r="A947" t="s">
        <v>1502</v>
      </c>
      <c r="B947" s="10">
        <v>43111.618483796294</v>
      </c>
      <c r="C947" s="10">
        <v>43112.521874999999</v>
      </c>
      <c r="D947" s="10">
        <v>43118.957453703704</v>
      </c>
      <c r="E947" s="10">
        <v>43126.592083333337</v>
      </c>
      <c r="F947" s="10">
        <v>43132</v>
      </c>
      <c r="G947" t="s">
        <v>8</v>
      </c>
      <c r="H947" t="s">
        <v>528</v>
      </c>
      <c r="I947" t="s">
        <v>368</v>
      </c>
      <c r="J947" s="11">
        <v>1</v>
      </c>
      <c r="K947" s="12">
        <v>89</v>
      </c>
      <c r="L947" s="12">
        <v>13.64</v>
      </c>
      <c r="M947" s="13">
        <v>4</v>
      </c>
      <c r="N947" s="13">
        <f t="shared" si="112"/>
        <v>14.973599537042901</v>
      </c>
      <c r="O947" s="13">
        <f t="shared" si="113"/>
        <v>0</v>
      </c>
      <c r="P947" t="str">
        <f t="shared" si="114"/>
        <v>On Time</v>
      </c>
      <c r="Q947" s="13">
        <f t="shared" si="115"/>
        <v>21.681388888915535</v>
      </c>
      <c r="R947" s="13">
        <f t="shared" si="116"/>
        <v>6.4355787037056871</v>
      </c>
      <c r="S947" s="13">
        <f t="shared" si="117"/>
        <v>7.6346296296323999</v>
      </c>
      <c r="T947" t="str">
        <f t="shared" si="118"/>
        <v>On Time/Early</v>
      </c>
      <c r="U947" t="str">
        <f t="shared" si="119"/>
        <v>Normal</v>
      </c>
      <c r="V947" t="s">
        <v>102</v>
      </c>
    </row>
    <row r="948" spans="1:22">
      <c r="A948" t="s">
        <v>1503</v>
      </c>
      <c r="B948" s="10">
        <v>43111.666875000003</v>
      </c>
      <c r="C948" s="10">
        <v>43112.633020833331</v>
      </c>
      <c r="D948" s="10">
        <v>43115.975671296299</v>
      </c>
      <c r="E948" s="10">
        <v>43121.807245370372</v>
      </c>
      <c r="F948" s="10">
        <v>43130</v>
      </c>
      <c r="G948" t="s">
        <v>8</v>
      </c>
      <c r="H948" t="s">
        <v>1483</v>
      </c>
      <c r="I948" t="s">
        <v>279</v>
      </c>
      <c r="J948" s="11">
        <v>1</v>
      </c>
      <c r="K948" s="12">
        <v>59</v>
      </c>
      <c r="L948" s="12">
        <v>7.78</v>
      </c>
      <c r="M948" s="13">
        <v>5</v>
      </c>
      <c r="N948" s="13">
        <f t="shared" si="112"/>
        <v>10.140370370369055</v>
      </c>
      <c r="O948" s="13">
        <f t="shared" si="113"/>
        <v>0</v>
      </c>
      <c r="P948" t="str">
        <f t="shared" si="114"/>
        <v>On Time</v>
      </c>
      <c r="Q948" s="13">
        <f t="shared" si="115"/>
        <v>23.187499999883585</v>
      </c>
      <c r="R948" s="13">
        <f t="shared" si="116"/>
        <v>3.3426504629678675</v>
      </c>
      <c r="S948" s="13">
        <f t="shared" si="117"/>
        <v>5.8315740740727051</v>
      </c>
      <c r="T948" t="str">
        <f t="shared" si="118"/>
        <v>On Time/Early</v>
      </c>
      <c r="U948" t="str">
        <f t="shared" si="119"/>
        <v>Normal</v>
      </c>
      <c r="V948" t="s">
        <v>102</v>
      </c>
    </row>
    <row r="949" spans="1:22">
      <c r="A949" t="s">
        <v>1504</v>
      </c>
      <c r="B949" s="10">
        <v>43111.742766203701</v>
      </c>
      <c r="C949" s="10">
        <v>43111.764374999999</v>
      </c>
      <c r="D949" s="10">
        <v>43112.877569444441</v>
      </c>
      <c r="E949" s="10">
        <v>43136.952835648146</v>
      </c>
      <c r="F949" s="10">
        <v>43165</v>
      </c>
      <c r="G949" t="s">
        <v>843</v>
      </c>
      <c r="H949" t="s">
        <v>844</v>
      </c>
      <c r="I949" t="s">
        <v>246</v>
      </c>
      <c r="J949" s="11">
        <v>1</v>
      </c>
      <c r="K949" s="12">
        <v>48.9</v>
      </c>
      <c r="L949" s="12">
        <v>56.24</v>
      </c>
      <c r="M949" s="13">
        <v>3</v>
      </c>
      <c r="N949" s="13">
        <f t="shared" si="112"/>
        <v>25.210069444445253</v>
      </c>
      <c r="O949" s="13">
        <f t="shared" si="113"/>
        <v>0</v>
      </c>
      <c r="P949" t="str">
        <f t="shared" si="114"/>
        <v>On Time</v>
      </c>
      <c r="Q949" s="13">
        <f t="shared" si="115"/>
        <v>0.51861111115431413</v>
      </c>
      <c r="R949" s="13">
        <f t="shared" si="116"/>
        <v>1.1131944444423425</v>
      </c>
      <c r="S949" s="13">
        <f t="shared" si="117"/>
        <v>24.075266203704814</v>
      </c>
      <c r="T949" t="str">
        <f t="shared" si="118"/>
        <v>On Time/Early</v>
      </c>
      <c r="U949" t="str">
        <f t="shared" si="119"/>
        <v>Normal</v>
      </c>
      <c r="V949" t="s">
        <v>102</v>
      </c>
    </row>
    <row r="950" spans="1:22">
      <c r="A950" t="s">
        <v>1505</v>
      </c>
      <c r="B950" s="10">
        <v>43111.965636574074</v>
      </c>
      <c r="C950" s="10">
        <v>43111.98</v>
      </c>
      <c r="D950" s="10">
        <v>43116.606909722221</v>
      </c>
      <c r="E950" s="10">
        <v>43123.800706018519</v>
      </c>
      <c r="F950" s="10">
        <v>43157</v>
      </c>
      <c r="G950" t="s">
        <v>16</v>
      </c>
      <c r="H950" t="s">
        <v>138</v>
      </c>
      <c r="I950" t="s">
        <v>180</v>
      </c>
      <c r="J950" s="11">
        <v>1</v>
      </c>
      <c r="K950" s="12">
        <v>13.9</v>
      </c>
      <c r="L950" s="12">
        <v>15.1</v>
      </c>
      <c r="M950" s="13">
        <v>5</v>
      </c>
      <c r="N950" s="13">
        <f t="shared" si="112"/>
        <v>11.835069444445253</v>
      </c>
      <c r="O950" s="13">
        <f t="shared" si="113"/>
        <v>0</v>
      </c>
      <c r="P950" t="str">
        <f t="shared" si="114"/>
        <v>On Time</v>
      </c>
      <c r="Q950" s="13">
        <f t="shared" si="115"/>
        <v>0.34472222230397165</v>
      </c>
      <c r="R950" s="13">
        <f t="shared" si="116"/>
        <v>4.6269097222175333</v>
      </c>
      <c r="S950" s="13">
        <f t="shared" si="117"/>
        <v>7.1937962962983875</v>
      </c>
      <c r="T950" t="str">
        <f t="shared" si="118"/>
        <v>On Time/Early</v>
      </c>
      <c r="U950" t="str">
        <f t="shared" si="119"/>
        <v>Normal</v>
      </c>
      <c r="V950" t="s">
        <v>102</v>
      </c>
    </row>
    <row r="951" spans="1:22">
      <c r="A951" t="s">
        <v>1506</v>
      </c>
      <c r="B951" s="10">
        <v>43112.289317129631</v>
      </c>
      <c r="C951" s="10">
        <v>43112.297453703701</v>
      </c>
      <c r="D951" s="10">
        <v>43112.606030092589</v>
      </c>
      <c r="E951" s="10">
        <v>43128.720891203702</v>
      </c>
      <c r="F951" s="10">
        <v>43145</v>
      </c>
      <c r="G951" t="s">
        <v>50</v>
      </c>
      <c r="H951" t="s">
        <v>414</v>
      </c>
      <c r="I951" t="s">
        <v>221</v>
      </c>
      <c r="J951" s="11">
        <v>1</v>
      </c>
      <c r="K951" s="12">
        <v>799.9</v>
      </c>
      <c r="L951" s="12">
        <v>40.92</v>
      </c>
      <c r="M951" s="13">
        <v>3</v>
      </c>
      <c r="N951" s="13">
        <f t="shared" si="112"/>
        <v>16.43157407407125</v>
      </c>
      <c r="O951" s="13">
        <f t="shared" si="113"/>
        <v>0</v>
      </c>
      <c r="P951" t="str">
        <f t="shared" si="114"/>
        <v>On Time</v>
      </c>
      <c r="Q951" s="13">
        <f t="shared" si="115"/>
        <v>0.19527777767507359</v>
      </c>
      <c r="R951" s="13">
        <f t="shared" si="116"/>
        <v>0.3085763888884685</v>
      </c>
      <c r="S951" s="13">
        <f t="shared" si="117"/>
        <v>16.114861111112987</v>
      </c>
      <c r="T951" t="str">
        <f t="shared" si="118"/>
        <v>On Time/Early</v>
      </c>
      <c r="U951" t="str">
        <f t="shared" si="119"/>
        <v>Normal</v>
      </c>
      <c r="V951" t="s">
        <v>102</v>
      </c>
    </row>
    <row r="952" spans="1:22">
      <c r="A952" t="s">
        <v>1507</v>
      </c>
      <c r="B952" s="10">
        <v>43112.572245370371</v>
      </c>
      <c r="C952" s="10">
        <v>43115.424224537041</v>
      </c>
      <c r="D952" s="10">
        <v>43116.895115740743</v>
      </c>
      <c r="E952" s="10">
        <v>43131.86210648148</v>
      </c>
      <c r="F952" s="10">
        <v>43138</v>
      </c>
      <c r="G952" t="s">
        <v>8</v>
      </c>
      <c r="H952" t="s">
        <v>696</v>
      </c>
      <c r="I952" t="s">
        <v>1508</v>
      </c>
      <c r="J952" s="11">
        <v>1</v>
      </c>
      <c r="K952" s="12">
        <v>465</v>
      </c>
      <c r="L952" s="12">
        <v>24.09</v>
      </c>
      <c r="M952" s="13">
        <v>5</v>
      </c>
      <c r="N952" s="13">
        <f t="shared" si="112"/>
        <v>19.289861111108621</v>
      </c>
      <c r="O952" s="13">
        <f t="shared" si="113"/>
        <v>0</v>
      </c>
      <c r="P952" t="str">
        <f t="shared" si="114"/>
        <v>On Time</v>
      </c>
      <c r="Q952" s="13">
        <f t="shared" si="115"/>
        <v>68.447500000067521</v>
      </c>
      <c r="R952" s="13">
        <f t="shared" si="116"/>
        <v>1.4708912037021946</v>
      </c>
      <c r="S952" s="13">
        <f t="shared" si="117"/>
        <v>14.966990740736946</v>
      </c>
      <c r="T952" t="str">
        <f t="shared" si="118"/>
        <v>On Time/Early</v>
      </c>
      <c r="U952" t="str">
        <f t="shared" si="119"/>
        <v>Normal</v>
      </c>
      <c r="V952" t="s">
        <v>102</v>
      </c>
    </row>
    <row r="953" spans="1:22">
      <c r="A953" t="s">
        <v>1509</v>
      </c>
      <c r="B953" s="10">
        <v>43112.829768518517</v>
      </c>
      <c r="C953" s="10">
        <v>43116.152870370373</v>
      </c>
      <c r="D953" s="10">
        <v>43120.668900462966</v>
      </c>
      <c r="E953" s="10">
        <v>43138.980787037035</v>
      </c>
      <c r="F953" s="10">
        <v>43138</v>
      </c>
      <c r="G953" t="s">
        <v>164</v>
      </c>
      <c r="H953" t="s">
        <v>986</v>
      </c>
      <c r="I953" t="s">
        <v>1440</v>
      </c>
      <c r="J953" s="11">
        <v>1</v>
      </c>
      <c r="K953" s="12">
        <v>47.49</v>
      </c>
      <c r="L953" s="12">
        <v>16.11</v>
      </c>
      <c r="M953" s="13">
        <v>4</v>
      </c>
      <c r="N953" s="13">
        <f t="shared" si="112"/>
        <v>26.151018518517958</v>
      </c>
      <c r="O953" s="13">
        <f t="shared" si="113"/>
        <v>0.98078703703504289</v>
      </c>
      <c r="P953" t="str">
        <f t="shared" si="114"/>
        <v>Delayed</v>
      </c>
      <c r="Q953" s="13">
        <f t="shared" si="115"/>
        <v>79.754444444552064</v>
      </c>
      <c r="R953" s="13">
        <f t="shared" si="116"/>
        <v>4.5160300925927004</v>
      </c>
      <c r="S953" s="13">
        <f t="shared" si="117"/>
        <v>18.311886574068922</v>
      </c>
      <c r="T953" t="str">
        <f t="shared" si="118"/>
        <v>1-3 Days Late</v>
      </c>
      <c r="U953" t="str">
        <f t="shared" si="119"/>
        <v>Needs Review</v>
      </c>
      <c r="V953" t="s">
        <v>102</v>
      </c>
    </row>
    <row r="954" spans="1:22">
      <c r="A954" t="s">
        <v>1510</v>
      </c>
      <c r="B954" s="10">
        <v>43113.380520833336</v>
      </c>
      <c r="C954" s="10">
        <v>43113.387060185189</v>
      </c>
      <c r="D954" s="10">
        <v>43118.512685185182</v>
      </c>
      <c r="E954" s="10">
        <v>43125.015810185185</v>
      </c>
      <c r="F954" s="10">
        <v>43139</v>
      </c>
      <c r="G954" t="s">
        <v>20</v>
      </c>
      <c r="H954" t="s">
        <v>1511</v>
      </c>
      <c r="I954" t="s">
        <v>180</v>
      </c>
      <c r="J954" s="11">
        <v>1</v>
      </c>
      <c r="K954" s="12">
        <v>199.9</v>
      </c>
      <c r="L954" s="12">
        <v>21.89</v>
      </c>
      <c r="M954" s="13">
        <v>5</v>
      </c>
      <c r="N954" s="13">
        <f t="shared" si="112"/>
        <v>11.635289351848769</v>
      </c>
      <c r="O954" s="13">
        <f t="shared" si="113"/>
        <v>0</v>
      </c>
      <c r="P954" t="str">
        <f t="shared" si="114"/>
        <v>On Time</v>
      </c>
      <c r="Q954" s="13">
        <f t="shared" si="115"/>
        <v>0.15694444446125999</v>
      </c>
      <c r="R954" s="13">
        <f t="shared" si="116"/>
        <v>5.1256249999933061</v>
      </c>
      <c r="S954" s="13">
        <f t="shared" si="117"/>
        <v>6.5031250000029104</v>
      </c>
      <c r="T954" t="str">
        <f t="shared" si="118"/>
        <v>On Time/Early</v>
      </c>
      <c r="U954" t="str">
        <f t="shared" si="119"/>
        <v>Normal</v>
      </c>
      <c r="V954" t="s">
        <v>102</v>
      </c>
    </row>
    <row r="955" spans="1:22">
      <c r="A955" t="s">
        <v>1512</v>
      </c>
      <c r="B955" s="10">
        <v>43113.529085648152</v>
      </c>
      <c r="C955" s="10">
        <v>43113.53565972222</v>
      </c>
      <c r="D955" s="10">
        <v>43120.023148148146</v>
      </c>
      <c r="E955" s="10">
        <v>43133.728217592594</v>
      </c>
      <c r="F955" s="10">
        <v>43140</v>
      </c>
      <c r="G955" t="s">
        <v>192</v>
      </c>
      <c r="H955" t="s">
        <v>615</v>
      </c>
      <c r="I955" t="s">
        <v>149</v>
      </c>
      <c r="J955" s="11">
        <v>1</v>
      </c>
      <c r="K955" s="12">
        <v>69.77</v>
      </c>
      <c r="L955" s="12">
        <v>21.29</v>
      </c>
      <c r="M955" s="13">
        <v>5</v>
      </c>
      <c r="N955" s="13">
        <f t="shared" si="112"/>
        <v>20.199131944442343</v>
      </c>
      <c r="O955" s="13">
        <f t="shared" si="113"/>
        <v>0</v>
      </c>
      <c r="P955" t="str">
        <f t="shared" si="114"/>
        <v>On Time</v>
      </c>
      <c r="Q955" s="13">
        <f t="shared" si="115"/>
        <v>0.157777777640149</v>
      </c>
      <c r="R955" s="13">
        <f t="shared" si="116"/>
        <v>6.4874884259261307</v>
      </c>
      <c r="S955" s="13">
        <f t="shared" si="117"/>
        <v>13.705069444447872</v>
      </c>
      <c r="T955" t="str">
        <f t="shared" si="118"/>
        <v>On Time/Early</v>
      </c>
      <c r="U955" t="str">
        <f t="shared" si="119"/>
        <v>Normal</v>
      </c>
      <c r="V955" t="s">
        <v>102</v>
      </c>
    </row>
    <row r="956" spans="1:22">
      <c r="A956" t="s">
        <v>1513</v>
      </c>
      <c r="B956" s="10">
        <v>43113.57335648148</v>
      </c>
      <c r="C956" s="10">
        <v>43116.270590277774</v>
      </c>
      <c r="D956" s="10">
        <v>43116.727685185186</v>
      </c>
      <c r="E956" s="10">
        <v>43129.515625</v>
      </c>
      <c r="F956" s="10">
        <v>43147</v>
      </c>
      <c r="G956" t="s">
        <v>36</v>
      </c>
      <c r="H956" t="s">
        <v>1514</v>
      </c>
      <c r="I956" t="s">
        <v>34</v>
      </c>
      <c r="J956" s="11">
        <v>1</v>
      </c>
      <c r="K956" s="12">
        <v>90.9</v>
      </c>
      <c r="L956" s="12">
        <v>45.1</v>
      </c>
      <c r="M956" s="13">
        <v>5</v>
      </c>
      <c r="N956" s="13">
        <f t="shared" si="112"/>
        <v>15.942268518519995</v>
      </c>
      <c r="O956" s="13">
        <f t="shared" si="113"/>
        <v>0</v>
      </c>
      <c r="P956" t="str">
        <f t="shared" si="114"/>
        <v>On Time</v>
      </c>
      <c r="Q956" s="13">
        <f t="shared" si="115"/>
        <v>64.73361111106351</v>
      </c>
      <c r="R956" s="13">
        <f t="shared" si="116"/>
        <v>0.45709490741137415</v>
      </c>
      <c r="S956" s="13">
        <f t="shared" si="117"/>
        <v>12.787939814814308</v>
      </c>
      <c r="T956" t="str">
        <f t="shared" si="118"/>
        <v>On Time/Early</v>
      </c>
      <c r="U956" t="str">
        <f t="shared" si="119"/>
        <v>Normal</v>
      </c>
      <c r="V956" t="s">
        <v>102</v>
      </c>
    </row>
    <row r="957" spans="1:22">
      <c r="A957" t="s">
        <v>1515</v>
      </c>
      <c r="B957" s="10">
        <v>43113.575300925928</v>
      </c>
      <c r="C957" s="10">
        <v>43113.581585648149</v>
      </c>
      <c r="D957" s="10">
        <v>43115.849097222221</v>
      </c>
      <c r="E957" s="10">
        <v>43124.870416666665</v>
      </c>
      <c r="F957" s="10">
        <v>43151</v>
      </c>
      <c r="G957" t="s">
        <v>43</v>
      </c>
      <c r="H957" t="s">
        <v>318</v>
      </c>
      <c r="I957" t="s">
        <v>141</v>
      </c>
      <c r="J957" s="11">
        <v>1</v>
      </c>
      <c r="K957" s="12">
        <v>299</v>
      </c>
      <c r="L957" s="12">
        <v>65.78</v>
      </c>
      <c r="M957" s="13">
        <v>5</v>
      </c>
      <c r="N957" s="13">
        <f t="shared" si="112"/>
        <v>11.295115740736946</v>
      </c>
      <c r="O957" s="13">
        <f t="shared" si="113"/>
        <v>0</v>
      </c>
      <c r="P957" t="str">
        <f t="shared" si="114"/>
        <v>On Time</v>
      </c>
      <c r="Q957" s="13">
        <f t="shared" si="115"/>
        <v>0.15083333331858739</v>
      </c>
      <c r="R957" s="13">
        <f t="shared" si="116"/>
        <v>2.2675115740712499</v>
      </c>
      <c r="S957" s="13">
        <f t="shared" si="117"/>
        <v>9.0213194444440887</v>
      </c>
      <c r="T957" t="str">
        <f t="shared" si="118"/>
        <v>On Time/Early</v>
      </c>
      <c r="U957" t="str">
        <f t="shared" si="119"/>
        <v>Normal</v>
      </c>
      <c r="V957" t="s">
        <v>102</v>
      </c>
    </row>
    <row r="958" spans="1:22">
      <c r="A958" t="s">
        <v>1516</v>
      </c>
      <c r="B958" s="10">
        <v>43113.676469907405</v>
      </c>
      <c r="C958" s="10">
        <v>43113.686898148146</v>
      </c>
      <c r="D958" s="10">
        <v>43115.61241898148</v>
      </c>
      <c r="E958" s="10">
        <v>43129.848668981482</v>
      </c>
      <c r="F958" s="10">
        <v>43140</v>
      </c>
      <c r="G958" t="s">
        <v>8</v>
      </c>
      <c r="H958" t="s">
        <v>1272</v>
      </c>
      <c r="I958" t="s">
        <v>120</v>
      </c>
      <c r="J958" s="11">
        <v>1</v>
      </c>
      <c r="K958" s="12">
        <v>48.9</v>
      </c>
      <c r="L958" s="12">
        <v>15.1</v>
      </c>
      <c r="M958" s="13">
        <v>5</v>
      </c>
      <c r="N958" s="13">
        <f t="shared" si="112"/>
        <v>16.172199074077071</v>
      </c>
      <c r="O958" s="13">
        <f t="shared" si="113"/>
        <v>0</v>
      </c>
      <c r="P958" t="str">
        <f t="shared" si="114"/>
        <v>On Time</v>
      </c>
      <c r="Q958" s="13">
        <f t="shared" si="115"/>
        <v>0.250277777784504</v>
      </c>
      <c r="R958" s="13">
        <f t="shared" si="116"/>
        <v>1.9255208333343035</v>
      </c>
      <c r="S958" s="13">
        <f t="shared" si="117"/>
        <v>14.236250000001746</v>
      </c>
      <c r="T958" t="str">
        <f t="shared" si="118"/>
        <v>On Time/Early</v>
      </c>
      <c r="U958" t="str">
        <f t="shared" si="119"/>
        <v>Normal</v>
      </c>
      <c r="V958" t="s">
        <v>102</v>
      </c>
    </row>
    <row r="959" spans="1:22">
      <c r="A959" t="s">
        <v>1517</v>
      </c>
      <c r="B959" s="10">
        <v>43113.726412037038</v>
      </c>
      <c r="C959" s="10">
        <v>43116.160439814812</v>
      </c>
      <c r="D959" s="10">
        <v>43116.94935185185</v>
      </c>
      <c r="E959" s="10">
        <v>43119.874178240738</v>
      </c>
      <c r="F959" s="10">
        <v>43138</v>
      </c>
      <c r="G959" t="s">
        <v>8</v>
      </c>
      <c r="H959" t="s">
        <v>171</v>
      </c>
      <c r="I959" t="s">
        <v>120</v>
      </c>
      <c r="J959" s="11">
        <v>1</v>
      </c>
      <c r="K959" s="12">
        <v>56</v>
      </c>
      <c r="L959" s="12">
        <v>12.73</v>
      </c>
      <c r="M959" s="13">
        <v>5</v>
      </c>
      <c r="N959" s="13">
        <f t="shared" si="112"/>
        <v>6.1477662036995753</v>
      </c>
      <c r="O959" s="13">
        <f t="shared" si="113"/>
        <v>0</v>
      </c>
      <c r="P959" t="str">
        <f t="shared" si="114"/>
        <v>On Time</v>
      </c>
      <c r="Q959" s="13">
        <f t="shared" si="115"/>
        <v>58.416666666569654</v>
      </c>
      <c r="R959" s="13">
        <f t="shared" si="116"/>
        <v>0.78891203703824431</v>
      </c>
      <c r="S959" s="13">
        <f t="shared" si="117"/>
        <v>2.9248263888875954</v>
      </c>
      <c r="T959" t="str">
        <f t="shared" si="118"/>
        <v>On Time/Early</v>
      </c>
      <c r="U959" t="str">
        <f t="shared" si="119"/>
        <v>Normal</v>
      </c>
      <c r="V959" t="s">
        <v>102</v>
      </c>
    </row>
    <row r="960" spans="1:22">
      <c r="A960" t="s">
        <v>1518</v>
      </c>
      <c r="B960" s="10">
        <v>43113.959247685183</v>
      </c>
      <c r="C960" s="10">
        <v>43113.966238425928</v>
      </c>
      <c r="D960" s="10">
        <v>43116.012557870374</v>
      </c>
      <c r="E960" s="10">
        <v>43119.787824074076</v>
      </c>
      <c r="F960" s="10">
        <v>43136</v>
      </c>
      <c r="G960" t="s">
        <v>8</v>
      </c>
      <c r="H960" t="s">
        <v>1519</v>
      </c>
      <c r="I960" t="s">
        <v>136</v>
      </c>
      <c r="J960" s="11">
        <v>1</v>
      </c>
      <c r="K960" s="12">
        <v>104.9</v>
      </c>
      <c r="L960" s="12">
        <v>13.07</v>
      </c>
      <c r="M960" s="13">
        <v>3</v>
      </c>
      <c r="N960" s="13">
        <f t="shared" si="112"/>
        <v>5.828576388892543</v>
      </c>
      <c r="O960" s="13">
        <f t="shared" si="113"/>
        <v>0</v>
      </c>
      <c r="P960" t="str">
        <f t="shared" si="114"/>
        <v>On Time</v>
      </c>
      <c r="Q960" s="13">
        <f t="shared" si="115"/>
        <v>0.16777777788229287</v>
      </c>
      <c r="R960" s="13">
        <f t="shared" si="116"/>
        <v>2.0463194444455439</v>
      </c>
      <c r="S960" s="13">
        <f t="shared" si="117"/>
        <v>3.7752662037019036</v>
      </c>
      <c r="T960" t="str">
        <f t="shared" si="118"/>
        <v>On Time/Early</v>
      </c>
      <c r="U960" t="str">
        <f t="shared" si="119"/>
        <v>Normal</v>
      </c>
      <c r="V960" t="s">
        <v>102</v>
      </c>
    </row>
    <row r="961" spans="1:22">
      <c r="A961" t="s">
        <v>1520</v>
      </c>
      <c r="B961" s="10">
        <v>43114.376111111109</v>
      </c>
      <c r="C961" s="10">
        <v>43114.382916666669</v>
      </c>
      <c r="D961" s="10">
        <v>43117.955972222226</v>
      </c>
      <c r="E961" s="10">
        <v>43132.854062500002</v>
      </c>
      <c r="F961" s="10">
        <v>43146</v>
      </c>
      <c r="G961" t="s">
        <v>36</v>
      </c>
      <c r="H961" t="s">
        <v>1521</v>
      </c>
      <c r="I961" t="s">
        <v>31</v>
      </c>
      <c r="J961" s="11">
        <v>1</v>
      </c>
      <c r="K961" s="12">
        <v>21.9</v>
      </c>
      <c r="L961" s="12">
        <v>15.1</v>
      </c>
      <c r="M961" s="13">
        <v>5</v>
      </c>
      <c r="N961" s="13">
        <f t="shared" si="112"/>
        <v>18.477951388893416</v>
      </c>
      <c r="O961" s="13">
        <f t="shared" si="113"/>
        <v>0</v>
      </c>
      <c r="P961" t="str">
        <f t="shared" si="114"/>
        <v>On Time</v>
      </c>
      <c r="Q961" s="13">
        <f t="shared" si="115"/>
        <v>0.16333333344664425</v>
      </c>
      <c r="R961" s="13">
        <f t="shared" si="116"/>
        <v>3.5730555555564933</v>
      </c>
      <c r="S961" s="13">
        <f t="shared" si="117"/>
        <v>14.898090277776646</v>
      </c>
      <c r="T961" t="str">
        <f t="shared" si="118"/>
        <v>On Time/Early</v>
      </c>
      <c r="U961" t="str">
        <f t="shared" si="119"/>
        <v>Normal</v>
      </c>
      <c r="V961" t="s">
        <v>102</v>
      </c>
    </row>
    <row r="962" spans="1:22">
      <c r="A962" t="s">
        <v>1522</v>
      </c>
      <c r="B962" s="10">
        <v>43114.402673611112</v>
      </c>
      <c r="C962" s="10">
        <v>43116.591493055559</v>
      </c>
      <c r="D962" s="10">
        <v>43117.651886574073</v>
      </c>
      <c r="E962" s="10">
        <v>43130.920011574075</v>
      </c>
      <c r="F962" s="10">
        <v>43147</v>
      </c>
      <c r="G962" t="s">
        <v>16</v>
      </c>
      <c r="H962" t="s">
        <v>138</v>
      </c>
      <c r="I962" t="s">
        <v>221</v>
      </c>
      <c r="J962" s="11">
        <v>1</v>
      </c>
      <c r="K962" s="12">
        <v>668</v>
      </c>
      <c r="L962" s="12">
        <v>21.93</v>
      </c>
      <c r="M962" s="13">
        <v>4</v>
      </c>
      <c r="N962" s="13">
        <f t="shared" ref="N962:N1025" si="120">IFERROR(E962-B962,"")</f>
        <v>16.517337962963211</v>
      </c>
      <c r="O962" s="13">
        <f t="shared" ref="O962:O1025" si="121">IFERROR(MAX(0,E962-F962),"")</f>
        <v>0</v>
      </c>
      <c r="P962" t="str">
        <f t="shared" ref="P962:P1025" si="122">IF(O962&gt;0,"Delayed","On Time")</f>
        <v>On Time</v>
      </c>
      <c r="Q962" s="13">
        <f t="shared" ref="Q962:Q1025" si="123">IFERROR((C962-B962)*24,"")</f>
        <v>52.531666666734964</v>
      </c>
      <c r="R962" s="13">
        <f t="shared" ref="R962:R1025" si="124">IFERROR(D962-C962,"")</f>
        <v>1.0603935185135924</v>
      </c>
      <c r="S962" s="13">
        <f t="shared" ref="S962:S1025" si="125">IFERROR(E962-D962,"")</f>
        <v>13.268125000002328</v>
      </c>
      <c r="T962" t="str">
        <f t="shared" ref="T962:T1025" si="126">IF(O962=0,"On Time/Early",IF(O962&lt;=3,"1-3 Days Late",IF(O962&lt;=7,"4-7 Days Late","8+ Days Late")))</f>
        <v>On Time/Early</v>
      </c>
      <c r="U962" t="str">
        <f t="shared" ref="U962:U1025" si="127">IF(P962="Delayed","Needs Review","Normal")</f>
        <v>Normal</v>
      </c>
      <c r="V962" t="s">
        <v>102</v>
      </c>
    </row>
    <row r="963" spans="1:22">
      <c r="A963" t="s">
        <v>1523</v>
      </c>
      <c r="B963" s="10">
        <v>43114.446180555555</v>
      </c>
      <c r="C963" s="10">
        <v>43115.590902777774</v>
      </c>
      <c r="D963" s="10">
        <v>43115.937314814815</v>
      </c>
      <c r="E963" s="10">
        <v>43126.694004629629</v>
      </c>
      <c r="F963" s="10">
        <v>43136</v>
      </c>
      <c r="G963" t="s">
        <v>16</v>
      </c>
      <c r="H963" t="s">
        <v>138</v>
      </c>
      <c r="I963" t="s">
        <v>185</v>
      </c>
      <c r="J963" s="11">
        <v>1</v>
      </c>
      <c r="K963" s="12">
        <v>179.49</v>
      </c>
      <c r="L963" s="12">
        <v>15.01</v>
      </c>
      <c r="M963" s="13">
        <v>3</v>
      </c>
      <c r="N963" s="13">
        <f t="shared" si="120"/>
        <v>12.247824074074742</v>
      </c>
      <c r="O963" s="13">
        <f t="shared" si="121"/>
        <v>0</v>
      </c>
      <c r="P963" t="str">
        <f t="shared" si="122"/>
        <v>On Time</v>
      </c>
      <c r="Q963" s="13">
        <f t="shared" si="123"/>
        <v>27.473333333269693</v>
      </c>
      <c r="R963" s="13">
        <f t="shared" si="124"/>
        <v>0.34641203704086365</v>
      </c>
      <c r="S963" s="13">
        <f t="shared" si="125"/>
        <v>10.756689814814308</v>
      </c>
      <c r="T963" t="str">
        <f t="shared" si="126"/>
        <v>On Time/Early</v>
      </c>
      <c r="U963" t="str">
        <f t="shared" si="127"/>
        <v>Normal</v>
      </c>
      <c r="V963" t="s">
        <v>102</v>
      </c>
    </row>
    <row r="964" spans="1:22">
      <c r="A964" t="s">
        <v>1524</v>
      </c>
      <c r="B964" s="10">
        <v>43114.568229166667</v>
      </c>
      <c r="C964" s="10">
        <v>43114.574687499997</v>
      </c>
      <c r="D964" s="10">
        <v>43115.983217592591</v>
      </c>
      <c r="E964" s="10">
        <v>43126.716979166667</v>
      </c>
      <c r="F964" s="10">
        <v>43136</v>
      </c>
      <c r="G964" t="s">
        <v>8</v>
      </c>
      <c r="H964" t="s">
        <v>140</v>
      </c>
      <c r="I964" t="s">
        <v>221</v>
      </c>
      <c r="J964" s="11">
        <v>1</v>
      </c>
      <c r="K964" s="12">
        <v>108</v>
      </c>
      <c r="L964" s="12">
        <v>15.52</v>
      </c>
      <c r="M964" s="13">
        <v>3</v>
      </c>
      <c r="N964" s="13">
        <f t="shared" si="120"/>
        <v>12.148750000000291</v>
      </c>
      <c r="O964" s="13">
        <f t="shared" si="121"/>
        <v>0</v>
      </c>
      <c r="P964" t="str">
        <f t="shared" si="122"/>
        <v>On Time</v>
      </c>
      <c r="Q964" s="13">
        <f t="shared" si="123"/>
        <v>0.15499999991152436</v>
      </c>
      <c r="R964" s="13">
        <f t="shared" si="124"/>
        <v>1.4085300925944466</v>
      </c>
      <c r="S964" s="13">
        <f t="shared" si="125"/>
        <v>10.733761574076198</v>
      </c>
      <c r="T964" t="str">
        <f t="shared" si="126"/>
        <v>On Time/Early</v>
      </c>
      <c r="U964" t="str">
        <f t="shared" si="127"/>
        <v>Normal</v>
      </c>
      <c r="V964" t="s">
        <v>102</v>
      </c>
    </row>
    <row r="965" spans="1:22">
      <c r="A965" t="s">
        <v>1525</v>
      </c>
      <c r="B965" s="10">
        <v>43114.597812499997</v>
      </c>
      <c r="C965" s="10">
        <v>43114.603726851848</v>
      </c>
      <c r="D965" s="10">
        <v>43115.967499999999</v>
      </c>
      <c r="E965" s="10">
        <v>43152.919236111113</v>
      </c>
      <c r="F965" s="10">
        <v>43150</v>
      </c>
      <c r="G965" t="s">
        <v>16</v>
      </c>
      <c r="H965" t="s">
        <v>138</v>
      </c>
      <c r="I965" t="s">
        <v>101</v>
      </c>
      <c r="J965" s="11">
        <v>1</v>
      </c>
      <c r="K965" s="12">
        <v>49.9</v>
      </c>
      <c r="L965" s="12">
        <v>16.11</v>
      </c>
      <c r="M965" s="13">
        <v>1</v>
      </c>
      <c r="N965" s="13">
        <f t="shared" si="120"/>
        <v>38.321423611116188</v>
      </c>
      <c r="O965" s="13">
        <f t="shared" si="121"/>
        <v>2.9192361111126957</v>
      </c>
      <c r="P965" t="str">
        <f t="shared" si="122"/>
        <v>Delayed</v>
      </c>
      <c r="Q965" s="13">
        <f t="shared" si="123"/>
        <v>0.14194444444729015</v>
      </c>
      <c r="R965" s="13">
        <f t="shared" si="124"/>
        <v>1.3637731481503579</v>
      </c>
      <c r="S965" s="13">
        <f t="shared" si="125"/>
        <v>36.95173611111386</v>
      </c>
      <c r="T965" t="str">
        <f t="shared" si="126"/>
        <v>1-3 Days Late</v>
      </c>
      <c r="U965" t="str">
        <f t="shared" si="127"/>
        <v>Needs Review</v>
      </c>
      <c r="V965" t="s">
        <v>102</v>
      </c>
    </row>
    <row r="966" spans="1:22">
      <c r="A966" t="s">
        <v>1526</v>
      </c>
      <c r="B966" s="10">
        <v>43114.693310185183</v>
      </c>
      <c r="C966" s="10">
        <v>43114.70039351852</v>
      </c>
      <c r="D966" s="10">
        <v>43131.675717592596</v>
      </c>
      <c r="E966" s="10">
        <v>43141.104085648149</v>
      </c>
      <c r="F966" s="10">
        <v>43146</v>
      </c>
      <c r="G966" t="s">
        <v>8</v>
      </c>
      <c r="H966" t="s">
        <v>140</v>
      </c>
      <c r="I966" t="s">
        <v>34</v>
      </c>
      <c r="J966" s="11">
        <v>1</v>
      </c>
      <c r="K966" s="12">
        <v>50</v>
      </c>
      <c r="L966" s="12">
        <v>9.34</v>
      </c>
      <c r="M966" s="13">
        <v>4</v>
      </c>
      <c r="N966" s="13">
        <f t="shared" si="120"/>
        <v>26.41077546296583</v>
      </c>
      <c r="O966" s="13">
        <f t="shared" si="121"/>
        <v>0</v>
      </c>
      <c r="P966" t="str">
        <f t="shared" si="122"/>
        <v>On Time</v>
      </c>
      <c r="Q966" s="13">
        <f t="shared" si="123"/>
        <v>0.17000000010011718</v>
      </c>
      <c r="R966" s="13">
        <f t="shared" si="124"/>
        <v>16.975324074075615</v>
      </c>
      <c r="S966" s="13">
        <f t="shared" si="125"/>
        <v>9.4283680555527098</v>
      </c>
      <c r="T966" t="str">
        <f t="shared" si="126"/>
        <v>On Time/Early</v>
      </c>
      <c r="U966" t="str">
        <f t="shared" si="127"/>
        <v>Normal</v>
      </c>
      <c r="V966" t="s">
        <v>102</v>
      </c>
    </row>
    <row r="967" spans="1:22">
      <c r="A967" t="s">
        <v>1527</v>
      </c>
      <c r="B967" s="10">
        <v>43114.78565972222</v>
      </c>
      <c r="C967" s="10">
        <v>43115.424270833333</v>
      </c>
      <c r="D967" s="10">
        <v>43116.835902777777</v>
      </c>
      <c r="E967" s="10">
        <v>43122.613483796296</v>
      </c>
      <c r="F967" s="10">
        <v>43138</v>
      </c>
      <c r="G967" t="s">
        <v>8</v>
      </c>
      <c r="H967" t="s">
        <v>1528</v>
      </c>
      <c r="I967" t="s">
        <v>58</v>
      </c>
      <c r="J967" s="11">
        <v>1</v>
      </c>
      <c r="K967" s="12">
        <v>89.99</v>
      </c>
      <c r="L967" s="12">
        <v>12.97</v>
      </c>
      <c r="M967" s="13">
        <v>5</v>
      </c>
      <c r="N967" s="13">
        <f t="shared" si="120"/>
        <v>7.8278240740764886</v>
      </c>
      <c r="O967" s="13">
        <f t="shared" si="121"/>
        <v>0</v>
      </c>
      <c r="P967" t="str">
        <f t="shared" si="122"/>
        <v>On Time</v>
      </c>
      <c r="Q967" s="13">
        <f t="shared" si="123"/>
        <v>15.326666666718666</v>
      </c>
      <c r="R967" s="13">
        <f t="shared" si="124"/>
        <v>1.4116319444437977</v>
      </c>
      <c r="S967" s="13">
        <f t="shared" si="125"/>
        <v>5.7775810185194132</v>
      </c>
      <c r="T967" t="str">
        <f t="shared" si="126"/>
        <v>On Time/Early</v>
      </c>
      <c r="U967" t="str">
        <f t="shared" si="127"/>
        <v>Normal</v>
      </c>
      <c r="V967" t="s">
        <v>102</v>
      </c>
    </row>
    <row r="968" spans="1:22">
      <c r="A968" t="s">
        <v>1529</v>
      </c>
      <c r="B968" s="10">
        <v>43114.790578703702</v>
      </c>
      <c r="C968" s="10">
        <v>43116.16028935185</v>
      </c>
      <c r="D968" s="10">
        <v>43117.020196759258</v>
      </c>
      <c r="E968" s="10">
        <v>43133.658726851849</v>
      </c>
      <c r="F968" s="10">
        <v>43138</v>
      </c>
      <c r="G968" t="s">
        <v>30</v>
      </c>
      <c r="H968" t="s">
        <v>585</v>
      </c>
      <c r="I968" t="s">
        <v>136</v>
      </c>
      <c r="J968" s="11">
        <v>1</v>
      </c>
      <c r="K968" s="12">
        <v>54.9</v>
      </c>
      <c r="L968" s="12">
        <v>15.13</v>
      </c>
      <c r="M968" s="13">
        <v>5</v>
      </c>
      <c r="N968" s="13">
        <f t="shared" si="120"/>
        <v>18.868148148147156</v>
      </c>
      <c r="O968" s="13">
        <f t="shared" si="121"/>
        <v>0</v>
      </c>
      <c r="P968" t="str">
        <f t="shared" si="122"/>
        <v>On Time</v>
      </c>
      <c r="Q968" s="13">
        <f t="shared" si="123"/>
        <v>32.87305555556668</v>
      </c>
      <c r="R968" s="13">
        <f t="shared" si="124"/>
        <v>0.85990740740817273</v>
      </c>
      <c r="S968" s="13">
        <f t="shared" si="125"/>
        <v>16.638530092590372</v>
      </c>
      <c r="T968" t="str">
        <f t="shared" si="126"/>
        <v>On Time/Early</v>
      </c>
      <c r="U968" t="str">
        <f t="shared" si="127"/>
        <v>Normal</v>
      </c>
      <c r="V968" t="s">
        <v>102</v>
      </c>
    </row>
    <row r="969" spans="1:22">
      <c r="A969" t="s">
        <v>1530</v>
      </c>
      <c r="B969" s="10">
        <v>43115.334583333337</v>
      </c>
      <c r="C969" s="10">
        <v>43115.343298611115</v>
      </c>
      <c r="D969" s="10">
        <v>43119.744016203702</v>
      </c>
      <c r="E969" s="10">
        <v>43136.77616898148</v>
      </c>
      <c r="F969" s="10">
        <v>43150</v>
      </c>
      <c r="G969" t="s">
        <v>30</v>
      </c>
      <c r="H969" t="s">
        <v>1531</v>
      </c>
      <c r="I969" t="s">
        <v>1087</v>
      </c>
      <c r="J969" s="11">
        <v>1</v>
      </c>
      <c r="K969" s="12">
        <v>79.900000000000006</v>
      </c>
      <c r="L969" s="12">
        <v>26.88</v>
      </c>
      <c r="M969" s="13">
        <v>5</v>
      </c>
      <c r="N969" s="13">
        <f t="shared" si="120"/>
        <v>21.441585648142791</v>
      </c>
      <c r="O969" s="13">
        <f t="shared" si="121"/>
        <v>0</v>
      </c>
      <c r="P969" t="str">
        <f t="shared" si="122"/>
        <v>On Time</v>
      </c>
      <c r="Q969" s="13">
        <f t="shared" si="123"/>
        <v>0.20916666666744277</v>
      </c>
      <c r="R969" s="13">
        <f t="shared" si="124"/>
        <v>4.4007175925871707</v>
      </c>
      <c r="S969" s="13">
        <f t="shared" si="125"/>
        <v>17.03215277777781</v>
      </c>
      <c r="T969" t="str">
        <f t="shared" si="126"/>
        <v>On Time/Early</v>
      </c>
      <c r="U969" t="str">
        <f t="shared" si="127"/>
        <v>Normal</v>
      </c>
      <c r="V969" t="s">
        <v>102</v>
      </c>
    </row>
    <row r="970" spans="1:22">
      <c r="A970" t="s">
        <v>1532</v>
      </c>
      <c r="B970" s="10">
        <v>43115.415914351855</v>
      </c>
      <c r="C970" s="10">
        <v>43116.160358796296</v>
      </c>
      <c r="D970" s="10">
        <v>43119.643645833334</v>
      </c>
      <c r="E970" s="10">
        <v>43129.794618055559</v>
      </c>
      <c r="F970" s="10">
        <v>43138</v>
      </c>
      <c r="G970" t="s">
        <v>110</v>
      </c>
      <c r="H970" t="s">
        <v>1533</v>
      </c>
      <c r="I970" t="s">
        <v>101</v>
      </c>
      <c r="J970" s="11">
        <v>3</v>
      </c>
      <c r="K970" s="12">
        <v>345</v>
      </c>
      <c r="L970" s="12">
        <v>46.68</v>
      </c>
      <c r="M970" s="13">
        <v>4</v>
      </c>
      <c r="N970" s="13">
        <f t="shared" si="120"/>
        <v>14.37870370370365</v>
      </c>
      <c r="O970" s="13">
        <f t="shared" si="121"/>
        <v>0</v>
      </c>
      <c r="P970" t="str">
        <f t="shared" si="122"/>
        <v>On Time</v>
      </c>
      <c r="Q970" s="13">
        <f t="shared" si="123"/>
        <v>17.866666666581295</v>
      </c>
      <c r="R970" s="13">
        <f t="shared" si="124"/>
        <v>3.4832870370373712</v>
      </c>
      <c r="S970" s="13">
        <f t="shared" si="125"/>
        <v>10.150972222225391</v>
      </c>
      <c r="T970" t="str">
        <f t="shared" si="126"/>
        <v>On Time/Early</v>
      </c>
      <c r="U970" t="str">
        <f t="shared" si="127"/>
        <v>Normal</v>
      </c>
      <c r="V970" t="s">
        <v>102</v>
      </c>
    </row>
    <row r="971" spans="1:22">
      <c r="A971" t="s">
        <v>1534</v>
      </c>
      <c r="B971" s="10">
        <v>43115.601446759261</v>
      </c>
      <c r="C971" s="10">
        <v>43115.606516203705</v>
      </c>
      <c r="D971" s="10">
        <v>43119.562951388885</v>
      </c>
      <c r="E971" s="10">
        <v>43130.693518518521</v>
      </c>
      <c r="F971" s="10">
        <v>43145</v>
      </c>
      <c r="G971" t="s">
        <v>8</v>
      </c>
      <c r="H971" t="s">
        <v>212</v>
      </c>
      <c r="I971" t="s">
        <v>101</v>
      </c>
      <c r="J971" s="11">
        <v>2</v>
      </c>
      <c r="K971" s="12">
        <v>159.80000000000001</v>
      </c>
      <c r="L971" s="12">
        <v>30.62</v>
      </c>
      <c r="M971" s="13">
        <v>5</v>
      </c>
      <c r="N971" s="13">
        <f t="shared" si="120"/>
        <v>15.092071759259852</v>
      </c>
      <c r="O971" s="13">
        <f t="shared" si="121"/>
        <v>0</v>
      </c>
      <c r="P971" t="str">
        <f t="shared" si="122"/>
        <v>On Time</v>
      </c>
      <c r="Q971" s="13">
        <f t="shared" si="123"/>
        <v>0.1216666666441597</v>
      </c>
      <c r="R971" s="13">
        <f t="shared" si="124"/>
        <v>3.9564351851804531</v>
      </c>
      <c r="S971" s="13">
        <f t="shared" si="125"/>
        <v>11.130567129635892</v>
      </c>
      <c r="T971" t="str">
        <f t="shared" si="126"/>
        <v>On Time/Early</v>
      </c>
      <c r="U971" t="str">
        <f t="shared" si="127"/>
        <v>Normal</v>
      </c>
      <c r="V971" t="s">
        <v>102</v>
      </c>
    </row>
    <row r="972" spans="1:22">
      <c r="A972" t="s">
        <v>1535</v>
      </c>
      <c r="B972" s="10">
        <v>43115.64739583333</v>
      </c>
      <c r="C972" s="10">
        <v>43115.687847222223</v>
      </c>
      <c r="D972" s="10">
        <v>43117.863761574074</v>
      </c>
      <c r="E972" s="10">
        <v>43124.867534722223</v>
      </c>
      <c r="F972" s="10">
        <v>43137</v>
      </c>
      <c r="G972" t="s">
        <v>320</v>
      </c>
      <c r="H972" t="s">
        <v>321</v>
      </c>
      <c r="I972" t="s">
        <v>112</v>
      </c>
      <c r="J972" s="11">
        <v>1</v>
      </c>
      <c r="K972" s="12">
        <v>24.9</v>
      </c>
      <c r="L972" s="12">
        <v>14.1</v>
      </c>
      <c r="M972" s="13">
        <v>3</v>
      </c>
      <c r="N972" s="13">
        <f t="shared" si="120"/>
        <v>9.2201388888934162</v>
      </c>
      <c r="O972" s="13">
        <f t="shared" si="121"/>
        <v>0</v>
      </c>
      <c r="P972" t="str">
        <f t="shared" si="122"/>
        <v>On Time</v>
      </c>
      <c r="Q972" s="13">
        <f t="shared" si="123"/>
        <v>0.97083333344198763</v>
      </c>
      <c r="R972" s="13">
        <f t="shared" si="124"/>
        <v>2.1759143518502242</v>
      </c>
      <c r="S972" s="13">
        <f t="shared" si="125"/>
        <v>7.0037731481497758</v>
      </c>
      <c r="T972" t="str">
        <f t="shared" si="126"/>
        <v>On Time/Early</v>
      </c>
      <c r="U972" t="str">
        <f t="shared" si="127"/>
        <v>Normal</v>
      </c>
      <c r="V972" t="s">
        <v>102</v>
      </c>
    </row>
    <row r="973" spans="1:22">
      <c r="A973" t="s">
        <v>1536</v>
      </c>
      <c r="B973" s="10">
        <v>43115.69017361111</v>
      </c>
      <c r="C973" s="10">
        <v>43117.151701388888</v>
      </c>
      <c r="D973" s="10">
        <v>43117.652118055557</v>
      </c>
      <c r="E973" s="10">
        <v>43132.742951388886</v>
      </c>
      <c r="F973" s="10">
        <v>43157</v>
      </c>
      <c r="G973" t="s">
        <v>464</v>
      </c>
      <c r="H973" t="s">
        <v>1537</v>
      </c>
      <c r="I973" t="s">
        <v>123</v>
      </c>
      <c r="J973" s="11">
        <v>1</v>
      </c>
      <c r="K973" s="12">
        <v>149.9</v>
      </c>
      <c r="L973" s="12">
        <v>34.85</v>
      </c>
      <c r="M973" s="13">
        <v>4</v>
      </c>
      <c r="N973" s="13">
        <f t="shared" si="120"/>
        <v>17.052777777775191</v>
      </c>
      <c r="O973" s="13">
        <f t="shared" si="121"/>
        <v>0</v>
      </c>
      <c r="P973" t="str">
        <f t="shared" si="122"/>
        <v>On Time</v>
      </c>
      <c r="Q973" s="13">
        <f t="shared" si="123"/>
        <v>35.076666666660458</v>
      </c>
      <c r="R973" s="13">
        <f t="shared" si="124"/>
        <v>0.50041666666948004</v>
      </c>
      <c r="S973" s="13">
        <f t="shared" si="125"/>
        <v>15.090833333328192</v>
      </c>
      <c r="T973" t="str">
        <f t="shared" si="126"/>
        <v>On Time/Early</v>
      </c>
      <c r="U973" t="str">
        <f t="shared" si="127"/>
        <v>Normal</v>
      </c>
      <c r="V973" t="s">
        <v>102</v>
      </c>
    </row>
    <row r="974" spans="1:22">
      <c r="A974" t="s">
        <v>1538</v>
      </c>
      <c r="B974" s="10">
        <v>43115.852662037039</v>
      </c>
      <c r="C974" s="10">
        <v>43115.857939814814</v>
      </c>
      <c r="D974" s="10">
        <v>43116.82885416667</v>
      </c>
      <c r="E974" s="10">
        <v>43132.679942129631</v>
      </c>
      <c r="F974" s="10">
        <v>43138</v>
      </c>
      <c r="G974" t="s">
        <v>36</v>
      </c>
      <c r="H974" t="s">
        <v>1539</v>
      </c>
      <c r="I974" t="s">
        <v>279</v>
      </c>
      <c r="J974" s="11">
        <v>1</v>
      </c>
      <c r="K974" s="12">
        <v>57</v>
      </c>
      <c r="L974" s="12">
        <v>15.15</v>
      </c>
      <c r="M974" s="13">
        <v>5</v>
      </c>
      <c r="N974" s="13">
        <f t="shared" si="120"/>
        <v>16.827280092591536</v>
      </c>
      <c r="O974" s="13">
        <f t="shared" si="121"/>
        <v>0</v>
      </c>
      <c r="P974" t="str">
        <f t="shared" si="122"/>
        <v>On Time</v>
      </c>
      <c r="Q974" s="13">
        <f t="shared" si="123"/>
        <v>0.12666666659060866</v>
      </c>
      <c r="R974" s="13">
        <f t="shared" si="124"/>
        <v>0.97091435185575392</v>
      </c>
      <c r="S974" s="13">
        <f t="shared" si="125"/>
        <v>15.851087962961174</v>
      </c>
      <c r="T974" t="str">
        <f t="shared" si="126"/>
        <v>On Time/Early</v>
      </c>
      <c r="U974" t="str">
        <f t="shared" si="127"/>
        <v>Normal</v>
      </c>
      <c r="V974" t="s">
        <v>102</v>
      </c>
    </row>
    <row r="975" spans="1:22">
      <c r="A975" t="s">
        <v>1540</v>
      </c>
      <c r="B975" s="10">
        <v>43116.361354166664</v>
      </c>
      <c r="C975" s="10">
        <v>43116.368379629632</v>
      </c>
      <c r="D975" s="10">
        <v>43117.048159722224</v>
      </c>
      <c r="E975" s="10">
        <v>43117.854583333334</v>
      </c>
      <c r="F975" s="10">
        <v>43131</v>
      </c>
      <c r="G975" t="s">
        <v>8</v>
      </c>
      <c r="H975" t="s">
        <v>140</v>
      </c>
      <c r="I975" t="s">
        <v>180</v>
      </c>
      <c r="J975" s="11">
        <v>1</v>
      </c>
      <c r="K975" s="12">
        <v>16.899999999999999</v>
      </c>
      <c r="L975" s="12">
        <v>7.78</v>
      </c>
      <c r="M975" s="13">
        <v>5</v>
      </c>
      <c r="N975" s="13">
        <f t="shared" si="120"/>
        <v>1.4932291666700621</v>
      </c>
      <c r="O975" s="13">
        <f t="shared" si="121"/>
        <v>0</v>
      </c>
      <c r="P975" t="str">
        <f t="shared" si="122"/>
        <v>On Time</v>
      </c>
      <c r="Q975" s="13">
        <f t="shared" si="123"/>
        <v>0.16861111123580486</v>
      </c>
      <c r="R975" s="13">
        <f t="shared" si="124"/>
        <v>0.67978009259240935</v>
      </c>
      <c r="S975" s="13">
        <f t="shared" si="125"/>
        <v>0.80642361110949423</v>
      </c>
      <c r="T975" t="str">
        <f t="shared" si="126"/>
        <v>On Time/Early</v>
      </c>
      <c r="U975" t="str">
        <f t="shared" si="127"/>
        <v>Normal</v>
      </c>
      <c r="V975" t="s">
        <v>102</v>
      </c>
    </row>
    <row r="976" spans="1:22">
      <c r="A976" t="s">
        <v>1541</v>
      </c>
      <c r="B976" s="10">
        <v>43116.376342592594</v>
      </c>
      <c r="C976" s="10">
        <v>43117.14984953704</v>
      </c>
      <c r="D976" s="10">
        <v>43123.832499999997</v>
      </c>
      <c r="E976" s="10">
        <v>43130.935983796298</v>
      </c>
      <c r="F976" s="10">
        <v>43137</v>
      </c>
      <c r="G976" t="s">
        <v>36</v>
      </c>
      <c r="H976" t="s">
        <v>1170</v>
      </c>
      <c r="I976" t="s">
        <v>101</v>
      </c>
      <c r="J976" s="11">
        <v>1</v>
      </c>
      <c r="K976" s="12">
        <v>99.9</v>
      </c>
      <c r="L976" s="12">
        <v>13.72</v>
      </c>
      <c r="M976" s="13">
        <v>5</v>
      </c>
      <c r="N976" s="13">
        <f t="shared" si="120"/>
        <v>14.559641203704814</v>
      </c>
      <c r="O976" s="13">
        <f t="shared" si="121"/>
        <v>0</v>
      </c>
      <c r="P976" t="str">
        <f t="shared" si="122"/>
        <v>On Time</v>
      </c>
      <c r="Q976" s="13">
        <f t="shared" si="123"/>
        <v>18.564166666707024</v>
      </c>
      <c r="R976" s="13">
        <f t="shared" si="124"/>
        <v>6.6826504629570991</v>
      </c>
      <c r="S976" s="13">
        <f t="shared" si="125"/>
        <v>7.1034837963015889</v>
      </c>
      <c r="T976" t="str">
        <f t="shared" si="126"/>
        <v>On Time/Early</v>
      </c>
      <c r="U976" t="str">
        <f t="shared" si="127"/>
        <v>Normal</v>
      </c>
      <c r="V976" t="s">
        <v>102</v>
      </c>
    </row>
    <row r="977" spans="1:22">
      <c r="A977" t="s">
        <v>1542</v>
      </c>
      <c r="B977" s="10">
        <v>43116.450023148151</v>
      </c>
      <c r="C977" s="10">
        <v>43116.45516203704</v>
      </c>
      <c r="D977" s="10">
        <v>43116.973171296297</v>
      </c>
      <c r="E977" s="10">
        <v>43138.046932870369</v>
      </c>
      <c r="F977" s="10">
        <v>43137</v>
      </c>
      <c r="G977" t="s">
        <v>8</v>
      </c>
      <c r="H977" t="s">
        <v>140</v>
      </c>
      <c r="I977" t="s">
        <v>58</v>
      </c>
      <c r="J977" s="11">
        <v>1</v>
      </c>
      <c r="K977" s="12">
        <v>150</v>
      </c>
      <c r="L977" s="12">
        <v>12.55</v>
      </c>
      <c r="M977" s="13">
        <v>5</v>
      </c>
      <c r="N977" s="13">
        <f t="shared" si="120"/>
        <v>21.596909722218697</v>
      </c>
      <c r="O977" s="13">
        <f t="shared" si="121"/>
        <v>1.0469328703693463</v>
      </c>
      <c r="P977" t="str">
        <f t="shared" si="122"/>
        <v>Delayed</v>
      </c>
      <c r="Q977" s="13">
        <f t="shared" si="123"/>
        <v>0.12333333335118368</v>
      </c>
      <c r="R977" s="13">
        <f t="shared" si="124"/>
        <v>0.51800925925635966</v>
      </c>
      <c r="S977" s="13">
        <f t="shared" si="125"/>
        <v>21.073761574072705</v>
      </c>
      <c r="T977" t="str">
        <f t="shared" si="126"/>
        <v>1-3 Days Late</v>
      </c>
      <c r="U977" t="str">
        <f t="shared" si="127"/>
        <v>Needs Review</v>
      </c>
      <c r="V977" t="s">
        <v>102</v>
      </c>
    </row>
    <row r="978" spans="1:22">
      <c r="A978" t="s">
        <v>1543</v>
      </c>
      <c r="B978" s="10">
        <v>43116.472881944443</v>
      </c>
      <c r="C978" s="10">
        <v>43117.149907407409</v>
      </c>
      <c r="D978" s="10">
        <v>43117.866643518515</v>
      </c>
      <c r="E978" s="10">
        <v>43129.920254629629</v>
      </c>
      <c r="F978" s="10">
        <v>43160</v>
      </c>
      <c r="G978" t="s">
        <v>843</v>
      </c>
      <c r="H978" t="s">
        <v>844</v>
      </c>
      <c r="I978" t="s">
        <v>128</v>
      </c>
      <c r="J978" s="11">
        <v>1</v>
      </c>
      <c r="K978" s="12">
        <v>510</v>
      </c>
      <c r="L978" s="12">
        <v>38.93</v>
      </c>
      <c r="M978" s="13">
        <v>4</v>
      </c>
      <c r="N978" s="13">
        <f t="shared" si="120"/>
        <v>13.447372685186565</v>
      </c>
      <c r="O978" s="13">
        <f t="shared" si="121"/>
        <v>0</v>
      </c>
      <c r="P978" t="str">
        <f t="shared" si="122"/>
        <v>On Time</v>
      </c>
      <c r="Q978" s="13">
        <f t="shared" si="123"/>
        <v>16.248611111193895</v>
      </c>
      <c r="R978" s="13">
        <f t="shared" si="124"/>
        <v>0.71673611110600177</v>
      </c>
      <c r="S978" s="13">
        <f t="shared" si="125"/>
        <v>12.053611111114151</v>
      </c>
      <c r="T978" t="str">
        <f t="shared" si="126"/>
        <v>On Time/Early</v>
      </c>
      <c r="U978" t="str">
        <f t="shared" si="127"/>
        <v>Normal</v>
      </c>
      <c r="V978" t="s">
        <v>102</v>
      </c>
    </row>
    <row r="979" spans="1:22">
      <c r="A979" t="s">
        <v>1544</v>
      </c>
      <c r="B979" s="10">
        <v>43116.680428240739</v>
      </c>
      <c r="C979" s="10">
        <v>43116.689363425925</v>
      </c>
      <c r="D979" s="10">
        <v>43118.804976851854</v>
      </c>
      <c r="E979" s="10">
        <v>43124.97859953704</v>
      </c>
      <c r="F979" s="10">
        <v>43139</v>
      </c>
      <c r="G979" t="s">
        <v>110</v>
      </c>
      <c r="H979" t="s">
        <v>111</v>
      </c>
      <c r="I979" t="s">
        <v>136</v>
      </c>
      <c r="J979" s="11">
        <v>1</v>
      </c>
      <c r="K979" s="12">
        <v>149.9</v>
      </c>
      <c r="L979" s="12">
        <v>17.3</v>
      </c>
      <c r="M979" s="13">
        <v>5</v>
      </c>
      <c r="N979" s="13">
        <f t="shared" si="120"/>
        <v>8.2981712963010068</v>
      </c>
      <c r="O979" s="13">
        <f t="shared" si="121"/>
        <v>0</v>
      </c>
      <c r="P979" t="str">
        <f t="shared" si="122"/>
        <v>On Time</v>
      </c>
      <c r="Q979" s="13">
        <f t="shared" si="123"/>
        <v>0.21444444445660338</v>
      </c>
      <c r="R979" s="13">
        <f t="shared" si="124"/>
        <v>2.1156134259290411</v>
      </c>
      <c r="S979" s="13">
        <f t="shared" si="125"/>
        <v>6.1736226851862739</v>
      </c>
      <c r="T979" t="str">
        <f t="shared" si="126"/>
        <v>On Time/Early</v>
      </c>
      <c r="U979" t="str">
        <f t="shared" si="127"/>
        <v>Normal</v>
      </c>
      <c r="V979" t="s">
        <v>102</v>
      </c>
    </row>
    <row r="980" spans="1:22">
      <c r="A980" t="s">
        <v>1545</v>
      </c>
      <c r="B980" s="10">
        <v>43116.707129629627</v>
      </c>
      <c r="C980" s="10">
        <v>43116.71539351852</v>
      </c>
      <c r="D980" s="10">
        <v>43117.908935185187</v>
      </c>
      <c r="E980" s="10">
        <v>43124.914537037039</v>
      </c>
      <c r="F980" s="10">
        <v>43138</v>
      </c>
      <c r="G980" t="s">
        <v>20</v>
      </c>
      <c r="H980" t="s">
        <v>1546</v>
      </c>
      <c r="I980" t="s">
        <v>128</v>
      </c>
      <c r="J980" s="11">
        <v>1</v>
      </c>
      <c r="K980" s="12">
        <v>179</v>
      </c>
      <c r="L980" s="12">
        <v>26.87</v>
      </c>
      <c r="M980" s="13">
        <v>5</v>
      </c>
      <c r="N980" s="13">
        <f t="shared" si="120"/>
        <v>8.2074074074116652</v>
      </c>
      <c r="O980" s="13">
        <f t="shared" si="121"/>
        <v>0</v>
      </c>
      <c r="P980" t="str">
        <f t="shared" si="122"/>
        <v>On Time</v>
      </c>
      <c r="Q980" s="13">
        <f t="shared" si="123"/>
        <v>0.19833333342103288</v>
      </c>
      <c r="R980" s="13">
        <f t="shared" si="124"/>
        <v>1.1935416666674428</v>
      </c>
      <c r="S980" s="13">
        <f t="shared" si="125"/>
        <v>7.0056018518516794</v>
      </c>
      <c r="T980" t="str">
        <f t="shared" si="126"/>
        <v>On Time/Early</v>
      </c>
      <c r="U980" t="str">
        <f t="shared" si="127"/>
        <v>Normal</v>
      </c>
      <c r="V980" t="s">
        <v>102</v>
      </c>
    </row>
    <row r="981" spans="1:22">
      <c r="A981" t="s">
        <v>1547</v>
      </c>
      <c r="B981" s="10">
        <v>43116.753738425927</v>
      </c>
      <c r="C981" s="10">
        <v>43116.761423611111</v>
      </c>
      <c r="D981" s="10">
        <v>43119.071284722224</v>
      </c>
      <c r="E981" s="10">
        <v>43125.810266203705</v>
      </c>
      <c r="F981" s="10">
        <v>43131</v>
      </c>
      <c r="G981" t="s">
        <v>8</v>
      </c>
      <c r="H981" t="s">
        <v>140</v>
      </c>
      <c r="I981" t="s">
        <v>149</v>
      </c>
      <c r="J981" s="11">
        <v>5</v>
      </c>
      <c r="K981" s="12">
        <v>745</v>
      </c>
      <c r="L981" s="12">
        <v>41.5</v>
      </c>
      <c r="M981" s="13">
        <v>1</v>
      </c>
      <c r="N981" s="13">
        <f t="shared" si="120"/>
        <v>9.0565277777786832</v>
      </c>
      <c r="O981" s="13">
        <f t="shared" si="121"/>
        <v>0</v>
      </c>
      <c r="P981" t="str">
        <f t="shared" si="122"/>
        <v>On Time</v>
      </c>
      <c r="Q981" s="13">
        <f t="shared" si="123"/>
        <v>0.1844444444286637</v>
      </c>
      <c r="R981" s="13">
        <f t="shared" si="124"/>
        <v>2.3098611111126957</v>
      </c>
      <c r="S981" s="13">
        <f t="shared" si="125"/>
        <v>6.7389814814814599</v>
      </c>
      <c r="T981" t="str">
        <f t="shared" si="126"/>
        <v>On Time/Early</v>
      </c>
      <c r="U981" t="str">
        <f t="shared" si="127"/>
        <v>Normal</v>
      </c>
      <c r="V981" t="s">
        <v>102</v>
      </c>
    </row>
    <row r="982" spans="1:22">
      <c r="A982" t="s">
        <v>1548</v>
      </c>
      <c r="B982" s="10">
        <v>43117.367094907408</v>
      </c>
      <c r="C982" s="10">
        <v>43117.374548611115</v>
      </c>
      <c r="D982" s="10">
        <v>43117.907708333332</v>
      </c>
      <c r="E982" s="10">
        <v>43123.780312499999</v>
      </c>
      <c r="F982" s="10">
        <v>43138</v>
      </c>
      <c r="G982" t="s">
        <v>8</v>
      </c>
      <c r="H982" t="s">
        <v>1549</v>
      </c>
      <c r="I982" t="s">
        <v>180</v>
      </c>
      <c r="J982" s="11">
        <v>1</v>
      </c>
      <c r="K982" s="12">
        <v>138</v>
      </c>
      <c r="L982" s="12">
        <v>13.99</v>
      </c>
      <c r="M982" s="13">
        <v>5</v>
      </c>
      <c r="N982" s="13">
        <f t="shared" si="120"/>
        <v>6.4132175925915362</v>
      </c>
      <c r="O982" s="13">
        <f t="shared" si="121"/>
        <v>0</v>
      </c>
      <c r="P982" t="str">
        <f t="shared" si="122"/>
        <v>On Time</v>
      </c>
      <c r="Q982" s="13">
        <f t="shared" si="123"/>
        <v>0.17888888897141442</v>
      </c>
      <c r="R982" s="13">
        <f t="shared" si="124"/>
        <v>0.53315972221753327</v>
      </c>
      <c r="S982" s="13">
        <f t="shared" si="125"/>
        <v>5.8726041666668607</v>
      </c>
      <c r="T982" t="str">
        <f t="shared" si="126"/>
        <v>On Time/Early</v>
      </c>
      <c r="U982" t="str">
        <f t="shared" si="127"/>
        <v>Normal</v>
      </c>
      <c r="V982" t="s">
        <v>102</v>
      </c>
    </row>
    <row r="983" spans="1:22">
      <c r="A983" t="s">
        <v>1550</v>
      </c>
      <c r="B983" s="10">
        <v>43117.675543981481</v>
      </c>
      <c r="C983" s="10">
        <v>43119.109317129631</v>
      </c>
      <c r="D983" s="10">
        <v>43119.932650462964</v>
      </c>
      <c r="E983" s="10">
        <v>43126.06994212963</v>
      </c>
      <c r="F983" s="10">
        <v>43132</v>
      </c>
      <c r="G983" t="s">
        <v>8</v>
      </c>
      <c r="H983" t="s">
        <v>763</v>
      </c>
      <c r="I983" t="s">
        <v>123</v>
      </c>
      <c r="J983" s="11">
        <v>1</v>
      </c>
      <c r="K983" s="12">
        <v>29.5</v>
      </c>
      <c r="L983" s="12">
        <v>13.08</v>
      </c>
      <c r="M983" s="13">
        <v>5</v>
      </c>
      <c r="N983" s="13">
        <f t="shared" si="120"/>
        <v>8.3943981481497758</v>
      </c>
      <c r="O983" s="13">
        <f t="shared" si="121"/>
        <v>0</v>
      </c>
      <c r="P983" t="str">
        <f t="shared" si="122"/>
        <v>On Time</v>
      </c>
      <c r="Q983" s="13">
        <f t="shared" si="123"/>
        <v>34.410555555601604</v>
      </c>
      <c r="R983" s="13">
        <f t="shared" si="124"/>
        <v>0.82333333333372138</v>
      </c>
      <c r="S983" s="13">
        <f t="shared" si="125"/>
        <v>6.1372916666659876</v>
      </c>
      <c r="T983" t="str">
        <f t="shared" si="126"/>
        <v>On Time/Early</v>
      </c>
      <c r="U983" t="str">
        <f t="shared" si="127"/>
        <v>Normal</v>
      </c>
      <c r="V983" t="s">
        <v>102</v>
      </c>
    </row>
    <row r="984" spans="1:22">
      <c r="A984" t="s">
        <v>1551</v>
      </c>
      <c r="B984" s="10">
        <v>43117.689386574071</v>
      </c>
      <c r="C984" s="10">
        <v>43117.701215277775</v>
      </c>
      <c r="D984" s="10">
        <v>43118.703587962962</v>
      </c>
      <c r="E984" s="10">
        <v>43125.785775462966</v>
      </c>
      <c r="F984" s="10">
        <v>43140</v>
      </c>
      <c r="G984" t="s">
        <v>20</v>
      </c>
      <c r="H984" t="s">
        <v>1552</v>
      </c>
      <c r="I984" t="s">
        <v>180</v>
      </c>
      <c r="J984" s="11">
        <v>1</v>
      </c>
      <c r="K984" s="12">
        <v>69.900000000000006</v>
      </c>
      <c r="L984" s="12">
        <v>17.2</v>
      </c>
      <c r="M984" s="13">
        <v>4</v>
      </c>
      <c r="N984" s="13">
        <f t="shared" si="120"/>
        <v>8.0963888888945803</v>
      </c>
      <c r="O984" s="13">
        <f t="shared" si="121"/>
        <v>0</v>
      </c>
      <c r="P984" t="str">
        <f t="shared" si="122"/>
        <v>On Time</v>
      </c>
      <c r="Q984" s="13">
        <f t="shared" si="123"/>
        <v>0.2838888888945803</v>
      </c>
      <c r="R984" s="13">
        <f t="shared" si="124"/>
        <v>1.002372685186856</v>
      </c>
      <c r="S984" s="13">
        <f t="shared" si="125"/>
        <v>7.0821875000037835</v>
      </c>
      <c r="T984" t="str">
        <f t="shared" si="126"/>
        <v>On Time/Early</v>
      </c>
      <c r="U984" t="str">
        <f t="shared" si="127"/>
        <v>Normal</v>
      </c>
      <c r="V984" t="s">
        <v>102</v>
      </c>
    </row>
    <row r="985" spans="1:22">
      <c r="A985" t="s">
        <v>1553</v>
      </c>
      <c r="B985" s="10">
        <v>43117.816481481481</v>
      </c>
      <c r="C985" s="10">
        <v>43117.826342592591</v>
      </c>
      <c r="D985" s="10">
        <v>43122.95453703704</v>
      </c>
      <c r="E985" s="10">
        <v>43131.838888888888</v>
      </c>
      <c r="F985" s="10">
        <v>43146</v>
      </c>
      <c r="G985" t="s">
        <v>110</v>
      </c>
      <c r="H985" t="s">
        <v>1554</v>
      </c>
      <c r="I985" t="s">
        <v>118</v>
      </c>
      <c r="J985" s="11">
        <v>1</v>
      </c>
      <c r="K985" s="12">
        <v>24.99</v>
      </c>
      <c r="L985" s="12">
        <v>15.1</v>
      </c>
      <c r="M985" s="13">
        <v>5</v>
      </c>
      <c r="N985" s="13">
        <f t="shared" si="120"/>
        <v>14.022407407406718</v>
      </c>
      <c r="O985" s="13">
        <f t="shared" si="121"/>
        <v>0</v>
      </c>
      <c r="P985" t="str">
        <f t="shared" si="122"/>
        <v>On Time</v>
      </c>
      <c r="Q985" s="13">
        <f t="shared" si="123"/>
        <v>0.23666666663484648</v>
      </c>
      <c r="R985" s="13">
        <f t="shared" si="124"/>
        <v>5.1281944444490364</v>
      </c>
      <c r="S985" s="13">
        <f t="shared" si="125"/>
        <v>8.8843518518478959</v>
      </c>
      <c r="T985" t="str">
        <f t="shared" si="126"/>
        <v>On Time/Early</v>
      </c>
      <c r="U985" t="str">
        <f t="shared" si="127"/>
        <v>Normal</v>
      </c>
      <c r="V985" t="s">
        <v>102</v>
      </c>
    </row>
    <row r="986" spans="1:22">
      <c r="A986" t="s">
        <v>1555</v>
      </c>
      <c r="B986" s="10">
        <v>43118.450462962966</v>
      </c>
      <c r="C986" s="10">
        <v>43120.381053240744</v>
      </c>
      <c r="D986" s="10">
        <v>43124.031111111108</v>
      </c>
      <c r="E986" s="10">
        <v>43139.89099537037</v>
      </c>
      <c r="F986" s="10">
        <v>43153</v>
      </c>
      <c r="G986" t="s">
        <v>8</v>
      </c>
      <c r="H986" t="s">
        <v>140</v>
      </c>
      <c r="I986" t="s">
        <v>58</v>
      </c>
      <c r="J986" s="11">
        <v>1</v>
      </c>
      <c r="K986" s="12">
        <v>19.899999999999999</v>
      </c>
      <c r="L986" s="12">
        <v>15.1</v>
      </c>
      <c r="M986" s="13">
        <v>4</v>
      </c>
      <c r="N986" s="13">
        <f t="shared" si="120"/>
        <v>21.440532407403225</v>
      </c>
      <c r="O986" s="13">
        <f t="shared" si="121"/>
        <v>0</v>
      </c>
      <c r="P986" t="str">
        <f t="shared" si="122"/>
        <v>On Time</v>
      </c>
      <c r="Q986" s="13">
        <f t="shared" si="123"/>
        <v>46.334166666667443</v>
      </c>
      <c r="R986" s="13">
        <f t="shared" si="124"/>
        <v>3.6500578703635256</v>
      </c>
      <c r="S986" s="13">
        <f t="shared" si="125"/>
        <v>15.859884259261889</v>
      </c>
      <c r="T986" t="str">
        <f t="shared" si="126"/>
        <v>On Time/Early</v>
      </c>
      <c r="U986" t="str">
        <f t="shared" si="127"/>
        <v>Normal</v>
      </c>
      <c r="V986" t="s">
        <v>102</v>
      </c>
    </row>
    <row r="987" spans="1:22">
      <c r="A987" t="s">
        <v>1556</v>
      </c>
      <c r="B987" s="10">
        <v>43118.481898148151</v>
      </c>
      <c r="C987" s="10">
        <v>43126.710717592592</v>
      </c>
      <c r="D987" s="10">
        <v>43133.785115740742</v>
      </c>
      <c r="E987" s="10">
        <v>43136.75886574074</v>
      </c>
      <c r="F987" s="10">
        <v>43133</v>
      </c>
      <c r="G987" t="s">
        <v>8</v>
      </c>
      <c r="H987" t="s">
        <v>605</v>
      </c>
      <c r="I987" t="s">
        <v>972</v>
      </c>
      <c r="J987" s="11">
        <v>1</v>
      </c>
      <c r="K987" s="12">
        <v>139.99</v>
      </c>
      <c r="L987" s="12">
        <v>14.37</v>
      </c>
      <c r="M987" s="13">
        <v>1</v>
      </c>
      <c r="N987" s="13">
        <f t="shared" si="120"/>
        <v>18.276967592588335</v>
      </c>
      <c r="O987" s="13">
        <f t="shared" si="121"/>
        <v>3.7588657407395658</v>
      </c>
      <c r="P987" t="str">
        <f t="shared" si="122"/>
        <v>Delayed</v>
      </c>
      <c r="Q987" s="13">
        <f t="shared" si="123"/>
        <v>197.4916666665813</v>
      </c>
      <c r="R987" s="13">
        <f t="shared" si="124"/>
        <v>7.0743981481500668</v>
      </c>
      <c r="S987" s="13">
        <f t="shared" si="125"/>
        <v>2.9737499999973807</v>
      </c>
      <c r="T987" t="str">
        <f t="shared" si="126"/>
        <v>4-7 Days Late</v>
      </c>
      <c r="U987" t="str">
        <f t="shared" si="127"/>
        <v>Needs Review</v>
      </c>
      <c r="V987" t="s">
        <v>102</v>
      </c>
    </row>
    <row r="988" spans="1:22">
      <c r="A988" t="s">
        <v>1557</v>
      </c>
      <c r="B988" s="10">
        <v>43118.523310185185</v>
      </c>
      <c r="C988" s="10">
        <v>43118.539201388892</v>
      </c>
      <c r="D988" s="10">
        <v>43123.044374999998</v>
      </c>
      <c r="E988" s="10">
        <v>43129.74454861111</v>
      </c>
      <c r="F988" s="10">
        <v>43140</v>
      </c>
      <c r="G988" t="s">
        <v>16</v>
      </c>
      <c r="H988" t="s">
        <v>138</v>
      </c>
      <c r="I988" t="s">
        <v>112</v>
      </c>
      <c r="J988" s="11">
        <v>1</v>
      </c>
      <c r="K988" s="12">
        <v>49.99</v>
      </c>
      <c r="L988" s="12">
        <v>15.79</v>
      </c>
      <c r="M988" s="13">
        <v>5</v>
      </c>
      <c r="N988" s="13">
        <f t="shared" si="120"/>
        <v>11.221238425925549</v>
      </c>
      <c r="O988" s="13">
        <f t="shared" si="121"/>
        <v>0</v>
      </c>
      <c r="P988" t="str">
        <f t="shared" si="122"/>
        <v>On Time</v>
      </c>
      <c r="Q988" s="13">
        <f t="shared" si="123"/>
        <v>0.38138888898538426</v>
      </c>
      <c r="R988" s="13">
        <f t="shared" si="124"/>
        <v>4.5051736111054197</v>
      </c>
      <c r="S988" s="13">
        <f t="shared" si="125"/>
        <v>6.7001736111124046</v>
      </c>
      <c r="T988" t="str">
        <f t="shared" si="126"/>
        <v>On Time/Early</v>
      </c>
      <c r="U988" t="str">
        <f t="shared" si="127"/>
        <v>Normal</v>
      </c>
      <c r="V988" t="s">
        <v>102</v>
      </c>
    </row>
    <row r="989" spans="1:22">
      <c r="A989" t="s">
        <v>1558</v>
      </c>
      <c r="B989" s="10">
        <v>43118.586296296293</v>
      </c>
      <c r="C989" s="10">
        <v>43119.109016203707</v>
      </c>
      <c r="D989" s="10">
        <v>43119.851087962961</v>
      </c>
      <c r="E989" s="10">
        <v>43131.883958333332</v>
      </c>
      <c r="F989" s="10">
        <v>43133</v>
      </c>
      <c r="G989" t="s">
        <v>134</v>
      </c>
      <c r="H989" t="s">
        <v>799</v>
      </c>
      <c r="I989" t="s">
        <v>58</v>
      </c>
      <c r="J989" s="11">
        <v>2</v>
      </c>
      <c r="K989" s="12">
        <v>137.80000000000001</v>
      </c>
      <c r="L989" s="12">
        <v>22.42</v>
      </c>
      <c r="M989" s="13">
        <v>5</v>
      </c>
      <c r="N989" s="13">
        <f t="shared" si="120"/>
        <v>13.297662037039117</v>
      </c>
      <c r="O989" s="13">
        <f t="shared" si="121"/>
        <v>0</v>
      </c>
      <c r="P989" t="str">
        <f t="shared" si="122"/>
        <v>On Time</v>
      </c>
      <c r="Q989" s="13">
        <f t="shared" si="123"/>
        <v>12.545277777942829</v>
      </c>
      <c r="R989" s="13">
        <f t="shared" si="124"/>
        <v>0.74207175925403135</v>
      </c>
      <c r="S989" s="13">
        <f t="shared" si="125"/>
        <v>12.032870370370802</v>
      </c>
      <c r="T989" t="str">
        <f t="shared" si="126"/>
        <v>On Time/Early</v>
      </c>
      <c r="U989" t="str">
        <f t="shared" si="127"/>
        <v>Normal</v>
      </c>
      <c r="V989" t="s">
        <v>102</v>
      </c>
    </row>
    <row r="990" spans="1:22">
      <c r="A990" t="s">
        <v>1559</v>
      </c>
      <c r="B990" s="10">
        <v>43118.661863425928</v>
      </c>
      <c r="C990" s="10">
        <v>43118.677986111114</v>
      </c>
      <c r="D990" s="10">
        <v>43119.91133101852</v>
      </c>
      <c r="E990" s="10">
        <v>43123.646863425929</v>
      </c>
      <c r="F990" s="10">
        <v>43133</v>
      </c>
      <c r="G990" t="s">
        <v>8</v>
      </c>
      <c r="H990" t="s">
        <v>140</v>
      </c>
      <c r="I990" t="s">
        <v>136</v>
      </c>
      <c r="J990" s="11">
        <v>1</v>
      </c>
      <c r="K990" s="12">
        <v>159.5</v>
      </c>
      <c r="L990" s="12">
        <v>12.32</v>
      </c>
      <c r="M990" s="13">
        <v>5</v>
      </c>
      <c r="N990" s="13">
        <f t="shared" si="120"/>
        <v>4.9850000000005821</v>
      </c>
      <c r="O990" s="13">
        <f t="shared" si="121"/>
        <v>0</v>
      </c>
      <c r="P990" t="str">
        <f t="shared" si="122"/>
        <v>On Time</v>
      </c>
      <c r="Q990" s="13">
        <f t="shared" si="123"/>
        <v>0.38694444444263354</v>
      </c>
      <c r="R990" s="13">
        <f t="shared" si="124"/>
        <v>1.2333449074067175</v>
      </c>
      <c r="S990" s="13">
        <f t="shared" si="125"/>
        <v>3.7355324074087548</v>
      </c>
      <c r="T990" t="str">
        <f t="shared" si="126"/>
        <v>On Time/Early</v>
      </c>
      <c r="U990" t="str">
        <f t="shared" si="127"/>
        <v>Normal</v>
      </c>
      <c r="V990" t="s">
        <v>102</v>
      </c>
    </row>
    <row r="991" spans="1:22">
      <c r="A991" t="s">
        <v>1560</v>
      </c>
      <c r="B991" s="10">
        <v>43118.902812499997</v>
      </c>
      <c r="C991" s="10">
        <v>43118.914884259262</v>
      </c>
      <c r="D991" s="10">
        <v>43119.87736111111</v>
      </c>
      <c r="E991" s="10">
        <v>43132.946319444447</v>
      </c>
      <c r="F991" s="10">
        <v>43151</v>
      </c>
      <c r="G991" t="s">
        <v>23</v>
      </c>
      <c r="H991" t="s">
        <v>1561</v>
      </c>
      <c r="I991" t="s">
        <v>221</v>
      </c>
      <c r="J991" s="11">
        <v>1</v>
      </c>
      <c r="K991" s="12">
        <v>35</v>
      </c>
      <c r="L991" s="12">
        <v>16.79</v>
      </c>
      <c r="M991" s="13">
        <v>4</v>
      </c>
      <c r="N991" s="13">
        <f t="shared" si="120"/>
        <v>14.043506944450201</v>
      </c>
      <c r="O991" s="13">
        <f t="shared" si="121"/>
        <v>0</v>
      </c>
      <c r="P991" t="str">
        <f t="shared" si="122"/>
        <v>On Time</v>
      </c>
      <c r="Q991" s="13">
        <f t="shared" si="123"/>
        <v>0.28972222236916423</v>
      </c>
      <c r="R991" s="13">
        <f t="shared" si="124"/>
        <v>0.96247685184789589</v>
      </c>
      <c r="S991" s="13">
        <f t="shared" si="125"/>
        <v>13.068958333336923</v>
      </c>
      <c r="T991" t="str">
        <f t="shared" si="126"/>
        <v>On Time/Early</v>
      </c>
      <c r="U991" t="str">
        <f t="shared" si="127"/>
        <v>Normal</v>
      </c>
      <c r="V991" t="s">
        <v>102</v>
      </c>
    </row>
    <row r="992" spans="1:22">
      <c r="A992" t="s">
        <v>1562</v>
      </c>
      <c r="B992" s="10">
        <v>43118.936261574076</v>
      </c>
      <c r="C992" s="10">
        <v>43118.943981481483</v>
      </c>
      <c r="D992" s="10">
        <v>43119.910983796297</v>
      </c>
      <c r="E992" s="10">
        <v>43125.732893518521</v>
      </c>
      <c r="F992" s="10">
        <v>43150</v>
      </c>
      <c r="G992" t="s">
        <v>8</v>
      </c>
      <c r="H992" t="s">
        <v>588</v>
      </c>
      <c r="I992" t="s">
        <v>123</v>
      </c>
      <c r="J992" s="11">
        <v>1</v>
      </c>
      <c r="K992" s="12">
        <v>169.97</v>
      </c>
      <c r="L992" s="12">
        <v>14.94</v>
      </c>
      <c r="M992" s="13">
        <v>4</v>
      </c>
      <c r="N992" s="13">
        <f t="shared" si="120"/>
        <v>6.796631944445835</v>
      </c>
      <c r="O992" s="13">
        <f t="shared" si="121"/>
        <v>0</v>
      </c>
      <c r="P992" t="str">
        <f t="shared" si="122"/>
        <v>On Time</v>
      </c>
      <c r="Q992" s="13">
        <f t="shared" si="123"/>
        <v>0.18527777778217569</v>
      </c>
      <c r="R992" s="13">
        <f t="shared" si="124"/>
        <v>0.96700231481372612</v>
      </c>
      <c r="S992" s="13">
        <f t="shared" si="125"/>
        <v>5.8219097222245182</v>
      </c>
      <c r="T992" t="str">
        <f t="shared" si="126"/>
        <v>On Time/Early</v>
      </c>
      <c r="U992" t="str">
        <f t="shared" si="127"/>
        <v>Normal</v>
      </c>
      <c r="V992" t="s">
        <v>102</v>
      </c>
    </row>
    <row r="993" spans="1:22">
      <c r="A993" t="s">
        <v>1563</v>
      </c>
      <c r="B993" s="10">
        <v>43118.961527777778</v>
      </c>
      <c r="C993" s="10">
        <v>43118.969907407409</v>
      </c>
      <c r="D993" s="10">
        <v>43122.922025462962</v>
      </c>
      <c r="E993" s="10">
        <v>43130.848414351851</v>
      </c>
      <c r="F993" s="10">
        <v>43145</v>
      </c>
      <c r="G993" t="s">
        <v>110</v>
      </c>
      <c r="H993" t="s">
        <v>111</v>
      </c>
      <c r="I993" t="s">
        <v>118</v>
      </c>
      <c r="J993" s="11">
        <v>1</v>
      </c>
      <c r="K993" s="12">
        <v>29.99</v>
      </c>
      <c r="L993" s="12">
        <v>14.1</v>
      </c>
      <c r="M993" s="13">
        <v>2</v>
      </c>
      <c r="N993" s="13">
        <f t="shared" si="120"/>
        <v>11.886886574073287</v>
      </c>
      <c r="O993" s="13">
        <f t="shared" si="121"/>
        <v>0</v>
      </c>
      <c r="P993" t="str">
        <f t="shared" si="122"/>
        <v>On Time</v>
      </c>
      <c r="Q993" s="13">
        <f t="shared" si="123"/>
        <v>0.20111111114965752</v>
      </c>
      <c r="R993" s="13">
        <f t="shared" si="124"/>
        <v>3.9521180555530009</v>
      </c>
      <c r="S993" s="13">
        <f t="shared" si="125"/>
        <v>7.9263888888890506</v>
      </c>
      <c r="T993" t="str">
        <f t="shared" si="126"/>
        <v>On Time/Early</v>
      </c>
      <c r="U993" t="str">
        <f t="shared" si="127"/>
        <v>Normal</v>
      </c>
      <c r="V993" t="s">
        <v>102</v>
      </c>
    </row>
    <row r="994" spans="1:22">
      <c r="A994" t="s">
        <v>1564</v>
      </c>
      <c r="B994" s="10">
        <v>43119.298148148147</v>
      </c>
      <c r="C994" s="10">
        <v>43120.380925925929</v>
      </c>
      <c r="D994" s="10">
        <v>43123.712962962964</v>
      </c>
      <c r="E994" s="10">
        <v>43132.766284722224</v>
      </c>
      <c r="F994" s="10">
        <v>43154</v>
      </c>
      <c r="G994" t="s">
        <v>23</v>
      </c>
      <c r="H994" t="s">
        <v>1565</v>
      </c>
      <c r="I994" t="s">
        <v>34</v>
      </c>
      <c r="J994" s="11">
        <v>1</v>
      </c>
      <c r="K994" s="12">
        <v>90.9</v>
      </c>
      <c r="L994" s="12">
        <v>50.51</v>
      </c>
      <c r="M994" s="13">
        <v>5</v>
      </c>
      <c r="N994" s="13">
        <f t="shared" si="120"/>
        <v>13.468136574076198</v>
      </c>
      <c r="O994" s="13">
        <f t="shared" si="121"/>
        <v>0</v>
      </c>
      <c r="P994" t="str">
        <f t="shared" si="122"/>
        <v>On Time</v>
      </c>
      <c r="Q994" s="13">
        <f t="shared" si="123"/>
        <v>25.986666666751262</v>
      </c>
      <c r="R994" s="13">
        <f t="shared" si="124"/>
        <v>3.3320370370347518</v>
      </c>
      <c r="S994" s="13">
        <f t="shared" si="125"/>
        <v>9.0533217592601432</v>
      </c>
      <c r="T994" t="str">
        <f t="shared" si="126"/>
        <v>On Time/Early</v>
      </c>
      <c r="U994" t="str">
        <f t="shared" si="127"/>
        <v>Normal</v>
      </c>
      <c r="V994" t="s">
        <v>102</v>
      </c>
    </row>
    <row r="995" spans="1:22">
      <c r="A995" t="s">
        <v>1566</v>
      </c>
      <c r="B995" s="10">
        <v>43119.462222222224</v>
      </c>
      <c r="C995" s="10">
        <v>43119.469768518517</v>
      </c>
      <c r="D995" s="10">
        <v>43123.760104166664</v>
      </c>
      <c r="E995" s="10">
        <v>43125.860185185185</v>
      </c>
      <c r="F995" s="10">
        <v>43147</v>
      </c>
      <c r="G995" t="s">
        <v>8</v>
      </c>
      <c r="H995" t="s">
        <v>1567</v>
      </c>
      <c r="I995" t="s">
        <v>368</v>
      </c>
      <c r="J995" s="11">
        <v>1</v>
      </c>
      <c r="K995" s="12">
        <v>129</v>
      </c>
      <c r="L995" s="12">
        <v>13.92</v>
      </c>
      <c r="M995" s="13">
        <v>3</v>
      </c>
      <c r="N995" s="13">
        <f t="shared" si="120"/>
        <v>6.3979629629611736</v>
      </c>
      <c r="O995" s="13">
        <f t="shared" si="121"/>
        <v>0</v>
      </c>
      <c r="P995" t="str">
        <f t="shared" si="122"/>
        <v>On Time</v>
      </c>
      <c r="Q995" s="13">
        <f t="shared" si="123"/>
        <v>0.18111111101461574</v>
      </c>
      <c r="R995" s="13">
        <f t="shared" si="124"/>
        <v>4.2903356481474475</v>
      </c>
      <c r="S995" s="13">
        <f t="shared" si="125"/>
        <v>2.1000810185214505</v>
      </c>
      <c r="T995" t="str">
        <f t="shared" si="126"/>
        <v>On Time/Early</v>
      </c>
      <c r="U995" t="str">
        <f t="shared" si="127"/>
        <v>Normal</v>
      </c>
      <c r="V995" t="s">
        <v>102</v>
      </c>
    </row>
    <row r="996" spans="1:22">
      <c r="A996" t="s">
        <v>1568</v>
      </c>
      <c r="B996" s="10">
        <v>43119.557962962965</v>
      </c>
      <c r="C996" s="10">
        <v>43119.566678240742</v>
      </c>
      <c r="D996" s="10">
        <v>43119.890636574077</v>
      </c>
      <c r="E996" s="10">
        <v>43122.719861111109</v>
      </c>
      <c r="F996" s="10">
        <v>43136</v>
      </c>
      <c r="G996" t="s">
        <v>8</v>
      </c>
      <c r="H996" t="s">
        <v>140</v>
      </c>
      <c r="I996" t="s">
        <v>279</v>
      </c>
      <c r="J996" s="11">
        <v>1</v>
      </c>
      <c r="K996" s="12">
        <v>39.99</v>
      </c>
      <c r="L996" s="12">
        <v>8.7200000000000006</v>
      </c>
      <c r="M996" s="13">
        <v>5</v>
      </c>
      <c r="N996" s="13">
        <f t="shared" si="120"/>
        <v>3.1618981481442461</v>
      </c>
      <c r="O996" s="13">
        <f t="shared" si="121"/>
        <v>0</v>
      </c>
      <c r="P996" t="str">
        <f t="shared" si="122"/>
        <v>On Time</v>
      </c>
      <c r="Q996" s="13">
        <f t="shared" si="123"/>
        <v>0.20916666666744277</v>
      </c>
      <c r="R996" s="13">
        <f t="shared" si="124"/>
        <v>0.32395833333430346</v>
      </c>
      <c r="S996" s="13">
        <f t="shared" si="125"/>
        <v>2.8292245370321325</v>
      </c>
      <c r="T996" t="str">
        <f t="shared" si="126"/>
        <v>On Time/Early</v>
      </c>
      <c r="U996" t="str">
        <f t="shared" si="127"/>
        <v>Normal</v>
      </c>
      <c r="V996" t="s">
        <v>102</v>
      </c>
    </row>
    <row r="997" spans="1:22">
      <c r="A997" t="s">
        <v>1569</v>
      </c>
      <c r="B997" s="10">
        <v>43119.612766203703</v>
      </c>
      <c r="C997" s="10">
        <v>43119.623206018521</v>
      </c>
      <c r="D997" s="10">
        <v>43123.640787037039</v>
      </c>
      <c r="E997" s="10">
        <v>43126.670219907406</v>
      </c>
      <c r="F997" s="10">
        <v>43140</v>
      </c>
      <c r="G997" t="s">
        <v>8</v>
      </c>
      <c r="H997" t="s">
        <v>1570</v>
      </c>
      <c r="I997" t="s">
        <v>31</v>
      </c>
      <c r="J997" s="11">
        <v>1</v>
      </c>
      <c r="K997" s="12">
        <v>18.899999999999999</v>
      </c>
      <c r="L997" s="12">
        <v>11.85</v>
      </c>
      <c r="M997" s="13">
        <v>5</v>
      </c>
      <c r="N997" s="13">
        <f t="shared" si="120"/>
        <v>7.0574537037027767</v>
      </c>
      <c r="O997" s="13">
        <f t="shared" si="121"/>
        <v>0</v>
      </c>
      <c r="P997" t="str">
        <f t="shared" si="122"/>
        <v>On Time</v>
      </c>
      <c r="Q997" s="13">
        <f t="shared" si="123"/>
        <v>0.25055555562721565</v>
      </c>
      <c r="R997" s="13">
        <f t="shared" si="124"/>
        <v>4.0175810185173759</v>
      </c>
      <c r="S997" s="13">
        <f t="shared" si="125"/>
        <v>3.0294328703676001</v>
      </c>
      <c r="T997" t="str">
        <f t="shared" si="126"/>
        <v>On Time/Early</v>
      </c>
      <c r="U997" t="str">
        <f t="shared" si="127"/>
        <v>Normal</v>
      </c>
      <c r="V997" t="s">
        <v>102</v>
      </c>
    </row>
    <row r="998" spans="1:22">
      <c r="A998" t="s">
        <v>1571</v>
      </c>
      <c r="B998" s="10">
        <v>43119.743043981478</v>
      </c>
      <c r="C998" s="10">
        <v>43119.764236111114</v>
      </c>
      <c r="D998" s="10">
        <v>43123.519826388889</v>
      </c>
      <c r="E998" s="10">
        <v>43126.856238425928</v>
      </c>
      <c r="F998" s="10">
        <v>43140</v>
      </c>
      <c r="G998" t="s">
        <v>8</v>
      </c>
      <c r="H998" t="s">
        <v>309</v>
      </c>
      <c r="I998" t="s">
        <v>58</v>
      </c>
      <c r="J998" s="11">
        <v>1</v>
      </c>
      <c r="K998" s="12">
        <v>32.9</v>
      </c>
      <c r="L998" s="12">
        <v>11.85</v>
      </c>
      <c r="M998" s="13">
        <v>5</v>
      </c>
      <c r="N998" s="13">
        <f t="shared" si="120"/>
        <v>7.1131944444496185</v>
      </c>
      <c r="O998" s="13">
        <f t="shared" si="121"/>
        <v>0</v>
      </c>
      <c r="P998" t="str">
        <f t="shared" si="122"/>
        <v>On Time</v>
      </c>
      <c r="Q998" s="13">
        <f t="shared" si="123"/>
        <v>0.50861111126141623</v>
      </c>
      <c r="R998" s="13">
        <f t="shared" si="124"/>
        <v>3.7555902777748997</v>
      </c>
      <c r="S998" s="13">
        <f t="shared" si="125"/>
        <v>3.3364120370388264</v>
      </c>
      <c r="T998" t="str">
        <f t="shared" si="126"/>
        <v>On Time/Early</v>
      </c>
      <c r="U998" t="str">
        <f t="shared" si="127"/>
        <v>Normal</v>
      </c>
      <c r="V998" t="s">
        <v>102</v>
      </c>
    </row>
    <row r="999" spans="1:22">
      <c r="A999" t="s">
        <v>1572</v>
      </c>
      <c r="B999" s="10">
        <v>43119.998136574075</v>
      </c>
      <c r="C999" s="10">
        <v>43120.046932870369</v>
      </c>
      <c r="D999" s="10">
        <v>43123.011689814812</v>
      </c>
      <c r="E999" s="10">
        <v>43130.971886574072</v>
      </c>
      <c r="F999" s="10">
        <v>43147</v>
      </c>
      <c r="G999" t="s">
        <v>20</v>
      </c>
      <c r="H999" t="s">
        <v>878</v>
      </c>
      <c r="I999" t="s">
        <v>180</v>
      </c>
      <c r="J999" s="11">
        <v>1</v>
      </c>
      <c r="K999" s="12">
        <v>259.89999999999998</v>
      </c>
      <c r="L999" s="12">
        <v>26.66</v>
      </c>
      <c r="M999" s="13">
        <v>5</v>
      </c>
      <c r="N999" s="13">
        <f t="shared" si="120"/>
        <v>10.973749999997381</v>
      </c>
      <c r="O999" s="13">
        <f t="shared" si="121"/>
        <v>0</v>
      </c>
      <c r="P999" t="str">
        <f t="shared" si="122"/>
        <v>On Time</v>
      </c>
      <c r="Q999" s="13">
        <f t="shared" si="123"/>
        <v>1.1711111110635102</v>
      </c>
      <c r="R999" s="13">
        <f t="shared" si="124"/>
        <v>2.9647569444423425</v>
      </c>
      <c r="S999" s="13">
        <f t="shared" si="125"/>
        <v>7.9601967592607252</v>
      </c>
      <c r="T999" t="str">
        <f t="shared" si="126"/>
        <v>On Time/Early</v>
      </c>
      <c r="U999" t="str">
        <f t="shared" si="127"/>
        <v>Normal</v>
      </c>
      <c r="V999" t="s">
        <v>102</v>
      </c>
    </row>
    <row r="1000" spans="1:22">
      <c r="A1000" t="s">
        <v>1573</v>
      </c>
      <c r="B1000" s="10">
        <v>43120.529004629629</v>
      </c>
      <c r="C1000" s="10">
        <v>43120.535416666666</v>
      </c>
      <c r="D1000" s="10">
        <v>43122.784085648149</v>
      </c>
      <c r="E1000" s="10">
        <v>43136.67528935185</v>
      </c>
      <c r="F1000" s="10">
        <v>43151</v>
      </c>
      <c r="G1000" t="s">
        <v>30</v>
      </c>
      <c r="H1000" t="s">
        <v>365</v>
      </c>
      <c r="I1000" t="s">
        <v>136</v>
      </c>
      <c r="J1000" s="11">
        <v>1</v>
      </c>
      <c r="K1000" s="12">
        <v>59.9</v>
      </c>
      <c r="L1000" s="12">
        <v>15.17</v>
      </c>
      <c r="M1000" s="13">
        <v>4</v>
      </c>
      <c r="N1000" s="13">
        <f t="shared" si="120"/>
        <v>16.146284722221026</v>
      </c>
      <c r="O1000" s="13">
        <f t="shared" si="121"/>
        <v>0</v>
      </c>
      <c r="P1000" t="str">
        <f t="shared" si="122"/>
        <v>On Time</v>
      </c>
      <c r="Q1000" s="13">
        <f t="shared" si="123"/>
        <v>0.15388888888992369</v>
      </c>
      <c r="R1000" s="13">
        <f t="shared" si="124"/>
        <v>2.2486689814832062</v>
      </c>
      <c r="S1000" s="13">
        <f t="shared" si="125"/>
        <v>13.891203703700739</v>
      </c>
      <c r="T1000" t="str">
        <f t="shared" si="126"/>
        <v>On Time/Early</v>
      </c>
      <c r="U1000" t="str">
        <f t="shared" si="127"/>
        <v>Normal</v>
      </c>
      <c r="V1000" t="s">
        <v>102</v>
      </c>
    </row>
    <row r="1001" spans="1:22">
      <c r="A1001" t="s">
        <v>1574</v>
      </c>
      <c r="B1001" s="10">
        <v>43121.511701388888</v>
      </c>
      <c r="C1001" s="10">
        <v>43122.575532407405</v>
      </c>
      <c r="D1001" s="10">
        <v>43124.949074074073</v>
      </c>
      <c r="E1001" s="10">
        <v>43139.851990740739</v>
      </c>
      <c r="F1001" s="10">
        <v>43157</v>
      </c>
      <c r="G1001" t="s">
        <v>50</v>
      </c>
      <c r="H1001" t="s">
        <v>1575</v>
      </c>
      <c r="I1001" t="s">
        <v>180</v>
      </c>
      <c r="J1001" s="11">
        <v>2</v>
      </c>
      <c r="K1001" s="12">
        <v>165.9</v>
      </c>
      <c r="L1001" s="12">
        <v>54.24</v>
      </c>
      <c r="M1001" s="13">
        <v>4</v>
      </c>
      <c r="N1001" s="13">
        <f t="shared" si="120"/>
        <v>18.340289351850515</v>
      </c>
      <c r="O1001" s="13">
        <f t="shared" si="121"/>
        <v>0</v>
      </c>
      <c r="P1001" t="str">
        <f t="shared" si="122"/>
        <v>On Time</v>
      </c>
      <c r="Q1001" s="13">
        <f t="shared" si="123"/>
        <v>25.531944444403052</v>
      </c>
      <c r="R1001" s="13">
        <f t="shared" si="124"/>
        <v>2.3735416666677338</v>
      </c>
      <c r="S1001" s="13">
        <f t="shared" si="125"/>
        <v>14.902916666665988</v>
      </c>
      <c r="T1001" t="str">
        <f t="shared" si="126"/>
        <v>On Time/Early</v>
      </c>
      <c r="U1001" t="str">
        <f t="shared" si="127"/>
        <v>Normal</v>
      </c>
      <c r="V1001" t="s">
        <v>102</v>
      </c>
    </row>
    <row r="1002" spans="1:22">
      <c r="A1002" t="s">
        <v>1576</v>
      </c>
      <c r="B1002" s="10">
        <v>43121.573414351849</v>
      </c>
      <c r="C1002" s="10">
        <v>43122.576724537037</v>
      </c>
      <c r="D1002" s="10">
        <v>43124.82130787037</v>
      </c>
      <c r="E1002" s="10">
        <v>43131.92560185185</v>
      </c>
      <c r="F1002" s="10">
        <v>43145</v>
      </c>
      <c r="G1002" t="s">
        <v>36</v>
      </c>
      <c r="H1002" t="s">
        <v>467</v>
      </c>
      <c r="I1002" t="s">
        <v>141</v>
      </c>
      <c r="J1002" s="11">
        <v>1</v>
      </c>
      <c r="K1002" s="12">
        <v>177.99</v>
      </c>
      <c r="L1002" s="12">
        <v>14.4</v>
      </c>
      <c r="M1002" s="13">
        <v>5</v>
      </c>
      <c r="N1002" s="13">
        <f t="shared" si="120"/>
        <v>10.352187500000582</v>
      </c>
      <c r="O1002" s="13">
        <f t="shared" si="121"/>
        <v>0</v>
      </c>
      <c r="P1002" t="str">
        <f t="shared" si="122"/>
        <v>On Time</v>
      </c>
      <c r="Q1002" s="13">
        <f t="shared" si="123"/>
        <v>24.079444444505498</v>
      </c>
      <c r="R1002" s="13">
        <f t="shared" si="124"/>
        <v>2.2445833333331393</v>
      </c>
      <c r="S1002" s="13">
        <f t="shared" si="125"/>
        <v>7.1042939814797137</v>
      </c>
      <c r="T1002" t="str">
        <f t="shared" si="126"/>
        <v>On Time/Early</v>
      </c>
      <c r="U1002" t="str">
        <f t="shared" si="127"/>
        <v>Normal</v>
      </c>
      <c r="V1002" t="s">
        <v>102</v>
      </c>
    </row>
    <row r="1003" spans="1:22">
      <c r="A1003" t="s">
        <v>1577</v>
      </c>
      <c r="B1003" s="10">
        <v>43121.756388888891</v>
      </c>
      <c r="C1003" s="10">
        <v>43122.580439814818</v>
      </c>
      <c r="D1003" s="10">
        <v>43125.987743055557</v>
      </c>
      <c r="E1003" s="10">
        <v>43129.735312500001</v>
      </c>
      <c r="F1003" s="10">
        <v>43137</v>
      </c>
      <c r="G1003" t="s">
        <v>8</v>
      </c>
      <c r="H1003" t="s">
        <v>140</v>
      </c>
      <c r="I1003" t="s">
        <v>149</v>
      </c>
      <c r="J1003" s="11">
        <v>2</v>
      </c>
      <c r="K1003" s="12">
        <v>21</v>
      </c>
      <c r="L1003" s="12">
        <v>16.22</v>
      </c>
      <c r="M1003" s="13">
        <v>4</v>
      </c>
      <c r="N1003" s="13">
        <f t="shared" si="120"/>
        <v>7.9789236111100763</v>
      </c>
      <c r="O1003" s="13">
        <f t="shared" si="121"/>
        <v>0</v>
      </c>
      <c r="P1003" t="str">
        <f t="shared" si="122"/>
        <v>On Time</v>
      </c>
      <c r="Q1003" s="13">
        <f t="shared" si="123"/>
        <v>19.777222222241107</v>
      </c>
      <c r="R1003" s="13">
        <f t="shared" si="124"/>
        <v>3.4073032407395658</v>
      </c>
      <c r="S1003" s="13">
        <f t="shared" si="125"/>
        <v>3.7475694444437977</v>
      </c>
      <c r="T1003" t="str">
        <f t="shared" si="126"/>
        <v>On Time/Early</v>
      </c>
      <c r="U1003" t="str">
        <f t="shared" si="127"/>
        <v>Normal</v>
      </c>
      <c r="V1003" t="s">
        <v>102</v>
      </c>
    </row>
    <row r="1004" spans="1:22">
      <c r="A1004" t="s">
        <v>1578</v>
      </c>
      <c r="B1004" s="10">
        <v>43121.945844907408</v>
      </c>
      <c r="C1004" s="10">
        <v>43123.150613425925</v>
      </c>
      <c r="D1004" s="10">
        <v>43123.950057870374</v>
      </c>
      <c r="E1004" s="10">
        <v>43126.612002314818</v>
      </c>
      <c r="F1004" s="10">
        <v>43145</v>
      </c>
      <c r="G1004" t="s">
        <v>8</v>
      </c>
      <c r="H1004" t="s">
        <v>1425</v>
      </c>
      <c r="I1004" t="s">
        <v>136</v>
      </c>
      <c r="J1004" s="11">
        <v>1</v>
      </c>
      <c r="K1004" s="12">
        <v>104.9</v>
      </c>
      <c r="L1004" s="12">
        <v>13.07</v>
      </c>
      <c r="M1004" s="13">
        <v>5</v>
      </c>
      <c r="N1004" s="13">
        <f t="shared" si="120"/>
        <v>4.6661574074096279</v>
      </c>
      <c r="O1004" s="13">
        <f t="shared" si="121"/>
        <v>0</v>
      </c>
      <c r="P1004" t="str">
        <f t="shared" si="122"/>
        <v>On Time</v>
      </c>
      <c r="Q1004" s="13">
        <f t="shared" si="123"/>
        <v>28.914444444410037</v>
      </c>
      <c r="R1004" s="13">
        <f t="shared" si="124"/>
        <v>0.79944444444845431</v>
      </c>
      <c r="S1004" s="13">
        <f t="shared" si="125"/>
        <v>2.6619444444440887</v>
      </c>
      <c r="T1004" t="str">
        <f t="shared" si="126"/>
        <v>On Time/Early</v>
      </c>
      <c r="U1004" t="str">
        <f t="shared" si="127"/>
        <v>Normal</v>
      </c>
      <c r="V1004" t="s">
        <v>102</v>
      </c>
    </row>
    <row r="1005" spans="1:22">
      <c r="A1005" t="s">
        <v>1579</v>
      </c>
      <c r="B1005" s="10">
        <v>43122.428530092591</v>
      </c>
      <c r="C1005" s="10">
        <v>43124.108738425923</v>
      </c>
      <c r="D1005" s="10">
        <v>43124.70385416667</v>
      </c>
      <c r="E1005" s="10">
        <v>43129.940335648149</v>
      </c>
      <c r="F1005" s="10">
        <v>43152</v>
      </c>
      <c r="G1005" t="s">
        <v>36</v>
      </c>
      <c r="H1005" t="s">
        <v>1580</v>
      </c>
      <c r="I1005" t="s">
        <v>143</v>
      </c>
      <c r="J1005" s="11">
        <v>1</v>
      </c>
      <c r="K1005" s="12">
        <v>49.9</v>
      </c>
      <c r="L1005" s="12">
        <v>15.1</v>
      </c>
      <c r="M1005" s="13">
        <v>5</v>
      </c>
      <c r="N1005" s="13">
        <f t="shared" si="120"/>
        <v>7.5118055555576575</v>
      </c>
      <c r="O1005" s="13">
        <f t="shared" si="121"/>
        <v>0</v>
      </c>
      <c r="P1005" t="str">
        <f t="shared" si="122"/>
        <v>On Time</v>
      </c>
      <c r="Q1005" s="13">
        <f t="shared" si="123"/>
        <v>40.324999999953434</v>
      </c>
      <c r="R1005" s="13">
        <f t="shared" si="124"/>
        <v>0.5951157407471328</v>
      </c>
      <c r="S1005" s="13">
        <f t="shared" si="125"/>
        <v>5.2364814814791316</v>
      </c>
      <c r="T1005" t="str">
        <f t="shared" si="126"/>
        <v>On Time/Early</v>
      </c>
      <c r="U1005" t="str">
        <f t="shared" si="127"/>
        <v>Normal</v>
      </c>
      <c r="V1005" t="s">
        <v>102</v>
      </c>
    </row>
    <row r="1006" spans="1:22">
      <c r="A1006" t="s">
        <v>1581</v>
      </c>
      <c r="B1006" s="10">
        <v>43122.431712962964</v>
      </c>
      <c r="C1006" s="10">
        <v>43122.594606481478</v>
      </c>
      <c r="D1006" s="10">
        <v>43123.984479166669</v>
      </c>
      <c r="E1006" s="10">
        <v>43125.789629629631</v>
      </c>
      <c r="F1006" s="10">
        <v>43137</v>
      </c>
      <c r="G1006" t="s">
        <v>8</v>
      </c>
      <c r="H1006" t="s">
        <v>212</v>
      </c>
      <c r="I1006" t="s">
        <v>143</v>
      </c>
      <c r="J1006" s="11">
        <v>1</v>
      </c>
      <c r="K1006" s="12">
        <v>87.67</v>
      </c>
      <c r="L1006" s="12">
        <v>10.029999999999999</v>
      </c>
      <c r="M1006" s="13">
        <v>5</v>
      </c>
      <c r="N1006" s="13">
        <f t="shared" si="120"/>
        <v>3.3579166666677338</v>
      </c>
      <c r="O1006" s="13">
        <f t="shared" si="121"/>
        <v>0</v>
      </c>
      <c r="P1006" t="str">
        <f t="shared" si="122"/>
        <v>On Time</v>
      </c>
      <c r="Q1006" s="13">
        <f t="shared" si="123"/>
        <v>3.909444444347173</v>
      </c>
      <c r="R1006" s="13">
        <f t="shared" si="124"/>
        <v>1.3898726851912215</v>
      </c>
      <c r="S1006" s="13">
        <f t="shared" si="125"/>
        <v>1.8051504629620467</v>
      </c>
      <c r="T1006" t="str">
        <f t="shared" si="126"/>
        <v>On Time/Early</v>
      </c>
      <c r="U1006" t="str">
        <f t="shared" si="127"/>
        <v>Normal</v>
      </c>
      <c r="V1006" t="s">
        <v>102</v>
      </c>
    </row>
    <row r="1007" spans="1:22">
      <c r="A1007" t="s">
        <v>1582</v>
      </c>
      <c r="B1007" s="10">
        <v>43122.572569444441</v>
      </c>
      <c r="C1007" s="10">
        <v>43122.601585648146</v>
      </c>
      <c r="D1007" s="10">
        <v>43123.853449074071</v>
      </c>
      <c r="E1007" s="10">
        <v>43146.630833333336</v>
      </c>
      <c r="F1007" s="10">
        <v>43161</v>
      </c>
      <c r="G1007" t="s">
        <v>192</v>
      </c>
      <c r="H1007" t="s">
        <v>1583</v>
      </c>
      <c r="I1007" t="s">
        <v>58</v>
      </c>
      <c r="J1007" s="11">
        <v>1</v>
      </c>
      <c r="K1007" s="12">
        <v>58.99</v>
      </c>
      <c r="L1007" s="12">
        <v>37.96</v>
      </c>
      <c r="M1007" s="13">
        <v>5</v>
      </c>
      <c r="N1007" s="13">
        <f t="shared" si="120"/>
        <v>24.058263888895453</v>
      </c>
      <c r="O1007" s="13">
        <f t="shared" si="121"/>
        <v>0</v>
      </c>
      <c r="P1007" t="str">
        <f t="shared" si="122"/>
        <v>On Time</v>
      </c>
      <c r="Q1007" s="13">
        <f t="shared" si="123"/>
        <v>0.6963888889295049</v>
      </c>
      <c r="R1007" s="13">
        <f t="shared" si="124"/>
        <v>1.2518634259249666</v>
      </c>
      <c r="S1007" s="13">
        <f t="shared" si="125"/>
        <v>22.777384259265091</v>
      </c>
      <c r="T1007" t="str">
        <f t="shared" si="126"/>
        <v>On Time/Early</v>
      </c>
      <c r="U1007" t="str">
        <f t="shared" si="127"/>
        <v>Normal</v>
      </c>
      <c r="V1007" t="s">
        <v>102</v>
      </c>
    </row>
    <row r="1008" spans="1:22">
      <c r="A1008" t="s">
        <v>1584</v>
      </c>
      <c r="B1008" s="10">
        <v>43122.654166666667</v>
      </c>
      <c r="C1008" s="10">
        <v>43123.161689814813</v>
      </c>
      <c r="D1008" s="10">
        <v>43124.434016203704</v>
      </c>
      <c r="E1008" s="10">
        <v>43126.839803240742</v>
      </c>
      <c r="F1008" s="10">
        <v>43137</v>
      </c>
      <c r="G1008" t="s">
        <v>8</v>
      </c>
      <c r="H1008" t="s">
        <v>140</v>
      </c>
      <c r="I1008" t="s">
        <v>31</v>
      </c>
      <c r="J1008" s="11">
        <v>1</v>
      </c>
      <c r="K1008" s="12">
        <v>9</v>
      </c>
      <c r="L1008" s="12">
        <v>7.78</v>
      </c>
      <c r="M1008" s="13">
        <v>5</v>
      </c>
      <c r="N1008" s="13">
        <f t="shared" si="120"/>
        <v>4.1856365740750334</v>
      </c>
      <c r="O1008" s="13">
        <f t="shared" si="121"/>
        <v>0</v>
      </c>
      <c r="P1008" t="str">
        <f t="shared" si="122"/>
        <v>On Time</v>
      </c>
      <c r="Q1008" s="13">
        <f t="shared" si="123"/>
        <v>12.180555555503815</v>
      </c>
      <c r="R1008" s="13">
        <f t="shared" si="124"/>
        <v>1.2723263888910878</v>
      </c>
      <c r="S1008" s="13">
        <f t="shared" si="125"/>
        <v>2.4057870370379533</v>
      </c>
      <c r="T1008" t="str">
        <f t="shared" si="126"/>
        <v>On Time/Early</v>
      </c>
      <c r="U1008" t="str">
        <f t="shared" si="127"/>
        <v>Normal</v>
      </c>
      <c r="V1008" t="s">
        <v>102</v>
      </c>
    </row>
    <row r="1009" spans="1:22">
      <c r="A1009" t="s">
        <v>1585</v>
      </c>
      <c r="B1009" s="10">
        <v>43122.739259259259</v>
      </c>
      <c r="C1009" s="10">
        <v>43122.746840277781</v>
      </c>
      <c r="D1009" s="10">
        <v>43125.506111111114</v>
      </c>
      <c r="E1009" s="10">
        <v>43132.663657407407</v>
      </c>
      <c r="F1009" s="10">
        <v>43165</v>
      </c>
      <c r="G1009" t="s">
        <v>20</v>
      </c>
      <c r="H1009" t="s">
        <v>503</v>
      </c>
      <c r="I1009" t="s">
        <v>128</v>
      </c>
      <c r="J1009" s="11">
        <v>1</v>
      </c>
      <c r="K1009" s="12">
        <v>1390</v>
      </c>
      <c r="L1009" s="12">
        <v>109.87</v>
      </c>
      <c r="M1009" s="13">
        <v>5</v>
      </c>
      <c r="N1009" s="13">
        <f t="shared" si="120"/>
        <v>9.9243981481486117</v>
      </c>
      <c r="O1009" s="13">
        <f t="shared" si="121"/>
        <v>0</v>
      </c>
      <c r="P1009" t="str">
        <f t="shared" si="122"/>
        <v>On Time</v>
      </c>
      <c r="Q1009" s="13">
        <f t="shared" si="123"/>
        <v>0.18194444454275072</v>
      </c>
      <c r="R1009" s="13">
        <f t="shared" si="124"/>
        <v>2.7592708333322662</v>
      </c>
      <c r="S1009" s="13">
        <f t="shared" si="125"/>
        <v>7.1575462962937308</v>
      </c>
      <c r="T1009" t="str">
        <f t="shared" si="126"/>
        <v>On Time/Early</v>
      </c>
      <c r="U1009" t="str">
        <f t="shared" si="127"/>
        <v>Normal</v>
      </c>
      <c r="V1009" t="s">
        <v>102</v>
      </c>
    </row>
    <row r="1010" spans="1:22">
      <c r="A1010" t="s">
        <v>1586</v>
      </c>
      <c r="B1010" s="10">
        <v>43123.030659722222</v>
      </c>
      <c r="C1010" s="10">
        <v>43123.038981481484</v>
      </c>
      <c r="D1010" s="10">
        <v>43158.908159722225</v>
      </c>
      <c r="E1010" s="10">
        <v>43168.897210648145</v>
      </c>
      <c r="F1010" s="10">
        <v>43152</v>
      </c>
      <c r="G1010" t="s">
        <v>20</v>
      </c>
      <c r="H1010" t="s">
        <v>190</v>
      </c>
      <c r="I1010" t="s">
        <v>384</v>
      </c>
      <c r="J1010" s="11">
        <v>1</v>
      </c>
      <c r="K1010" s="12">
        <v>29.9</v>
      </c>
      <c r="L1010" s="12">
        <v>16.79</v>
      </c>
      <c r="M1010" s="13">
        <v>1</v>
      </c>
      <c r="N1010" s="13">
        <f t="shared" si="120"/>
        <v>45.866550925922638</v>
      </c>
      <c r="O1010" s="13">
        <f t="shared" si="121"/>
        <v>16.897210648145119</v>
      </c>
      <c r="P1010" t="str">
        <f t="shared" si="122"/>
        <v>Delayed</v>
      </c>
      <c r="Q1010" s="13">
        <f t="shared" si="123"/>
        <v>0.1997222222853452</v>
      </c>
      <c r="R1010" s="13">
        <f t="shared" si="124"/>
        <v>35.869178240740439</v>
      </c>
      <c r="S1010" s="13">
        <f t="shared" si="125"/>
        <v>9.98905092592031</v>
      </c>
      <c r="T1010" t="str">
        <f t="shared" si="126"/>
        <v>8+ Days Late</v>
      </c>
      <c r="U1010" t="str">
        <f t="shared" si="127"/>
        <v>Needs Review</v>
      </c>
      <c r="V1010" t="s">
        <v>102</v>
      </c>
    </row>
    <row r="1011" spans="1:22">
      <c r="A1011" t="s">
        <v>1587</v>
      </c>
      <c r="B1011" s="10">
        <v>43123.050138888888</v>
      </c>
      <c r="C1011" s="10">
        <v>43123.055150462962</v>
      </c>
      <c r="D1011" s="10">
        <v>43123.864652777775</v>
      </c>
      <c r="E1011" s="10">
        <v>43164.682662037034</v>
      </c>
      <c r="F1011" s="10">
        <v>43157</v>
      </c>
      <c r="G1011" t="s">
        <v>218</v>
      </c>
      <c r="H1011" t="s">
        <v>219</v>
      </c>
      <c r="I1011" t="s">
        <v>143</v>
      </c>
      <c r="J1011" s="11">
        <v>1</v>
      </c>
      <c r="K1011" s="12">
        <v>53.99</v>
      </c>
      <c r="L1011" s="12">
        <v>21.18</v>
      </c>
      <c r="M1011" s="13">
        <v>1</v>
      </c>
      <c r="N1011" s="13">
        <f t="shared" si="120"/>
        <v>41.632523148145992</v>
      </c>
      <c r="O1011" s="13">
        <f t="shared" si="121"/>
        <v>7.6826620370338787</v>
      </c>
      <c r="P1011" t="str">
        <f t="shared" si="122"/>
        <v>Delayed</v>
      </c>
      <c r="Q1011" s="13">
        <f t="shared" si="123"/>
        <v>0.12027777777984738</v>
      </c>
      <c r="R1011" s="13">
        <f t="shared" si="124"/>
        <v>0.80950231481256196</v>
      </c>
      <c r="S1011" s="13">
        <f t="shared" si="125"/>
        <v>40.81800925925927</v>
      </c>
      <c r="T1011" t="str">
        <f t="shared" si="126"/>
        <v>8+ Days Late</v>
      </c>
      <c r="U1011" t="str">
        <f t="shared" si="127"/>
        <v>Needs Review</v>
      </c>
      <c r="V1011" t="s">
        <v>102</v>
      </c>
    </row>
    <row r="1012" spans="1:22">
      <c r="A1012" t="s">
        <v>1588</v>
      </c>
      <c r="B1012" s="10">
        <v>43123.461956018517</v>
      </c>
      <c r="C1012" s="10">
        <v>43123.470358796294</v>
      </c>
      <c r="D1012" s="10">
        <v>43138.689826388887</v>
      </c>
      <c r="E1012" s="10">
        <v>43151.53392361111</v>
      </c>
      <c r="F1012" s="10">
        <v>43160</v>
      </c>
      <c r="G1012" t="s">
        <v>8</v>
      </c>
      <c r="H1012" t="s">
        <v>140</v>
      </c>
      <c r="I1012" t="s">
        <v>120</v>
      </c>
      <c r="J1012" s="11">
        <v>1</v>
      </c>
      <c r="K1012" s="12">
        <v>99.9</v>
      </c>
      <c r="L1012" s="12">
        <v>12.83</v>
      </c>
      <c r="M1012" s="13">
        <v>4</v>
      </c>
      <c r="N1012" s="13">
        <f t="shared" si="120"/>
        <v>28.071967592593865</v>
      </c>
      <c r="O1012" s="13">
        <f t="shared" si="121"/>
        <v>0</v>
      </c>
      <c r="P1012" t="str">
        <f t="shared" si="122"/>
        <v>On Time</v>
      </c>
      <c r="Q1012" s="13">
        <f t="shared" si="123"/>
        <v>0.20166666666045785</v>
      </c>
      <c r="R1012" s="13">
        <f t="shared" si="124"/>
        <v>15.219467592592991</v>
      </c>
      <c r="S1012" s="13">
        <f t="shared" si="125"/>
        <v>12.844097222223354</v>
      </c>
      <c r="T1012" t="str">
        <f t="shared" si="126"/>
        <v>On Time/Early</v>
      </c>
      <c r="U1012" t="str">
        <f t="shared" si="127"/>
        <v>Normal</v>
      </c>
      <c r="V1012" t="s">
        <v>102</v>
      </c>
    </row>
    <row r="1013" spans="1:22">
      <c r="A1013" t="s">
        <v>1589</v>
      </c>
      <c r="B1013" s="10">
        <v>43123.62704861111</v>
      </c>
      <c r="C1013" s="10">
        <v>43125.123541666668</v>
      </c>
      <c r="D1013" s="10">
        <v>43125.998923611114</v>
      </c>
      <c r="E1013" s="10">
        <v>43134.01122685185</v>
      </c>
      <c r="F1013" s="10">
        <v>43146</v>
      </c>
      <c r="G1013" t="s">
        <v>8</v>
      </c>
      <c r="H1013" t="s">
        <v>179</v>
      </c>
      <c r="I1013" t="s">
        <v>101</v>
      </c>
      <c r="J1013" s="11">
        <v>1</v>
      </c>
      <c r="K1013" s="12">
        <v>83.9</v>
      </c>
      <c r="L1013" s="12">
        <v>13.61</v>
      </c>
      <c r="M1013" s="13">
        <v>1</v>
      </c>
      <c r="N1013" s="13">
        <f t="shared" si="120"/>
        <v>10.384178240739857</v>
      </c>
      <c r="O1013" s="13">
        <f t="shared" si="121"/>
        <v>0</v>
      </c>
      <c r="P1013" t="str">
        <f t="shared" si="122"/>
        <v>On Time</v>
      </c>
      <c r="Q1013" s="13">
        <f t="shared" si="123"/>
        <v>35.915833333390765</v>
      </c>
      <c r="R1013" s="13">
        <f t="shared" si="124"/>
        <v>0.87538194444641704</v>
      </c>
      <c r="S1013" s="13">
        <f t="shared" si="125"/>
        <v>8.0123032407354913</v>
      </c>
      <c r="T1013" t="str">
        <f t="shared" si="126"/>
        <v>On Time/Early</v>
      </c>
      <c r="U1013" t="str">
        <f t="shared" si="127"/>
        <v>Normal</v>
      </c>
      <c r="V1013" t="s">
        <v>102</v>
      </c>
    </row>
    <row r="1014" spans="1:22">
      <c r="A1014" t="s">
        <v>1590</v>
      </c>
      <c r="B1014" s="10">
        <v>43123.627986111111</v>
      </c>
      <c r="C1014" s="10">
        <v>43123.635787037034</v>
      </c>
      <c r="D1014" s="10">
        <v>43124.981296296297</v>
      </c>
      <c r="E1014" s="10">
        <v>43130.816296296296</v>
      </c>
      <c r="F1014" s="10">
        <v>43138</v>
      </c>
      <c r="G1014" t="s">
        <v>8</v>
      </c>
      <c r="H1014" t="s">
        <v>140</v>
      </c>
      <c r="I1014" t="s">
        <v>9</v>
      </c>
      <c r="J1014" s="11">
        <v>1</v>
      </c>
      <c r="K1014" s="12">
        <v>19.899999999999999</v>
      </c>
      <c r="L1014" s="12">
        <v>7.78</v>
      </c>
      <c r="M1014" s="13">
        <v>1</v>
      </c>
      <c r="N1014" s="13">
        <f t="shared" si="120"/>
        <v>7.1883101851854008</v>
      </c>
      <c r="O1014" s="13">
        <f t="shared" si="121"/>
        <v>0</v>
      </c>
      <c r="P1014" t="str">
        <f t="shared" si="122"/>
        <v>On Time</v>
      </c>
      <c r="Q1014" s="13">
        <f t="shared" si="123"/>
        <v>0.18722222215728834</v>
      </c>
      <c r="R1014" s="13">
        <f t="shared" si="124"/>
        <v>1.3455092592630535</v>
      </c>
      <c r="S1014" s="13">
        <f t="shared" si="125"/>
        <v>5.8349999999991269</v>
      </c>
      <c r="T1014" t="str">
        <f t="shared" si="126"/>
        <v>On Time/Early</v>
      </c>
      <c r="U1014" t="str">
        <f t="shared" si="127"/>
        <v>Normal</v>
      </c>
      <c r="V1014" t="s">
        <v>102</v>
      </c>
    </row>
    <row r="1015" spans="1:22">
      <c r="A1015" t="s">
        <v>1591</v>
      </c>
      <c r="B1015" s="10">
        <v>43123.986354166664</v>
      </c>
      <c r="C1015" s="10">
        <v>43123.996261574073</v>
      </c>
      <c r="D1015" s="10">
        <v>43129.996458333335</v>
      </c>
      <c r="E1015" s="10">
        <v>43131.841863425929</v>
      </c>
      <c r="F1015" s="10">
        <v>43151</v>
      </c>
      <c r="G1015" t="s">
        <v>36</v>
      </c>
      <c r="H1015" t="s">
        <v>1539</v>
      </c>
      <c r="I1015" t="s">
        <v>101</v>
      </c>
      <c r="J1015" s="11">
        <v>3</v>
      </c>
      <c r="K1015" s="12">
        <v>408</v>
      </c>
      <c r="L1015" s="12">
        <v>52.85</v>
      </c>
      <c r="M1015" s="13">
        <v>1</v>
      </c>
      <c r="N1015" s="13">
        <f t="shared" si="120"/>
        <v>7.8555092592650908</v>
      </c>
      <c r="O1015" s="13">
        <f t="shared" si="121"/>
        <v>0</v>
      </c>
      <c r="P1015" t="str">
        <f t="shared" si="122"/>
        <v>On Time</v>
      </c>
      <c r="Q1015" s="13">
        <f t="shared" si="123"/>
        <v>0.23777777783107013</v>
      </c>
      <c r="R1015" s="13">
        <f t="shared" si="124"/>
        <v>6.0001967592615983</v>
      </c>
      <c r="S1015" s="13">
        <f t="shared" si="125"/>
        <v>1.8454050925938645</v>
      </c>
      <c r="T1015" t="str">
        <f t="shared" si="126"/>
        <v>On Time/Early</v>
      </c>
      <c r="U1015" t="str">
        <f t="shared" si="127"/>
        <v>Normal</v>
      </c>
      <c r="V1015" t="s">
        <v>102</v>
      </c>
    </row>
    <row r="1016" spans="1:22">
      <c r="A1016" t="s">
        <v>1592</v>
      </c>
      <c r="B1016" s="10">
        <v>43124.056689814817</v>
      </c>
      <c r="C1016" s="10">
        <v>43124.065023148149</v>
      </c>
      <c r="D1016" s="10">
        <v>43124.659224537034</v>
      </c>
      <c r="E1016" s="10">
        <v>43127.582256944443</v>
      </c>
      <c r="F1016" s="10">
        <v>43150</v>
      </c>
      <c r="G1016" t="s">
        <v>20</v>
      </c>
      <c r="H1016" t="s">
        <v>260</v>
      </c>
      <c r="I1016" t="s">
        <v>180</v>
      </c>
      <c r="J1016" s="11">
        <v>1</v>
      </c>
      <c r="K1016" s="12">
        <v>54.9</v>
      </c>
      <c r="L1016" s="12">
        <v>19.87</v>
      </c>
      <c r="M1016" s="13">
        <v>4</v>
      </c>
      <c r="N1016" s="13">
        <f t="shared" si="120"/>
        <v>3.525567129625415</v>
      </c>
      <c r="O1016" s="13">
        <f t="shared" si="121"/>
        <v>0</v>
      </c>
      <c r="P1016" t="str">
        <f t="shared" si="122"/>
        <v>On Time</v>
      </c>
      <c r="Q1016" s="13">
        <f t="shared" si="123"/>
        <v>0.19999999995343387</v>
      </c>
      <c r="R1016" s="13">
        <f t="shared" si="124"/>
        <v>0.59420138888526708</v>
      </c>
      <c r="S1016" s="13">
        <f t="shared" si="125"/>
        <v>2.9230324074087548</v>
      </c>
      <c r="T1016" t="str">
        <f t="shared" si="126"/>
        <v>On Time/Early</v>
      </c>
      <c r="U1016" t="str">
        <f t="shared" si="127"/>
        <v>Normal</v>
      </c>
      <c r="V1016" t="s">
        <v>102</v>
      </c>
    </row>
    <row r="1017" spans="1:22">
      <c r="A1017" t="s">
        <v>1593</v>
      </c>
      <c r="B1017" s="10">
        <v>43124.413124999999</v>
      </c>
      <c r="C1017" s="10">
        <v>43124.427986111114</v>
      </c>
      <c r="D1017" s="10">
        <v>43126.779120370367</v>
      </c>
      <c r="E1017" s="10">
        <v>43129.911828703705</v>
      </c>
      <c r="F1017" s="10">
        <v>43139</v>
      </c>
      <c r="G1017" t="s">
        <v>8</v>
      </c>
      <c r="H1017" t="s">
        <v>309</v>
      </c>
      <c r="I1017" t="s">
        <v>143</v>
      </c>
      <c r="J1017" s="11">
        <v>1</v>
      </c>
      <c r="K1017" s="12">
        <v>13.99</v>
      </c>
      <c r="L1017" s="12">
        <v>7.78</v>
      </c>
      <c r="M1017" s="13">
        <v>3</v>
      </c>
      <c r="N1017" s="13">
        <f t="shared" si="120"/>
        <v>5.4987037037062692</v>
      </c>
      <c r="O1017" s="13">
        <f t="shared" si="121"/>
        <v>0</v>
      </c>
      <c r="P1017" t="str">
        <f t="shared" si="122"/>
        <v>On Time</v>
      </c>
      <c r="Q1017" s="13">
        <f t="shared" si="123"/>
        <v>0.35666666674660519</v>
      </c>
      <c r="R1017" s="13">
        <f t="shared" si="124"/>
        <v>2.3511342592537403</v>
      </c>
      <c r="S1017" s="13">
        <f t="shared" si="125"/>
        <v>3.132708333338087</v>
      </c>
      <c r="T1017" t="str">
        <f t="shared" si="126"/>
        <v>On Time/Early</v>
      </c>
      <c r="U1017" t="str">
        <f t="shared" si="127"/>
        <v>Normal</v>
      </c>
      <c r="V1017" t="s">
        <v>102</v>
      </c>
    </row>
    <row r="1018" spans="1:22">
      <c r="A1018" t="s">
        <v>1594</v>
      </c>
      <c r="B1018" s="10">
        <v>43124.428993055553</v>
      </c>
      <c r="C1018" s="10">
        <v>43124.439351851855</v>
      </c>
      <c r="D1018" s="10">
        <v>43130.05091435185</v>
      </c>
      <c r="E1018" s="10">
        <v>43139.731631944444</v>
      </c>
      <c r="F1018" s="10">
        <v>43153</v>
      </c>
      <c r="G1018" t="s">
        <v>8</v>
      </c>
      <c r="H1018" t="s">
        <v>1595</v>
      </c>
      <c r="I1018" t="s">
        <v>58</v>
      </c>
      <c r="J1018" s="11">
        <v>1</v>
      </c>
      <c r="K1018" s="12">
        <v>61.99</v>
      </c>
      <c r="L1018" s="12">
        <v>25.46</v>
      </c>
      <c r="M1018" s="13">
        <v>5</v>
      </c>
      <c r="N1018" s="13">
        <f t="shared" si="120"/>
        <v>15.302638888890215</v>
      </c>
      <c r="O1018" s="13">
        <f t="shared" si="121"/>
        <v>0</v>
      </c>
      <c r="P1018" t="str">
        <f t="shared" si="122"/>
        <v>On Time</v>
      </c>
      <c r="Q1018" s="13">
        <f t="shared" si="123"/>
        <v>0.248611111252103</v>
      </c>
      <c r="R1018" s="13">
        <f t="shared" si="124"/>
        <v>5.6115624999947613</v>
      </c>
      <c r="S1018" s="13">
        <f t="shared" si="125"/>
        <v>9.6807175925932825</v>
      </c>
      <c r="T1018" t="str">
        <f t="shared" si="126"/>
        <v>On Time/Early</v>
      </c>
      <c r="U1018" t="str">
        <f t="shared" si="127"/>
        <v>Normal</v>
      </c>
      <c r="V1018" t="s">
        <v>102</v>
      </c>
    </row>
    <row r="1019" spans="1:22">
      <c r="A1019" t="s">
        <v>1596</v>
      </c>
      <c r="B1019" s="10">
        <v>43124.603113425925</v>
      </c>
      <c r="C1019" s="10">
        <v>43124.630636574075</v>
      </c>
      <c r="D1019" s="10">
        <v>43125.004745370374</v>
      </c>
      <c r="E1019" s="10">
        <v>43129.587557870371</v>
      </c>
      <c r="F1019" s="10">
        <v>43139</v>
      </c>
      <c r="G1019" t="s">
        <v>8</v>
      </c>
      <c r="H1019" t="s">
        <v>225</v>
      </c>
      <c r="I1019" t="s">
        <v>1597</v>
      </c>
      <c r="J1019" s="11">
        <v>1</v>
      </c>
      <c r="K1019" s="12">
        <v>140</v>
      </c>
      <c r="L1019" s="12">
        <v>27.43</v>
      </c>
      <c r="M1019" s="13">
        <v>5</v>
      </c>
      <c r="N1019" s="13">
        <f t="shared" si="120"/>
        <v>4.984444444446126</v>
      </c>
      <c r="O1019" s="13">
        <f t="shared" si="121"/>
        <v>0</v>
      </c>
      <c r="P1019" t="str">
        <f t="shared" si="122"/>
        <v>On Time</v>
      </c>
      <c r="Q1019" s="13">
        <f t="shared" si="123"/>
        <v>0.66055555560160428</v>
      </c>
      <c r="R1019" s="13">
        <f t="shared" si="124"/>
        <v>0.37410879629896954</v>
      </c>
      <c r="S1019" s="13">
        <f t="shared" si="125"/>
        <v>4.5828124999970896</v>
      </c>
      <c r="T1019" t="str">
        <f t="shared" si="126"/>
        <v>On Time/Early</v>
      </c>
      <c r="U1019" t="str">
        <f t="shared" si="127"/>
        <v>Normal</v>
      </c>
      <c r="V1019" t="s">
        <v>102</v>
      </c>
    </row>
    <row r="1020" spans="1:22">
      <c r="A1020" t="s">
        <v>1598</v>
      </c>
      <c r="B1020" s="10">
        <v>43124.618356481478</v>
      </c>
      <c r="C1020" s="10">
        <v>43125.396655092591</v>
      </c>
      <c r="D1020" s="10">
        <v>43125.892071759263</v>
      </c>
      <c r="E1020" s="10">
        <v>43158.975844907407</v>
      </c>
      <c r="F1020" s="10">
        <v>43153</v>
      </c>
      <c r="G1020" t="s">
        <v>33</v>
      </c>
      <c r="H1020" t="s">
        <v>341</v>
      </c>
      <c r="I1020" t="s">
        <v>180</v>
      </c>
      <c r="J1020" s="11">
        <v>1</v>
      </c>
      <c r="K1020" s="12">
        <v>74.900000000000006</v>
      </c>
      <c r="L1020" s="12">
        <v>16.28</v>
      </c>
      <c r="M1020" s="13">
        <v>1</v>
      </c>
      <c r="N1020" s="13">
        <f t="shared" si="120"/>
        <v>34.35748842592875</v>
      </c>
      <c r="O1020" s="13">
        <f t="shared" si="121"/>
        <v>5.9758449074070086</v>
      </c>
      <c r="P1020" t="str">
        <f t="shared" si="122"/>
        <v>Delayed</v>
      </c>
      <c r="Q1020" s="13">
        <f t="shared" si="123"/>
        <v>18.679166666697711</v>
      </c>
      <c r="R1020" s="13">
        <f t="shared" si="124"/>
        <v>0.49541666667209938</v>
      </c>
      <c r="S1020" s="13">
        <f t="shared" si="125"/>
        <v>33.083773148144246</v>
      </c>
      <c r="T1020" t="str">
        <f t="shared" si="126"/>
        <v>4-7 Days Late</v>
      </c>
      <c r="U1020" t="str">
        <f t="shared" si="127"/>
        <v>Needs Review</v>
      </c>
      <c r="V1020" t="s">
        <v>102</v>
      </c>
    </row>
    <row r="1021" spans="1:22">
      <c r="A1021" t="s">
        <v>1599</v>
      </c>
      <c r="B1021" s="10">
        <v>43124.745648148149</v>
      </c>
      <c r="C1021" s="10">
        <v>43124.75880787037</v>
      </c>
      <c r="D1021" s="10">
        <v>43130.634479166663</v>
      </c>
      <c r="E1021" s="10">
        <v>43151.742094907408</v>
      </c>
      <c r="F1021" s="10">
        <v>43150</v>
      </c>
      <c r="G1021" t="s">
        <v>110</v>
      </c>
      <c r="H1021" t="s">
        <v>1600</v>
      </c>
      <c r="I1021" t="s">
        <v>101</v>
      </c>
      <c r="J1021" s="11">
        <v>1</v>
      </c>
      <c r="K1021" s="12">
        <v>120</v>
      </c>
      <c r="L1021" s="12">
        <v>39.770000000000003</v>
      </c>
      <c r="M1021" s="13">
        <v>5</v>
      </c>
      <c r="N1021" s="13">
        <f t="shared" si="120"/>
        <v>26.996446759258106</v>
      </c>
      <c r="O1021" s="13">
        <f t="shared" si="121"/>
        <v>1.7420949074075907</v>
      </c>
      <c r="P1021" t="str">
        <f t="shared" si="122"/>
        <v>Delayed</v>
      </c>
      <c r="Q1021" s="13">
        <f t="shared" si="123"/>
        <v>0.31583333329763263</v>
      </c>
      <c r="R1021" s="13">
        <f t="shared" si="124"/>
        <v>5.8756712962931488</v>
      </c>
      <c r="S1021" s="13">
        <f t="shared" si="125"/>
        <v>21.107615740744222</v>
      </c>
      <c r="T1021" t="str">
        <f t="shared" si="126"/>
        <v>1-3 Days Late</v>
      </c>
      <c r="U1021" t="str">
        <f t="shared" si="127"/>
        <v>Needs Review</v>
      </c>
      <c r="V1021" t="s">
        <v>102</v>
      </c>
    </row>
    <row r="1022" spans="1:22">
      <c r="A1022" t="s">
        <v>1601</v>
      </c>
      <c r="B1022" s="10">
        <v>43124.862905092596</v>
      </c>
      <c r="C1022" s="10">
        <v>43124.869756944441</v>
      </c>
      <c r="D1022" s="10">
        <v>43125.914502314816</v>
      </c>
      <c r="E1022" s="10">
        <v>43136.837407407409</v>
      </c>
      <c r="F1022" s="10">
        <v>43152</v>
      </c>
      <c r="G1022" t="s">
        <v>16</v>
      </c>
      <c r="H1022" t="s">
        <v>1602</v>
      </c>
      <c r="I1022" t="s">
        <v>118</v>
      </c>
      <c r="J1022" s="11">
        <v>1</v>
      </c>
      <c r="K1022" s="12">
        <v>29.99</v>
      </c>
      <c r="L1022" s="12">
        <v>15.1</v>
      </c>
      <c r="M1022" s="13">
        <v>5</v>
      </c>
      <c r="N1022" s="13">
        <f t="shared" si="120"/>
        <v>11.974502314813435</v>
      </c>
      <c r="O1022" s="13">
        <f t="shared" si="121"/>
        <v>0</v>
      </c>
      <c r="P1022" t="str">
        <f t="shared" si="122"/>
        <v>On Time</v>
      </c>
      <c r="Q1022" s="13">
        <f t="shared" si="123"/>
        <v>0.16444444429362193</v>
      </c>
      <c r="R1022" s="13">
        <f t="shared" si="124"/>
        <v>1.044745370374585</v>
      </c>
      <c r="S1022" s="13">
        <f t="shared" si="125"/>
        <v>10.922905092593282</v>
      </c>
      <c r="T1022" t="str">
        <f t="shared" si="126"/>
        <v>On Time/Early</v>
      </c>
      <c r="U1022" t="str">
        <f t="shared" si="127"/>
        <v>Normal</v>
      </c>
      <c r="V1022" t="s">
        <v>102</v>
      </c>
    </row>
    <row r="1023" spans="1:22">
      <c r="A1023" t="s">
        <v>1603</v>
      </c>
      <c r="B1023" s="10">
        <v>43124.869629629633</v>
      </c>
      <c r="C1023" s="10">
        <v>43124.887615740743</v>
      </c>
      <c r="D1023" s="10">
        <v>43129.40824074074</v>
      </c>
      <c r="E1023" s="10">
        <v>43133.952650462961</v>
      </c>
      <c r="F1023" s="10">
        <v>43147</v>
      </c>
      <c r="G1023" t="s">
        <v>8</v>
      </c>
      <c r="H1023" t="s">
        <v>1604</v>
      </c>
      <c r="I1023" t="s">
        <v>180</v>
      </c>
      <c r="J1023" s="11">
        <v>2</v>
      </c>
      <c r="K1023" s="12">
        <v>245.8</v>
      </c>
      <c r="L1023" s="12">
        <v>26.4</v>
      </c>
      <c r="M1023" s="13">
        <v>4</v>
      </c>
      <c r="N1023" s="13">
        <f t="shared" si="120"/>
        <v>9.0830208333281917</v>
      </c>
      <c r="O1023" s="13">
        <f t="shared" si="121"/>
        <v>0</v>
      </c>
      <c r="P1023" t="str">
        <f t="shared" si="122"/>
        <v>On Time</v>
      </c>
      <c r="Q1023" s="13">
        <f t="shared" si="123"/>
        <v>0.4316666666418314</v>
      </c>
      <c r="R1023" s="13">
        <f t="shared" si="124"/>
        <v>4.5206249999973807</v>
      </c>
      <c r="S1023" s="13">
        <f t="shared" si="125"/>
        <v>4.5444097222207347</v>
      </c>
      <c r="T1023" t="str">
        <f t="shared" si="126"/>
        <v>On Time/Early</v>
      </c>
      <c r="U1023" t="str">
        <f t="shared" si="127"/>
        <v>Normal</v>
      </c>
      <c r="V1023" t="s">
        <v>102</v>
      </c>
    </row>
    <row r="1024" spans="1:22">
      <c r="A1024" t="s">
        <v>1605</v>
      </c>
      <c r="B1024" s="10">
        <v>43124.920624999999</v>
      </c>
      <c r="C1024" s="10">
        <v>43124.926678240743</v>
      </c>
      <c r="D1024" s="10">
        <v>43125.765775462962</v>
      </c>
      <c r="E1024" s="10">
        <v>43136.669641203705</v>
      </c>
      <c r="F1024" s="10">
        <v>43154</v>
      </c>
      <c r="G1024" t="s">
        <v>33</v>
      </c>
      <c r="H1024" t="s">
        <v>1606</v>
      </c>
      <c r="I1024" t="s">
        <v>136</v>
      </c>
      <c r="J1024" s="11">
        <v>1</v>
      </c>
      <c r="K1024" s="12">
        <v>269.99</v>
      </c>
      <c r="L1024" s="12">
        <v>39.409999999999997</v>
      </c>
      <c r="M1024" s="13">
        <v>5</v>
      </c>
      <c r="N1024" s="13">
        <f t="shared" si="120"/>
        <v>11.74901620370656</v>
      </c>
      <c r="O1024" s="13">
        <f t="shared" si="121"/>
        <v>0</v>
      </c>
      <c r="P1024" t="str">
        <f t="shared" si="122"/>
        <v>On Time</v>
      </c>
      <c r="Q1024" s="13">
        <f t="shared" si="123"/>
        <v>0.14527777786133811</v>
      </c>
      <c r="R1024" s="13">
        <f t="shared" si="124"/>
        <v>0.83909722221869742</v>
      </c>
      <c r="S1024" s="13">
        <f t="shared" si="125"/>
        <v>10.90386574074364</v>
      </c>
      <c r="T1024" t="str">
        <f t="shared" si="126"/>
        <v>On Time/Early</v>
      </c>
      <c r="U1024" t="str">
        <f t="shared" si="127"/>
        <v>Normal</v>
      </c>
      <c r="V1024" t="s">
        <v>102</v>
      </c>
    </row>
    <row r="1025" spans="1:22">
      <c r="A1025" t="s">
        <v>1607</v>
      </c>
      <c r="B1025" s="10">
        <v>43125.407233796293</v>
      </c>
      <c r="C1025" s="10">
        <v>43125.412824074076</v>
      </c>
      <c r="D1025" s="10">
        <v>43125.994652777779</v>
      </c>
      <c r="E1025" s="10">
        <v>43131.877766203703</v>
      </c>
      <c r="F1025" s="10">
        <v>43160</v>
      </c>
      <c r="G1025" t="s">
        <v>8</v>
      </c>
      <c r="H1025" t="s">
        <v>1528</v>
      </c>
      <c r="I1025" t="s">
        <v>120</v>
      </c>
      <c r="J1025" s="11">
        <v>1</v>
      </c>
      <c r="K1025" s="12">
        <v>65.78</v>
      </c>
      <c r="L1025" s="12">
        <v>12.59</v>
      </c>
      <c r="M1025" s="13">
        <v>4</v>
      </c>
      <c r="N1025" s="13">
        <f t="shared" si="120"/>
        <v>6.4705324074093369</v>
      </c>
      <c r="O1025" s="13">
        <f t="shared" si="121"/>
        <v>0</v>
      </c>
      <c r="P1025" t="str">
        <f t="shared" si="122"/>
        <v>On Time</v>
      </c>
      <c r="Q1025" s="13">
        <f t="shared" si="123"/>
        <v>0.13416666677221656</v>
      </c>
      <c r="R1025" s="13">
        <f t="shared" si="124"/>
        <v>0.58182870370364981</v>
      </c>
      <c r="S1025" s="13">
        <f t="shared" si="125"/>
        <v>5.8831134259235114</v>
      </c>
      <c r="T1025" t="str">
        <f t="shared" si="126"/>
        <v>On Time/Early</v>
      </c>
      <c r="U1025" t="str">
        <f t="shared" si="127"/>
        <v>Normal</v>
      </c>
      <c r="V1025" t="s">
        <v>102</v>
      </c>
    </row>
    <row r="1026" spans="1:22">
      <c r="A1026" t="s">
        <v>1608</v>
      </c>
      <c r="B1026" s="10">
        <v>43125.999409722222</v>
      </c>
      <c r="C1026" s="10">
        <v>43126.012118055558</v>
      </c>
      <c r="D1026" s="10">
        <v>43126.789259259262</v>
      </c>
      <c r="E1026" s="10">
        <v>43161.717615740738</v>
      </c>
      <c r="F1026" s="10">
        <v>43161</v>
      </c>
      <c r="G1026" t="s">
        <v>218</v>
      </c>
      <c r="H1026" t="s">
        <v>219</v>
      </c>
      <c r="I1026" t="s">
        <v>37</v>
      </c>
      <c r="J1026" s="11">
        <v>1</v>
      </c>
      <c r="K1026" s="12">
        <v>279.89999999999998</v>
      </c>
      <c r="L1026" s="12">
        <v>118.73</v>
      </c>
      <c r="M1026" s="13">
        <v>5</v>
      </c>
      <c r="N1026" s="13">
        <f t="shared" ref="N1026:N1089" si="128">IFERROR(E1026-B1026,"")</f>
        <v>35.718206018515048</v>
      </c>
      <c r="O1026" s="13">
        <f t="shared" ref="O1026:O1089" si="129">IFERROR(MAX(0,E1026-F1026),"")</f>
        <v>0.71761574073752854</v>
      </c>
      <c r="P1026" t="str">
        <f t="shared" ref="P1026:P1089" si="130">IF(O1026&gt;0,"Delayed","On Time")</f>
        <v>Delayed</v>
      </c>
      <c r="Q1026" s="13">
        <f t="shared" ref="Q1026:Q1089" si="131">IFERROR((C1026-B1026)*24,"")</f>
        <v>0.30500000005122274</v>
      </c>
      <c r="R1026" s="13">
        <f t="shared" ref="R1026:R1089" si="132">IFERROR(D1026-C1026,"")</f>
        <v>0.77714120370364981</v>
      </c>
      <c r="S1026" s="13">
        <f t="shared" ref="S1026:S1089" si="133">IFERROR(E1026-D1026,"")</f>
        <v>34.92835648147593</v>
      </c>
      <c r="T1026" t="str">
        <f t="shared" ref="T1026:T1089" si="134">IF(O1026=0,"On Time/Early",IF(O1026&lt;=3,"1-3 Days Late",IF(O1026&lt;=7,"4-7 Days Late","8+ Days Late")))</f>
        <v>1-3 Days Late</v>
      </c>
      <c r="U1026" t="str">
        <f t="shared" ref="U1026:U1089" si="135">IF(P1026="Delayed","Needs Review","Normal")</f>
        <v>Needs Review</v>
      </c>
      <c r="V1026" t="s">
        <v>102</v>
      </c>
    </row>
    <row r="1027" spans="1:22">
      <c r="A1027" t="s">
        <v>1609</v>
      </c>
      <c r="B1027" s="10">
        <v>43126.454594907409</v>
      </c>
      <c r="C1027" s="10">
        <v>43126.468032407407</v>
      </c>
      <c r="D1027" s="10">
        <v>43129.679942129631</v>
      </c>
      <c r="E1027" s="10">
        <v>43145.867106481484</v>
      </c>
      <c r="F1027" s="10">
        <v>43154</v>
      </c>
      <c r="G1027" t="s">
        <v>23</v>
      </c>
      <c r="H1027" t="s">
        <v>968</v>
      </c>
      <c r="I1027" t="s">
        <v>128</v>
      </c>
      <c r="J1027" s="11">
        <v>1</v>
      </c>
      <c r="K1027" s="12">
        <v>259</v>
      </c>
      <c r="L1027" s="12">
        <v>88.24</v>
      </c>
      <c r="M1027" s="13">
        <v>5</v>
      </c>
      <c r="N1027" s="13">
        <f t="shared" si="128"/>
        <v>19.412511574075324</v>
      </c>
      <c r="O1027" s="13">
        <f t="shared" si="129"/>
        <v>0</v>
      </c>
      <c r="P1027" t="str">
        <f t="shared" si="130"/>
        <v>On Time</v>
      </c>
      <c r="Q1027" s="13">
        <f t="shared" si="131"/>
        <v>0.32249999995110556</v>
      </c>
      <c r="R1027" s="13">
        <f t="shared" si="132"/>
        <v>3.2119097222239361</v>
      </c>
      <c r="S1027" s="13">
        <f t="shared" si="133"/>
        <v>16.187164351853426</v>
      </c>
      <c r="T1027" t="str">
        <f t="shared" si="134"/>
        <v>On Time/Early</v>
      </c>
      <c r="U1027" t="str">
        <f t="shared" si="135"/>
        <v>Normal</v>
      </c>
      <c r="V1027" t="s">
        <v>102</v>
      </c>
    </row>
    <row r="1028" spans="1:22">
      <c r="A1028" t="s">
        <v>1610</v>
      </c>
      <c r="B1028" s="10">
        <v>43126.498067129629</v>
      </c>
      <c r="C1028" s="10">
        <v>43126.514976851853</v>
      </c>
      <c r="D1028" s="10">
        <v>43130.568310185183</v>
      </c>
      <c r="E1028" s="10">
        <v>43131.817928240744</v>
      </c>
      <c r="F1028" s="10">
        <v>43140</v>
      </c>
      <c r="G1028" t="s">
        <v>8</v>
      </c>
      <c r="H1028" t="s">
        <v>140</v>
      </c>
      <c r="I1028" t="s">
        <v>1440</v>
      </c>
      <c r="J1028" s="11">
        <v>2</v>
      </c>
      <c r="K1028" s="12">
        <v>12.98</v>
      </c>
      <c r="L1028" s="12">
        <v>16.54</v>
      </c>
      <c r="M1028" s="13">
        <v>5</v>
      </c>
      <c r="N1028" s="13">
        <f t="shared" si="128"/>
        <v>5.3198611111147329</v>
      </c>
      <c r="O1028" s="13">
        <f t="shared" si="129"/>
        <v>0</v>
      </c>
      <c r="P1028" t="str">
        <f t="shared" si="130"/>
        <v>On Time</v>
      </c>
      <c r="Q1028" s="13">
        <f t="shared" si="131"/>
        <v>0.40583333338145167</v>
      </c>
      <c r="R1028" s="13">
        <f t="shared" si="132"/>
        <v>4.0533333333296468</v>
      </c>
      <c r="S1028" s="13">
        <f t="shared" si="133"/>
        <v>1.2496180555608589</v>
      </c>
      <c r="T1028" t="str">
        <f t="shared" si="134"/>
        <v>On Time/Early</v>
      </c>
      <c r="U1028" t="str">
        <f t="shared" si="135"/>
        <v>Normal</v>
      </c>
      <c r="V1028" t="s">
        <v>102</v>
      </c>
    </row>
    <row r="1029" spans="1:22">
      <c r="A1029" t="s">
        <v>1611</v>
      </c>
      <c r="B1029" s="10">
        <v>43126.577777777777</v>
      </c>
      <c r="C1029" s="10">
        <v>43126.598668981482</v>
      </c>
      <c r="D1029" s="10">
        <v>43126.934155092589</v>
      </c>
      <c r="E1029" s="10">
        <v>43131.925763888888</v>
      </c>
      <c r="F1029" s="10">
        <v>43140</v>
      </c>
      <c r="G1029" t="s">
        <v>8</v>
      </c>
      <c r="H1029" t="s">
        <v>140</v>
      </c>
      <c r="I1029" t="s">
        <v>246</v>
      </c>
      <c r="J1029" s="11">
        <v>1</v>
      </c>
      <c r="K1029" s="12">
        <v>129</v>
      </c>
      <c r="L1029" s="12">
        <v>21.56</v>
      </c>
      <c r="M1029" s="13">
        <v>5</v>
      </c>
      <c r="N1029" s="13">
        <f t="shared" si="128"/>
        <v>5.3479861111118225</v>
      </c>
      <c r="O1029" s="13">
        <f t="shared" si="129"/>
        <v>0</v>
      </c>
      <c r="P1029" t="str">
        <f t="shared" si="130"/>
        <v>On Time</v>
      </c>
      <c r="Q1029" s="13">
        <f t="shared" si="131"/>
        <v>0.50138888892251998</v>
      </c>
      <c r="R1029" s="13">
        <f t="shared" si="132"/>
        <v>0.33548611110745696</v>
      </c>
      <c r="S1029" s="13">
        <f t="shared" si="133"/>
        <v>4.9916087962992606</v>
      </c>
      <c r="T1029" t="str">
        <f t="shared" si="134"/>
        <v>On Time/Early</v>
      </c>
      <c r="U1029" t="str">
        <f t="shared" si="135"/>
        <v>Normal</v>
      </c>
      <c r="V1029" t="s">
        <v>102</v>
      </c>
    </row>
    <row r="1030" spans="1:22">
      <c r="A1030" t="s">
        <v>1612</v>
      </c>
      <c r="B1030" s="10">
        <v>43126.703425925924</v>
      </c>
      <c r="C1030" s="10">
        <v>43126.744641203702</v>
      </c>
      <c r="D1030" s="10">
        <v>43147.98064814815</v>
      </c>
      <c r="E1030" s="10">
        <v>43157.841608796298</v>
      </c>
      <c r="F1030" s="10">
        <v>43164</v>
      </c>
      <c r="G1030" t="s">
        <v>20</v>
      </c>
      <c r="H1030" t="s">
        <v>104</v>
      </c>
      <c r="I1030" t="s">
        <v>185</v>
      </c>
      <c r="J1030" s="11">
        <v>1</v>
      </c>
      <c r="K1030" s="12">
        <v>425</v>
      </c>
      <c r="L1030" s="12">
        <v>18.73</v>
      </c>
      <c r="M1030" s="13">
        <v>3</v>
      </c>
      <c r="N1030" s="13">
        <f t="shared" si="128"/>
        <v>31.138182870374294</v>
      </c>
      <c r="O1030" s="13">
        <f t="shared" si="129"/>
        <v>0</v>
      </c>
      <c r="P1030" t="str">
        <f t="shared" si="130"/>
        <v>On Time</v>
      </c>
      <c r="Q1030" s="13">
        <f t="shared" si="131"/>
        <v>0.98916666669538245</v>
      </c>
      <c r="R1030" s="13">
        <f t="shared" si="132"/>
        <v>21.236006944447581</v>
      </c>
      <c r="S1030" s="13">
        <f t="shared" si="133"/>
        <v>9.8609606481477385</v>
      </c>
      <c r="T1030" t="str">
        <f t="shared" si="134"/>
        <v>On Time/Early</v>
      </c>
      <c r="U1030" t="str">
        <f t="shared" si="135"/>
        <v>Normal</v>
      </c>
      <c r="V1030" t="s">
        <v>102</v>
      </c>
    </row>
    <row r="1031" spans="1:22">
      <c r="A1031" t="s">
        <v>1613</v>
      </c>
      <c r="B1031" s="10">
        <v>43126.722719907404</v>
      </c>
      <c r="C1031" s="10">
        <v>43126.735717592594</v>
      </c>
      <c r="D1031" s="10">
        <v>43129.928888888891</v>
      </c>
      <c r="E1031" s="10">
        <v>43133.810937499999</v>
      </c>
      <c r="F1031" s="10">
        <v>43150</v>
      </c>
      <c r="G1031" t="s">
        <v>8</v>
      </c>
      <c r="H1031" t="s">
        <v>140</v>
      </c>
      <c r="I1031" t="s">
        <v>221</v>
      </c>
      <c r="J1031" s="11">
        <v>1</v>
      </c>
      <c r="K1031" s="12">
        <v>215</v>
      </c>
      <c r="L1031" s="12">
        <v>13.01</v>
      </c>
      <c r="M1031" s="13">
        <v>5</v>
      </c>
      <c r="N1031" s="13">
        <f t="shared" si="128"/>
        <v>7.0882175925944466</v>
      </c>
      <c r="O1031" s="13">
        <f t="shared" si="129"/>
        <v>0</v>
      </c>
      <c r="P1031" t="str">
        <f t="shared" si="130"/>
        <v>On Time</v>
      </c>
      <c r="Q1031" s="13">
        <f t="shared" si="131"/>
        <v>0.31194444454740733</v>
      </c>
      <c r="R1031" s="13">
        <f t="shared" si="132"/>
        <v>3.1931712962978054</v>
      </c>
      <c r="S1031" s="13">
        <f t="shared" si="133"/>
        <v>3.8820486111071659</v>
      </c>
      <c r="T1031" t="str">
        <f t="shared" si="134"/>
        <v>On Time/Early</v>
      </c>
      <c r="U1031" t="str">
        <f t="shared" si="135"/>
        <v>Normal</v>
      </c>
      <c r="V1031" t="s">
        <v>102</v>
      </c>
    </row>
    <row r="1032" spans="1:22">
      <c r="A1032" t="s">
        <v>1614</v>
      </c>
      <c r="B1032" s="10">
        <v>43126.835960648146</v>
      </c>
      <c r="C1032" s="10">
        <v>43127.11273148148</v>
      </c>
      <c r="D1032" s="10">
        <v>43130.703483796293</v>
      </c>
      <c r="E1032" s="10">
        <v>43141.627766203703</v>
      </c>
      <c r="F1032" s="10">
        <v>43150</v>
      </c>
      <c r="G1032" t="s">
        <v>20</v>
      </c>
      <c r="H1032" t="s">
        <v>104</v>
      </c>
      <c r="I1032" t="s">
        <v>136</v>
      </c>
      <c r="J1032" s="11">
        <v>1</v>
      </c>
      <c r="K1032" s="12">
        <v>52</v>
      </c>
      <c r="L1032" s="12">
        <v>25.98</v>
      </c>
      <c r="M1032" s="13">
        <v>1</v>
      </c>
      <c r="N1032" s="13">
        <f t="shared" si="128"/>
        <v>14.791805555556493</v>
      </c>
      <c r="O1032" s="13">
        <f t="shared" si="129"/>
        <v>0</v>
      </c>
      <c r="P1032" t="str">
        <f t="shared" si="130"/>
        <v>On Time</v>
      </c>
      <c r="Q1032" s="13">
        <f t="shared" si="131"/>
        <v>6.6425000000162981</v>
      </c>
      <c r="R1032" s="13">
        <f t="shared" si="132"/>
        <v>3.590752314812562</v>
      </c>
      <c r="S1032" s="13">
        <f t="shared" si="133"/>
        <v>10.924282407409919</v>
      </c>
      <c r="T1032" t="str">
        <f t="shared" si="134"/>
        <v>On Time/Early</v>
      </c>
      <c r="U1032" t="str">
        <f t="shared" si="135"/>
        <v>Normal</v>
      </c>
      <c r="V1032" t="s">
        <v>102</v>
      </c>
    </row>
    <row r="1033" spans="1:22">
      <c r="A1033" t="s">
        <v>1615</v>
      </c>
      <c r="B1033" s="10">
        <v>43126.898692129631</v>
      </c>
      <c r="C1033" s="10">
        <v>43126.915694444448</v>
      </c>
      <c r="D1033" s="10">
        <v>43145.870289351849</v>
      </c>
      <c r="E1033" s="10">
        <v>43160.796944444446</v>
      </c>
      <c r="F1033" s="10">
        <v>43161</v>
      </c>
      <c r="G1033" t="s">
        <v>8</v>
      </c>
      <c r="H1033" t="s">
        <v>1147</v>
      </c>
      <c r="I1033" t="s">
        <v>37</v>
      </c>
      <c r="J1033" s="11">
        <v>1</v>
      </c>
      <c r="K1033" s="12">
        <v>139.94</v>
      </c>
      <c r="L1033" s="12">
        <v>35.14</v>
      </c>
      <c r="M1033" s="13">
        <v>1</v>
      </c>
      <c r="N1033" s="13">
        <f t="shared" si="128"/>
        <v>33.898252314815181</v>
      </c>
      <c r="O1033" s="13">
        <f t="shared" si="129"/>
        <v>0</v>
      </c>
      <c r="P1033" t="str">
        <f t="shared" si="130"/>
        <v>On Time</v>
      </c>
      <c r="Q1033" s="13">
        <f t="shared" si="131"/>
        <v>0.40805555559927598</v>
      </c>
      <c r="R1033" s="13">
        <f t="shared" si="132"/>
        <v>18.95459490740177</v>
      </c>
      <c r="S1033" s="13">
        <f t="shared" si="133"/>
        <v>14.926655092596775</v>
      </c>
      <c r="T1033" t="str">
        <f t="shared" si="134"/>
        <v>On Time/Early</v>
      </c>
      <c r="U1033" t="str">
        <f t="shared" si="135"/>
        <v>Normal</v>
      </c>
      <c r="V1033" t="s">
        <v>102</v>
      </c>
    </row>
    <row r="1034" spans="1:22">
      <c r="A1034" t="s">
        <v>1616</v>
      </c>
      <c r="B1034" s="10">
        <v>43126.938923611109</v>
      </c>
      <c r="C1034" s="10">
        <v>43126.952824074076</v>
      </c>
      <c r="D1034" s="10">
        <v>43129.738923611112</v>
      </c>
      <c r="E1034" s="10">
        <v>43148.529317129629</v>
      </c>
      <c r="F1034" s="10">
        <v>43160</v>
      </c>
      <c r="G1034" t="s">
        <v>30</v>
      </c>
      <c r="H1034" t="s">
        <v>1617</v>
      </c>
      <c r="I1034" t="s">
        <v>120</v>
      </c>
      <c r="J1034" s="11">
        <v>1</v>
      </c>
      <c r="K1034" s="12">
        <v>59.9</v>
      </c>
      <c r="L1034" s="12">
        <v>34.22</v>
      </c>
      <c r="M1034" s="13">
        <v>5</v>
      </c>
      <c r="N1034" s="13">
        <f t="shared" si="128"/>
        <v>21.590393518519704</v>
      </c>
      <c r="O1034" s="13">
        <f t="shared" si="129"/>
        <v>0</v>
      </c>
      <c r="P1034" t="str">
        <f t="shared" si="130"/>
        <v>On Time</v>
      </c>
      <c r="Q1034" s="13">
        <f t="shared" si="131"/>
        <v>0.3336111112148501</v>
      </c>
      <c r="R1034" s="13">
        <f t="shared" si="132"/>
        <v>2.786099537035625</v>
      </c>
      <c r="S1034" s="13">
        <f t="shared" si="133"/>
        <v>18.790393518516794</v>
      </c>
      <c r="T1034" t="str">
        <f t="shared" si="134"/>
        <v>On Time/Early</v>
      </c>
      <c r="U1034" t="str">
        <f t="shared" si="135"/>
        <v>Normal</v>
      </c>
      <c r="V1034" t="s">
        <v>102</v>
      </c>
    </row>
    <row r="1035" spans="1:22">
      <c r="A1035" t="s">
        <v>1618</v>
      </c>
      <c r="B1035" s="10">
        <v>43128.008333333331</v>
      </c>
      <c r="C1035" s="10">
        <v>43130.188275462962</v>
      </c>
      <c r="D1035" s="10">
        <v>43136.825682870367</v>
      </c>
      <c r="E1035" s="10">
        <v>43161.737407407411</v>
      </c>
      <c r="F1035" s="10">
        <v>43153</v>
      </c>
      <c r="G1035" t="s">
        <v>320</v>
      </c>
      <c r="H1035" t="s">
        <v>321</v>
      </c>
      <c r="I1035" t="s">
        <v>118</v>
      </c>
      <c r="J1035" s="11">
        <v>1</v>
      </c>
      <c r="K1035" s="12">
        <v>25</v>
      </c>
      <c r="L1035" s="12">
        <v>21.15</v>
      </c>
      <c r="M1035" s="13">
        <v>1</v>
      </c>
      <c r="N1035" s="13">
        <f t="shared" si="128"/>
        <v>33.729074074079108</v>
      </c>
      <c r="O1035" s="13">
        <f t="shared" si="129"/>
        <v>8.737407407410501</v>
      </c>
      <c r="P1035" t="str">
        <f t="shared" si="130"/>
        <v>Delayed</v>
      </c>
      <c r="Q1035" s="13">
        <f t="shared" si="131"/>
        <v>52.318611111142673</v>
      </c>
      <c r="R1035" s="13">
        <f t="shared" si="132"/>
        <v>6.6374074074046803</v>
      </c>
      <c r="S1035" s="13">
        <f t="shared" si="133"/>
        <v>24.911724537043483</v>
      </c>
      <c r="T1035" t="str">
        <f t="shared" si="134"/>
        <v>8+ Days Late</v>
      </c>
      <c r="U1035" t="str">
        <f t="shared" si="135"/>
        <v>Needs Review</v>
      </c>
      <c r="V1035" t="s">
        <v>102</v>
      </c>
    </row>
    <row r="1036" spans="1:22">
      <c r="A1036" t="s">
        <v>1619</v>
      </c>
      <c r="B1036" s="10">
        <v>43128.723298611112</v>
      </c>
      <c r="C1036" s="10">
        <v>43128.729224537034</v>
      </c>
      <c r="D1036" s="10">
        <v>43129.939895833333</v>
      </c>
      <c r="E1036" s="10">
        <v>43146.098946759259</v>
      </c>
      <c r="F1036" s="10">
        <v>43153</v>
      </c>
      <c r="G1036" t="s">
        <v>320</v>
      </c>
      <c r="H1036" t="s">
        <v>321</v>
      </c>
      <c r="I1036" t="s">
        <v>118</v>
      </c>
      <c r="J1036" s="11">
        <v>1</v>
      </c>
      <c r="K1036" s="12">
        <v>39.99</v>
      </c>
      <c r="L1036" s="12">
        <v>14.1</v>
      </c>
      <c r="M1036" s="13">
        <v>4</v>
      </c>
      <c r="N1036" s="13">
        <f t="shared" si="128"/>
        <v>17.375648148146865</v>
      </c>
      <c r="O1036" s="13">
        <f t="shared" si="129"/>
        <v>0</v>
      </c>
      <c r="P1036" t="str">
        <f t="shared" si="130"/>
        <v>On Time</v>
      </c>
      <c r="Q1036" s="13">
        <f t="shared" si="131"/>
        <v>0.14222222211537883</v>
      </c>
      <c r="R1036" s="13">
        <f t="shared" si="132"/>
        <v>1.2106712962995516</v>
      </c>
      <c r="S1036" s="13">
        <f t="shared" si="133"/>
        <v>16.15905092592584</v>
      </c>
      <c r="T1036" t="str">
        <f t="shared" si="134"/>
        <v>On Time/Early</v>
      </c>
      <c r="U1036" t="str">
        <f t="shared" si="135"/>
        <v>Normal</v>
      </c>
      <c r="V1036" t="s">
        <v>102</v>
      </c>
    </row>
    <row r="1037" spans="1:22">
      <c r="A1037" t="s">
        <v>1620</v>
      </c>
      <c r="B1037" s="10">
        <v>43128.780138888891</v>
      </c>
      <c r="C1037" s="10">
        <v>43128.785717592589</v>
      </c>
      <c r="D1037" s="10">
        <v>43132.862511574072</v>
      </c>
      <c r="E1037" s="10">
        <v>43145.890277777777</v>
      </c>
      <c r="F1037" s="10">
        <v>43152</v>
      </c>
      <c r="G1037" t="s">
        <v>20</v>
      </c>
      <c r="H1037" t="s">
        <v>104</v>
      </c>
      <c r="I1037" t="s">
        <v>279</v>
      </c>
      <c r="J1037" s="11">
        <v>1</v>
      </c>
      <c r="K1037" s="12">
        <v>20.3</v>
      </c>
      <c r="L1037" s="12">
        <v>15.1</v>
      </c>
      <c r="M1037" s="13">
        <v>5</v>
      </c>
      <c r="N1037" s="13">
        <f t="shared" si="128"/>
        <v>17.110138888885558</v>
      </c>
      <c r="O1037" s="13">
        <f t="shared" si="129"/>
        <v>0</v>
      </c>
      <c r="P1037" t="str">
        <f t="shared" si="130"/>
        <v>On Time</v>
      </c>
      <c r="Q1037" s="13">
        <f t="shared" si="131"/>
        <v>0.13388888875488192</v>
      </c>
      <c r="R1037" s="13">
        <f t="shared" si="132"/>
        <v>4.0767939814832062</v>
      </c>
      <c r="S1037" s="13">
        <f t="shared" si="133"/>
        <v>13.027766203704232</v>
      </c>
      <c r="T1037" t="str">
        <f t="shared" si="134"/>
        <v>On Time/Early</v>
      </c>
      <c r="U1037" t="str">
        <f t="shared" si="135"/>
        <v>Normal</v>
      </c>
      <c r="V1037" t="s">
        <v>102</v>
      </c>
    </row>
    <row r="1038" spans="1:22">
      <c r="A1038" t="s">
        <v>1621</v>
      </c>
      <c r="B1038" s="10">
        <v>43128.788287037038</v>
      </c>
      <c r="C1038" s="10">
        <v>43129.785844907405</v>
      </c>
      <c r="D1038" s="10">
        <v>43130.886701388888</v>
      </c>
      <c r="E1038" s="10">
        <v>43138.052499999998</v>
      </c>
      <c r="F1038" s="10">
        <v>43145</v>
      </c>
      <c r="G1038" t="s">
        <v>8</v>
      </c>
      <c r="H1038" t="s">
        <v>140</v>
      </c>
      <c r="I1038" t="s">
        <v>141</v>
      </c>
      <c r="J1038" s="11">
        <v>1</v>
      </c>
      <c r="K1038" s="12">
        <v>64.959999999999994</v>
      </c>
      <c r="L1038" s="12">
        <v>26.97</v>
      </c>
      <c r="M1038" s="13">
        <v>3</v>
      </c>
      <c r="N1038" s="13">
        <f t="shared" si="128"/>
        <v>9.2642129629603005</v>
      </c>
      <c r="O1038" s="13">
        <f t="shared" si="129"/>
        <v>0</v>
      </c>
      <c r="P1038" t="str">
        <f t="shared" si="130"/>
        <v>On Time</v>
      </c>
      <c r="Q1038" s="13">
        <f t="shared" si="131"/>
        <v>23.941388888808433</v>
      </c>
      <c r="R1038" s="13">
        <f t="shared" si="132"/>
        <v>1.1008564814837882</v>
      </c>
      <c r="S1038" s="13">
        <f t="shared" si="133"/>
        <v>7.1657986111094942</v>
      </c>
      <c r="T1038" t="str">
        <f t="shared" si="134"/>
        <v>On Time/Early</v>
      </c>
      <c r="U1038" t="str">
        <f t="shared" si="135"/>
        <v>Normal</v>
      </c>
      <c r="V1038" t="s">
        <v>102</v>
      </c>
    </row>
    <row r="1039" spans="1:22">
      <c r="A1039" t="s">
        <v>1622</v>
      </c>
      <c r="B1039" s="10">
        <v>43129.356030092589</v>
      </c>
      <c r="C1039" s="10">
        <v>43129.389872685184</v>
      </c>
      <c r="D1039" s="10">
        <v>43130.492303240739</v>
      </c>
      <c r="E1039" s="10">
        <v>43139.8280787037</v>
      </c>
      <c r="F1039" s="10">
        <v>43171</v>
      </c>
      <c r="G1039" t="s">
        <v>23</v>
      </c>
      <c r="H1039" t="s">
        <v>1623</v>
      </c>
      <c r="I1039" t="s">
        <v>368</v>
      </c>
      <c r="J1039" s="11">
        <v>1</v>
      </c>
      <c r="K1039" s="12">
        <v>36.9</v>
      </c>
      <c r="L1039" s="12">
        <v>17.920000000000002</v>
      </c>
      <c r="M1039" s="13">
        <v>4</v>
      </c>
      <c r="N1039" s="13">
        <f t="shared" si="128"/>
        <v>10.472048611110949</v>
      </c>
      <c r="O1039" s="13">
        <f t="shared" si="129"/>
        <v>0</v>
      </c>
      <c r="P1039" t="str">
        <f t="shared" si="130"/>
        <v>On Time</v>
      </c>
      <c r="Q1039" s="13">
        <f t="shared" si="131"/>
        <v>0.81222222227370366</v>
      </c>
      <c r="R1039" s="13">
        <f t="shared" si="132"/>
        <v>1.1024305555547471</v>
      </c>
      <c r="S1039" s="13">
        <f t="shared" si="133"/>
        <v>9.3357754629614647</v>
      </c>
      <c r="T1039" t="str">
        <f t="shared" si="134"/>
        <v>On Time/Early</v>
      </c>
      <c r="U1039" t="str">
        <f t="shared" si="135"/>
        <v>Normal</v>
      </c>
      <c r="V1039" t="s">
        <v>102</v>
      </c>
    </row>
    <row r="1040" spans="1:22">
      <c r="A1040" t="s">
        <v>1624</v>
      </c>
      <c r="B1040" s="10">
        <v>43129.395937499998</v>
      </c>
      <c r="C1040" s="10">
        <v>43129.400949074072</v>
      </c>
      <c r="D1040" s="10">
        <v>43132.498865740738</v>
      </c>
      <c r="E1040" s="10">
        <v>43151.647766203707</v>
      </c>
      <c r="F1040" s="10">
        <v>43154</v>
      </c>
      <c r="G1040" t="s">
        <v>20</v>
      </c>
      <c r="H1040" t="s">
        <v>1625</v>
      </c>
      <c r="I1040" t="s">
        <v>31</v>
      </c>
      <c r="J1040" s="11">
        <v>4</v>
      </c>
      <c r="K1040" s="12">
        <v>75.599999999999994</v>
      </c>
      <c r="L1040" s="12">
        <v>60.4</v>
      </c>
      <c r="M1040" s="13">
        <v>1</v>
      </c>
      <c r="N1040" s="13">
        <f t="shared" si="128"/>
        <v>22.25182870370918</v>
      </c>
      <c r="O1040" s="13">
        <f t="shared" si="129"/>
        <v>0</v>
      </c>
      <c r="P1040" t="str">
        <f t="shared" si="130"/>
        <v>On Time</v>
      </c>
      <c r="Q1040" s="13">
        <f t="shared" si="131"/>
        <v>0.12027777777984738</v>
      </c>
      <c r="R1040" s="13">
        <f t="shared" si="132"/>
        <v>3.0979166666656965</v>
      </c>
      <c r="S1040" s="13">
        <f t="shared" si="133"/>
        <v>19.148900462969323</v>
      </c>
      <c r="T1040" t="str">
        <f t="shared" si="134"/>
        <v>On Time/Early</v>
      </c>
      <c r="U1040" t="str">
        <f t="shared" si="135"/>
        <v>Normal</v>
      </c>
      <c r="V1040" t="s">
        <v>102</v>
      </c>
    </row>
    <row r="1041" spans="1:22">
      <c r="A1041" t="s">
        <v>1626</v>
      </c>
      <c r="B1041" s="10">
        <v>43129.515162037038</v>
      </c>
      <c r="C1041" s="10">
        <v>43130.784699074073</v>
      </c>
      <c r="D1041" s="10">
        <v>43132.712280092594</v>
      </c>
      <c r="E1041" s="10">
        <v>43146.764027777775</v>
      </c>
      <c r="F1041" s="10">
        <v>43167</v>
      </c>
      <c r="G1041" t="s">
        <v>134</v>
      </c>
      <c r="H1041" t="s">
        <v>1627</v>
      </c>
      <c r="I1041" t="s">
        <v>141</v>
      </c>
      <c r="J1041" s="11">
        <v>1</v>
      </c>
      <c r="K1041" s="12">
        <v>145</v>
      </c>
      <c r="L1041" s="12">
        <v>26.29</v>
      </c>
      <c r="M1041" s="13">
        <v>5</v>
      </c>
      <c r="N1041" s="13">
        <f t="shared" si="128"/>
        <v>17.248865740737529</v>
      </c>
      <c r="O1041" s="13">
        <f t="shared" si="129"/>
        <v>0</v>
      </c>
      <c r="P1041" t="str">
        <f t="shared" si="130"/>
        <v>On Time</v>
      </c>
      <c r="Q1041" s="13">
        <f t="shared" si="131"/>
        <v>30.468888888834044</v>
      </c>
      <c r="R1041" s="13">
        <f t="shared" si="132"/>
        <v>1.9275810185208684</v>
      </c>
      <c r="S1041" s="13">
        <f t="shared" si="133"/>
        <v>14.051747685181908</v>
      </c>
      <c r="T1041" t="str">
        <f t="shared" si="134"/>
        <v>On Time/Early</v>
      </c>
      <c r="U1041" t="str">
        <f t="shared" si="135"/>
        <v>Normal</v>
      </c>
      <c r="V1041" t="s">
        <v>102</v>
      </c>
    </row>
    <row r="1042" spans="1:22">
      <c r="A1042" t="s">
        <v>1628</v>
      </c>
      <c r="B1042" s="10">
        <v>43129.671840277777</v>
      </c>
      <c r="C1042" s="10">
        <v>43129.692245370374</v>
      </c>
      <c r="D1042" s="10">
        <v>43130.783842592595</v>
      </c>
      <c r="E1042" s="10">
        <v>43132.016099537039</v>
      </c>
      <c r="F1042" s="10">
        <v>43145</v>
      </c>
      <c r="G1042" t="s">
        <v>8</v>
      </c>
      <c r="H1042" t="s">
        <v>225</v>
      </c>
      <c r="I1042" t="s">
        <v>246</v>
      </c>
      <c r="J1042" s="11">
        <v>1</v>
      </c>
      <c r="K1042" s="12">
        <v>122.1</v>
      </c>
      <c r="L1042" s="12">
        <v>8.11</v>
      </c>
      <c r="M1042" s="13">
        <v>5</v>
      </c>
      <c r="N1042" s="13">
        <f t="shared" si="128"/>
        <v>2.3442592592618894</v>
      </c>
      <c r="O1042" s="13">
        <f t="shared" si="129"/>
        <v>0</v>
      </c>
      <c r="P1042" t="str">
        <f t="shared" si="130"/>
        <v>On Time</v>
      </c>
      <c r="Q1042" s="13">
        <f t="shared" si="131"/>
        <v>0.4897222223225981</v>
      </c>
      <c r="R1042" s="13">
        <f t="shared" si="132"/>
        <v>1.0915972222210257</v>
      </c>
      <c r="S1042" s="13">
        <f t="shared" si="133"/>
        <v>1.2322569444440887</v>
      </c>
      <c r="T1042" t="str">
        <f t="shared" si="134"/>
        <v>On Time/Early</v>
      </c>
      <c r="U1042" t="str">
        <f t="shared" si="135"/>
        <v>Normal</v>
      </c>
      <c r="V1042" t="s">
        <v>102</v>
      </c>
    </row>
    <row r="1043" spans="1:22">
      <c r="A1043" t="s">
        <v>1629</v>
      </c>
      <c r="B1043" s="10">
        <v>43129.795324074075</v>
      </c>
      <c r="C1043" s="10">
        <v>43129.813726851855</v>
      </c>
      <c r="D1043" s="10">
        <v>43133.728576388887</v>
      </c>
      <c r="E1043" s="10">
        <v>43148.59915509259</v>
      </c>
      <c r="F1043" s="10">
        <v>43153</v>
      </c>
      <c r="G1043" t="s">
        <v>320</v>
      </c>
      <c r="H1043" t="s">
        <v>321</v>
      </c>
      <c r="I1043" t="s">
        <v>180</v>
      </c>
      <c r="J1043" s="11">
        <v>1</v>
      </c>
      <c r="K1043" s="12">
        <v>85.5</v>
      </c>
      <c r="L1043" s="12">
        <v>17.850000000000001</v>
      </c>
      <c r="M1043" s="13">
        <v>5</v>
      </c>
      <c r="N1043" s="13">
        <f t="shared" si="128"/>
        <v>18.803831018514757</v>
      </c>
      <c r="O1043" s="13">
        <f t="shared" si="129"/>
        <v>0</v>
      </c>
      <c r="P1043" t="str">
        <f t="shared" si="130"/>
        <v>On Time</v>
      </c>
      <c r="Q1043" s="13">
        <f t="shared" si="131"/>
        <v>0.44166666670935228</v>
      </c>
      <c r="R1043" s="13">
        <f t="shared" si="132"/>
        <v>3.9148495370318415</v>
      </c>
      <c r="S1043" s="13">
        <f t="shared" si="133"/>
        <v>14.870578703703359</v>
      </c>
      <c r="T1043" t="str">
        <f t="shared" si="134"/>
        <v>On Time/Early</v>
      </c>
      <c r="U1043" t="str">
        <f t="shared" si="135"/>
        <v>Normal</v>
      </c>
      <c r="V1043" t="s">
        <v>102</v>
      </c>
    </row>
    <row r="1044" spans="1:22">
      <c r="A1044" t="s">
        <v>1630</v>
      </c>
      <c r="B1044" s="10">
        <v>43130.437881944446</v>
      </c>
      <c r="C1044" s="10">
        <v>43130.455497685187</v>
      </c>
      <c r="D1044" s="10">
        <v>43137.786944444444</v>
      </c>
      <c r="E1044" s="10">
        <v>43139.637303240743</v>
      </c>
      <c r="F1044" s="10">
        <v>43152</v>
      </c>
      <c r="G1044" t="s">
        <v>8</v>
      </c>
      <c r="H1044" t="s">
        <v>1631</v>
      </c>
      <c r="I1044" t="s">
        <v>136</v>
      </c>
      <c r="J1044" s="11">
        <v>1</v>
      </c>
      <c r="K1044" s="12">
        <v>129.9</v>
      </c>
      <c r="L1044" s="12">
        <v>18.8</v>
      </c>
      <c r="M1044" s="13">
        <v>5</v>
      </c>
      <c r="N1044" s="13">
        <f t="shared" si="128"/>
        <v>9.1994212962963502</v>
      </c>
      <c r="O1044" s="13">
        <f t="shared" si="129"/>
        <v>0</v>
      </c>
      <c r="P1044" t="str">
        <f t="shared" si="130"/>
        <v>On Time</v>
      </c>
      <c r="Q1044" s="13">
        <f t="shared" si="131"/>
        <v>0.42277777777053416</v>
      </c>
      <c r="R1044" s="13">
        <f t="shared" si="132"/>
        <v>7.3314467592572328</v>
      </c>
      <c r="S1044" s="13">
        <f t="shared" si="133"/>
        <v>1.8503587962986785</v>
      </c>
      <c r="T1044" t="str">
        <f t="shared" si="134"/>
        <v>On Time/Early</v>
      </c>
      <c r="U1044" t="str">
        <f t="shared" si="135"/>
        <v>Normal</v>
      </c>
      <c r="V1044" t="s">
        <v>102</v>
      </c>
    </row>
    <row r="1045" spans="1:22">
      <c r="A1045" t="s">
        <v>1632</v>
      </c>
      <c r="B1045" s="10">
        <v>43130.675416666665</v>
      </c>
      <c r="C1045" s="10">
        <v>43135.980300925927</v>
      </c>
      <c r="D1045" s="10">
        <v>43132.047893518517</v>
      </c>
      <c r="E1045" s="10">
        <v>43139.880555555559</v>
      </c>
      <c r="F1045" s="10">
        <v>43174</v>
      </c>
      <c r="G1045" t="s">
        <v>57</v>
      </c>
      <c r="H1045" t="s">
        <v>1064</v>
      </c>
      <c r="I1045" t="s">
        <v>279</v>
      </c>
      <c r="J1045" s="11">
        <v>1</v>
      </c>
      <c r="K1045" s="12">
        <v>24.9</v>
      </c>
      <c r="L1045" s="12">
        <v>21.15</v>
      </c>
      <c r="M1045" s="13">
        <v>5</v>
      </c>
      <c r="N1045" s="13">
        <f t="shared" si="128"/>
        <v>9.2051388888939982</v>
      </c>
      <c r="O1045" s="13">
        <f t="shared" si="129"/>
        <v>0</v>
      </c>
      <c r="P1045" t="str">
        <f t="shared" si="130"/>
        <v>On Time</v>
      </c>
      <c r="Q1045" s="13">
        <f t="shared" si="131"/>
        <v>127.31722222227836</v>
      </c>
      <c r="R1045" s="13">
        <f t="shared" si="132"/>
        <v>-3.93240740741021</v>
      </c>
      <c r="S1045" s="13">
        <f t="shared" si="133"/>
        <v>7.8326620370426099</v>
      </c>
      <c r="T1045" t="str">
        <f t="shared" si="134"/>
        <v>On Time/Early</v>
      </c>
      <c r="U1045" t="str">
        <f t="shared" si="135"/>
        <v>Normal</v>
      </c>
      <c r="V1045" t="s">
        <v>102</v>
      </c>
    </row>
    <row r="1046" spans="1:22">
      <c r="A1046" t="s">
        <v>1633</v>
      </c>
      <c r="B1046" s="10">
        <v>43130.708784722221</v>
      </c>
      <c r="C1046" s="10">
        <v>43130.728946759256</v>
      </c>
      <c r="D1046" s="10">
        <v>43133.054050925923</v>
      </c>
      <c r="E1046" s="10">
        <v>43146.696469907409</v>
      </c>
      <c r="F1046" s="10">
        <v>43168</v>
      </c>
      <c r="G1046" t="s">
        <v>8</v>
      </c>
      <c r="H1046" t="s">
        <v>140</v>
      </c>
      <c r="I1046" t="s">
        <v>180</v>
      </c>
      <c r="J1046" s="11">
        <v>1</v>
      </c>
      <c r="K1046" s="12">
        <v>81.5</v>
      </c>
      <c r="L1046" s="12">
        <v>13.59</v>
      </c>
      <c r="M1046" s="13">
        <v>5</v>
      </c>
      <c r="N1046" s="13">
        <f t="shared" si="128"/>
        <v>15.987685185187729</v>
      </c>
      <c r="O1046" s="13">
        <f t="shared" si="129"/>
        <v>0</v>
      </c>
      <c r="P1046" t="str">
        <f t="shared" si="130"/>
        <v>On Time</v>
      </c>
      <c r="Q1046" s="13">
        <f t="shared" si="131"/>
        <v>0.48388888884801418</v>
      </c>
      <c r="R1046" s="13">
        <f t="shared" si="132"/>
        <v>2.3251041666662786</v>
      </c>
      <c r="S1046" s="13">
        <f t="shared" si="133"/>
        <v>13.642418981486117</v>
      </c>
      <c r="T1046" t="str">
        <f t="shared" si="134"/>
        <v>On Time/Early</v>
      </c>
      <c r="U1046" t="str">
        <f t="shared" si="135"/>
        <v>Normal</v>
      </c>
      <c r="V1046" t="s">
        <v>102</v>
      </c>
    </row>
    <row r="1047" spans="1:22">
      <c r="A1047" t="s">
        <v>1634</v>
      </c>
      <c r="B1047" s="10">
        <v>43131.496932870374</v>
      </c>
      <c r="C1047" s="10">
        <v>43131.5778125</v>
      </c>
      <c r="D1047" s="10">
        <v>43133.087141203701</v>
      </c>
      <c r="E1047" s="10">
        <v>43147.707604166666</v>
      </c>
      <c r="F1047" s="10">
        <v>43161</v>
      </c>
      <c r="G1047" t="s">
        <v>110</v>
      </c>
      <c r="H1047" t="s">
        <v>416</v>
      </c>
      <c r="I1047" t="s">
        <v>185</v>
      </c>
      <c r="J1047" s="11">
        <v>1</v>
      </c>
      <c r="K1047" s="12">
        <v>42.6</v>
      </c>
      <c r="L1047" s="12">
        <v>31.1</v>
      </c>
      <c r="M1047" s="13">
        <v>4</v>
      </c>
      <c r="N1047" s="13">
        <f t="shared" si="128"/>
        <v>16.210671296292276</v>
      </c>
      <c r="O1047" s="13">
        <f t="shared" si="129"/>
        <v>0</v>
      </c>
      <c r="P1047" t="str">
        <f t="shared" si="130"/>
        <v>On Time</v>
      </c>
      <c r="Q1047" s="13">
        <f t="shared" si="131"/>
        <v>1.941111111023929</v>
      </c>
      <c r="R1047" s="13">
        <f t="shared" si="132"/>
        <v>1.5093287037016125</v>
      </c>
      <c r="S1047" s="13">
        <f t="shared" si="133"/>
        <v>14.620462962964666</v>
      </c>
      <c r="T1047" t="str">
        <f t="shared" si="134"/>
        <v>On Time/Early</v>
      </c>
      <c r="U1047" t="str">
        <f t="shared" si="135"/>
        <v>Normal</v>
      </c>
      <c r="V1047" t="s">
        <v>102</v>
      </c>
    </row>
    <row r="1048" spans="1:22">
      <c r="A1048" t="s">
        <v>1635</v>
      </c>
      <c r="B1048" s="10">
        <v>43131.631041666667</v>
      </c>
      <c r="C1048" s="10">
        <v>43131.646122685182</v>
      </c>
      <c r="D1048" s="10">
        <v>43134.041550925926</v>
      </c>
      <c r="E1048" s="10">
        <v>43137.890717592592</v>
      </c>
      <c r="F1048" s="10">
        <v>43147</v>
      </c>
      <c r="G1048" t="s">
        <v>8</v>
      </c>
      <c r="H1048" t="s">
        <v>140</v>
      </c>
      <c r="I1048" t="s">
        <v>120</v>
      </c>
      <c r="J1048" s="11">
        <v>1</v>
      </c>
      <c r="K1048" s="12">
        <v>75.89</v>
      </c>
      <c r="L1048" s="12">
        <v>8.2799999999999994</v>
      </c>
      <c r="M1048" s="13">
        <v>5</v>
      </c>
      <c r="N1048" s="13">
        <f t="shared" si="128"/>
        <v>6.2596759259249666</v>
      </c>
      <c r="O1048" s="13">
        <f t="shared" si="129"/>
        <v>0</v>
      </c>
      <c r="P1048" t="str">
        <f t="shared" si="130"/>
        <v>On Time</v>
      </c>
      <c r="Q1048" s="13">
        <f t="shared" si="131"/>
        <v>0.36194444436114281</v>
      </c>
      <c r="R1048" s="13">
        <f t="shared" si="132"/>
        <v>2.3954282407430583</v>
      </c>
      <c r="S1048" s="13">
        <f t="shared" si="133"/>
        <v>3.8491666666668607</v>
      </c>
      <c r="T1048" t="str">
        <f t="shared" si="134"/>
        <v>On Time/Early</v>
      </c>
      <c r="U1048" t="str">
        <f t="shared" si="135"/>
        <v>Normal</v>
      </c>
      <c r="V1048" t="s">
        <v>102</v>
      </c>
    </row>
    <row r="1049" spans="1:22">
      <c r="A1049" t="s">
        <v>1636</v>
      </c>
      <c r="B1049" s="10">
        <v>43131.952962962961</v>
      </c>
      <c r="C1049" s="10">
        <v>43131.965324074074</v>
      </c>
      <c r="D1049" s="10">
        <v>43132.815671296295</v>
      </c>
      <c r="E1049" s="10">
        <v>43136.86215277778</v>
      </c>
      <c r="F1049" s="10">
        <v>43147</v>
      </c>
      <c r="G1049" t="s">
        <v>8</v>
      </c>
      <c r="H1049" t="s">
        <v>140</v>
      </c>
      <c r="I1049" t="s">
        <v>101</v>
      </c>
      <c r="J1049" s="11">
        <v>1</v>
      </c>
      <c r="K1049" s="12">
        <v>199.99</v>
      </c>
      <c r="L1049" s="12">
        <v>37.49</v>
      </c>
      <c r="M1049" s="13">
        <v>5</v>
      </c>
      <c r="N1049" s="13">
        <f t="shared" si="128"/>
        <v>4.9091898148180917</v>
      </c>
      <c r="O1049" s="13">
        <f t="shared" si="129"/>
        <v>0</v>
      </c>
      <c r="P1049" t="str">
        <f t="shared" si="130"/>
        <v>On Time</v>
      </c>
      <c r="Q1049" s="13">
        <f t="shared" si="131"/>
        <v>0.29666666669072583</v>
      </c>
      <c r="R1049" s="13">
        <f t="shared" si="132"/>
        <v>0.85034722222189885</v>
      </c>
      <c r="S1049" s="13">
        <f t="shared" si="133"/>
        <v>4.0464814814840793</v>
      </c>
      <c r="T1049" t="str">
        <f t="shared" si="134"/>
        <v>On Time/Early</v>
      </c>
      <c r="U1049" t="str">
        <f t="shared" si="135"/>
        <v>Normal</v>
      </c>
      <c r="V1049" t="s">
        <v>102</v>
      </c>
    </row>
    <row r="1050" spans="1:22">
      <c r="A1050" t="s">
        <v>1637</v>
      </c>
      <c r="B1050" s="10">
        <v>43132.409212962964</v>
      </c>
      <c r="C1050" s="10">
        <v>43132.424409722225</v>
      </c>
      <c r="D1050" s="10">
        <v>43134.154780092591</v>
      </c>
      <c r="E1050" s="10">
        <v>43147.727638888886</v>
      </c>
      <c r="F1050" s="10">
        <v>43166</v>
      </c>
      <c r="G1050" t="s">
        <v>23</v>
      </c>
      <c r="H1050" t="s">
        <v>275</v>
      </c>
      <c r="I1050" t="s">
        <v>141</v>
      </c>
      <c r="J1050" s="11">
        <v>1</v>
      </c>
      <c r="K1050" s="12">
        <v>58.9</v>
      </c>
      <c r="L1050" s="12">
        <v>23.79</v>
      </c>
      <c r="M1050" s="13">
        <v>3</v>
      </c>
      <c r="N1050" s="13">
        <f t="shared" si="128"/>
        <v>15.318425925921474</v>
      </c>
      <c r="O1050" s="13">
        <f t="shared" si="129"/>
        <v>0</v>
      </c>
      <c r="P1050" t="str">
        <f t="shared" si="130"/>
        <v>On Time</v>
      </c>
      <c r="Q1050" s="13">
        <f t="shared" si="131"/>
        <v>0.36472222226439044</v>
      </c>
      <c r="R1050" s="13">
        <f t="shared" si="132"/>
        <v>1.7303703703655628</v>
      </c>
      <c r="S1050" s="13">
        <f t="shared" si="133"/>
        <v>13.572858796294895</v>
      </c>
      <c r="T1050" t="str">
        <f t="shared" si="134"/>
        <v>On Time/Early</v>
      </c>
      <c r="U1050" t="str">
        <f t="shared" si="135"/>
        <v>Normal</v>
      </c>
      <c r="V1050" t="s">
        <v>102</v>
      </c>
    </row>
    <row r="1051" spans="1:22">
      <c r="A1051" t="s">
        <v>1638</v>
      </c>
      <c r="B1051" s="10">
        <v>43132.454571759263</v>
      </c>
      <c r="C1051" s="10">
        <v>43134.120775462965</v>
      </c>
      <c r="D1051" s="10">
        <v>43139.045856481483</v>
      </c>
      <c r="E1051" s="10">
        <v>43152.711493055554</v>
      </c>
      <c r="F1051" s="10">
        <v>43160</v>
      </c>
      <c r="G1051" t="s">
        <v>36</v>
      </c>
      <c r="H1051" t="s">
        <v>1639</v>
      </c>
      <c r="I1051" t="s">
        <v>118</v>
      </c>
      <c r="J1051" s="11">
        <v>1</v>
      </c>
      <c r="K1051" s="12">
        <v>27.99</v>
      </c>
      <c r="L1051" s="12">
        <v>14.1</v>
      </c>
      <c r="M1051" s="13">
        <v>5</v>
      </c>
      <c r="N1051" s="13">
        <f t="shared" si="128"/>
        <v>20.256921296291694</v>
      </c>
      <c r="O1051" s="13">
        <f t="shared" si="129"/>
        <v>0</v>
      </c>
      <c r="P1051" t="str">
        <f t="shared" si="130"/>
        <v>On Time</v>
      </c>
      <c r="Q1051" s="13">
        <f t="shared" si="131"/>
        <v>39.988888888852671</v>
      </c>
      <c r="R1051" s="13">
        <f t="shared" si="132"/>
        <v>4.9250810185185401</v>
      </c>
      <c r="S1051" s="13">
        <f t="shared" si="133"/>
        <v>13.665636574070959</v>
      </c>
      <c r="T1051" t="str">
        <f t="shared" si="134"/>
        <v>On Time/Early</v>
      </c>
      <c r="U1051" t="str">
        <f t="shared" si="135"/>
        <v>Normal</v>
      </c>
      <c r="V1051" t="s">
        <v>102</v>
      </c>
    </row>
    <row r="1052" spans="1:22">
      <c r="A1052" t="s">
        <v>1640</v>
      </c>
      <c r="B1052" s="10">
        <v>43132.456562500003</v>
      </c>
      <c r="C1052" s="10">
        <v>43132.467013888891</v>
      </c>
      <c r="D1052" s="10">
        <v>43134.508472222224</v>
      </c>
      <c r="E1052" s="10">
        <v>43166.529907407406</v>
      </c>
      <c r="F1052" s="10">
        <v>43166</v>
      </c>
      <c r="G1052" t="s">
        <v>30</v>
      </c>
      <c r="H1052" t="s">
        <v>585</v>
      </c>
      <c r="I1052" t="s">
        <v>141</v>
      </c>
      <c r="J1052" s="11">
        <v>1</v>
      </c>
      <c r="K1052" s="12">
        <v>61.9</v>
      </c>
      <c r="L1052" s="12">
        <v>17.68</v>
      </c>
      <c r="M1052" s="13">
        <v>5</v>
      </c>
      <c r="N1052" s="13">
        <f t="shared" si="128"/>
        <v>34.073344907403225</v>
      </c>
      <c r="O1052" s="13">
        <f t="shared" si="129"/>
        <v>0.5299074074064265</v>
      </c>
      <c r="P1052" t="str">
        <f t="shared" si="130"/>
        <v>Delayed</v>
      </c>
      <c r="Q1052" s="13">
        <f t="shared" si="131"/>
        <v>0.25083333329530433</v>
      </c>
      <c r="R1052" s="13">
        <f t="shared" si="132"/>
        <v>2.0414583333331393</v>
      </c>
      <c r="S1052" s="13">
        <f t="shared" si="133"/>
        <v>32.021435185182781</v>
      </c>
      <c r="T1052" t="str">
        <f t="shared" si="134"/>
        <v>1-3 Days Late</v>
      </c>
      <c r="U1052" t="str">
        <f t="shared" si="135"/>
        <v>Needs Review</v>
      </c>
      <c r="V1052" t="s">
        <v>102</v>
      </c>
    </row>
    <row r="1053" spans="1:22">
      <c r="A1053" t="s">
        <v>1641</v>
      </c>
      <c r="B1053" s="10">
        <v>43132.500347222223</v>
      </c>
      <c r="C1053" s="10">
        <v>43132.51090277778</v>
      </c>
      <c r="D1053" s="10">
        <v>43137.665729166663</v>
      </c>
      <c r="E1053" s="10">
        <v>43151.848425925928</v>
      </c>
      <c r="F1053" s="10">
        <v>43164</v>
      </c>
      <c r="G1053" t="s">
        <v>43</v>
      </c>
      <c r="H1053" t="s">
        <v>249</v>
      </c>
      <c r="I1053" t="s">
        <v>141</v>
      </c>
      <c r="J1053" s="11">
        <v>1</v>
      </c>
      <c r="K1053" s="12">
        <v>159</v>
      </c>
      <c r="L1053" s="12">
        <v>18.39</v>
      </c>
      <c r="M1053" s="13">
        <v>5</v>
      </c>
      <c r="N1053" s="13">
        <f t="shared" si="128"/>
        <v>19.348078703704232</v>
      </c>
      <c r="O1053" s="13">
        <f t="shared" si="129"/>
        <v>0</v>
      </c>
      <c r="P1053" t="str">
        <f t="shared" si="130"/>
        <v>On Time</v>
      </c>
      <c r="Q1053" s="13">
        <f t="shared" si="131"/>
        <v>0.2533333333558403</v>
      </c>
      <c r="R1053" s="13">
        <f t="shared" si="132"/>
        <v>5.1548263888835208</v>
      </c>
      <c r="S1053" s="13">
        <f t="shared" si="133"/>
        <v>14.182696759264218</v>
      </c>
      <c r="T1053" t="str">
        <f t="shared" si="134"/>
        <v>On Time/Early</v>
      </c>
      <c r="U1053" t="str">
        <f t="shared" si="135"/>
        <v>Normal</v>
      </c>
      <c r="V1053" t="s">
        <v>102</v>
      </c>
    </row>
    <row r="1054" spans="1:22">
      <c r="A1054" t="s">
        <v>1642</v>
      </c>
      <c r="B1054" s="10">
        <v>43132.504930555559</v>
      </c>
      <c r="C1054" s="10">
        <v>43132.520428240743</v>
      </c>
      <c r="D1054" s="10">
        <v>43133.491956018515</v>
      </c>
      <c r="E1054" s="10">
        <v>43146.480775462966</v>
      </c>
      <c r="F1054" s="10">
        <v>43167</v>
      </c>
      <c r="G1054" t="s">
        <v>33</v>
      </c>
      <c r="H1054" t="s">
        <v>1643</v>
      </c>
      <c r="I1054" t="s">
        <v>24</v>
      </c>
      <c r="J1054" s="11">
        <v>2</v>
      </c>
      <c r="K1054" s="12">
        <v>119.8</v>
      </c>
      <c r="L1054" s="12">
        <v>30.34</v>
      </c>
      <c r="M1054" s="13">
        <v>4</v>
      </c>
      <c r="N1054" s="13">
        <f t="shared" si="128"/>
        <v>13.975844907407009</v>
      </c>
      <c r="O1054" s="13">
        <f t="shared" si="129"/>
        <v>0</v>
      </c>
      <c r="P1054" t="str">
        <f t="shared" si="130"/>
        <v>On Time</v>
      </c>
      <c r="Q1054" s="13">
        <f t="shared" si="131"/>
        <v>0.3719444444286637</v>
      </c>
      <c r="R1054" s="13">
        <f t="shared" si="132"/>
        <v>0.97152777777228039</v>
      </c>
      <c r="S1054" s="13">
        <f t="shared" si="133"/>
        <v>12.988819444450201</v>
      </c>
      <c r="T1054" t="str">
        <f t="shared" si="134"/>
        <v>On Time/Early</v>
      </c>
      <c r="U1054" t="str">
        <f t="shared" si="135"/>
        <v>Normal</v>
      </c>
      <c r="V1054" t="s">
        <v>102</v>
      </c>
    </row>
    <row r="1055" spans="1:22">
      <c r="A1055" t="s">
        <v>1644</v>
      </c>
      <c r="B1055" s="10">
        <v>43132.593842592592</v>
      </c>
      <c r="C1055" s="10">
        <v>43132.60361111111</v>
      </c>
      <c r="D1055" s="10">
        <v>43133.775208333333</v>
      </c>
      <c r="E1055" s="10">
        <v>43139.932696759257</v>
      </c>
      <c r="F1055" s="10">
        <v>43161</v>
      </c>
      <c r="G1055" t="s">
        <v>20</v>
      </c>
      <c r="H1055" t="s">
        <v>495</v>
      </c>
      <c r="I1055" t="s">
        <v>58</v>
      </c>
      <c r="J1055" s="11">
        <v>1</v>
      </c>
      <c r="K1055" s="12">
        <v>1199.6500000000001</v>
      </c>
      <c r="L1055" s="12">
        <v>23.15</v>
      </c>
      <c r="M1055" s="13">
        <v>5</v>
      </c>
      <c r="N1055" s="13">
        <f t="shared" si="128"/>
        <v>7.3388541666645324</v>
      </c>
      <c r="O1055" s="13">
        <f t="shared" si="129"/>
        <v>0</v>
      </c>
      <c r="P1055" t="str">
        <f t="shared" si="130"/>
        <v>On Time</v>
      </c>
      <c r="Q1055" s="13">
        <f t="shared" si="131"/>
        <v>0.23444444441702217</v>
      </c>
      <c r="R1055" s="13">
        <f t="shared" si="132"/>
        <v>1.171597222222772</v>
      </c>
      <c r="S1055" s="13">
        <f t="shared" si="133"/>
        <v>6.1574884259243845</v>
      </c>
      <c r="T1055" t="str">
        <f t="shared" si="134"/>
        <v>On Time/Early</v>
      </c>
      <c r="U1055" t="str">
        <f t="shared" si="135"/>
        <v>Normal</v>
      </c>
      <c r="V1055" t="s">
        <v>102</v>
      </c>
    </row>
    <row r="1056" spans="1:22">
      <c r="A1056" t="s">
        <v>1645</v>
      </c>
      <c r="B1056" s="10">
        <v>43132.653483796297</v>
      </c>
      <c r="C1056" s="10">
        <v>43132.660173611112</v>
      </c>
      <c r="D1056" s="10">
        <v>43140.01059027778</v>
      </c>
      <c r="E1056" s="10">
        <v>43140.961863425924</v>
      </c>
      <c r="F1056" s="10">
        <v>43150</v>
      </c>
      <c r="G1056" t="s">
        <v>8</v>
      </c>
      <c r="H1056" t="s">
        <v>140</v>
      </c>
      <c r="I1056" t="s">
        <v>141</v>
      </c>
      <c r="J1056" s="11">
        <v>1</v>
      </c>
      <c r="K1056" s="12">
        <v>49.9</v>
      </c>
      <c r="L1056" s="12">
        <v>7.78</v>
      </c>
      <c r="M1056" s="13">
        <v>4</v>
      </c>
      <c r="N1056" s="13">
        <f t="shared" si="128"/>
        <v>8.3083796296268702</v>
      </c>
      <c r="O1056" s="13">
        <f t="shared" si="129"/>
        <v>0</v>
      </c>
      <c r="P1056" t="str">
        <f t="shared" si="130"/>
        <v>On Time</v>
      </c>
      <c r="Q1056" s="13">
        <f t="shared" si="131"/>
        <v>0.16055555554339662</v>
      </c>
      <c r="R1056" s="13">
        <f t="shared" si="132"/>
        <v>7.3504166666680248</v>
      </c>
      <c r="S1056" s="13">
        <f t="shared" si="133"/>
        <v>0.95127314814453712</v>
      </c>
      <c r="T1056" t="str">
        <f t="shared" si="134"/>
        <v>On Time/Early</v>
      </c>
      <c r="U1056" t="str">
        <f t="shared" si="135"/>
        <v>Normal</v>
      </c>
      <c r="V1056" t="s">
        <v>102</v>
      </c>
    </row>
    <row r="1057" spans="1:22">
      <c r="A1057" t="s">
        <v>1646</v>
      </c>
      <c r="B1057" s="10">
        <v>43132.706736111111</v>
      </c>
      <c r="C1057" s="10">
        <v>43134.120682870373</v>
      </c>
      <c r="D1057" s="10">
        <v>43136.828587962962</v>
      </c>
      <c r="E1057" s="10">
        <v>43151.509571759256</v>
      </c>
      <c r="F1057" s="10">
        <v>43161</v>
      </c>
      <c r="G1057" t="s">
        <v>33</v>
      </c>
      <c r="H1057" t="s">
        <v>1647</v>
      </c>
      <c r="I1057" t="s">
        <v>120</v>
      </c>
      <c r="J1057" s="11">
        <v>1</v>
      </c>
      <c r="K1057" s="12">
        <v>66.900000000000006</v>
      </c>
      <c r="L1057" s="12">
        <v>17.75</v>
      </c>
      <c r="M1057" s="13">
        <v>5</v>
      </c>
      <c r="N1057" s="13">
        <f t="shared" si="128"/>
        <v>18.802835648144537</v>
      </c>
      <c r="O1057" s="13">
        <f t="shared" si="129"/>
        <v>0</v>
      </c>
      <c r="P1057" t="str">
        <f t="shared" si="130"/>
        <v>On Time</v>
      </c>
      <c r="Q1057" s="13">
        <f t="shared" si="131"/>
        <v>33.934722222271375</v>
      </c>
      <c r="R1057" s="13">
        <f t="shared" si="132"/>
        <v>2.707905092589499</v>
      </c>
      <c r="S1057" s="13">
        <f t="shared" si="133"/>
        <v>14.680983796293731</v>
      </c>
      <c r="T1057" t="str">
        <f t="shared" si="134"/>
        <v>On Time/Early</v>
      </c>
      <c r="U1057" t="str">
        <f t="shared" si="135"/>
        <v>Normal</v>
      </c>
      <c r="V1057" t="s">
        <v>102</v>
      </c>
    </row>
    <row r="1058" spans="1:22">
      <c r="A1058" t="s">
        <v>1648</v>
      </c>
      <c r="B1058" s="10">
        <v>43132.92759259259</v>
      </c>
      <c r="C1058" s="10">
        <v>43132.936979166669</v>
      </c>
      <c r="D1058" s="10">
        <v>43137.051736111112</v>
      </c>
      <c r="E1058" s="10">
        <v>43152.9533912037</v>
      </c>
      <c r="F1058" s="10">
        <v>43161</v>
      </c>
      <c r="G1058" t="s">
        <v>20</v>
      </c>
      <c r="H1058" t="s">
        <v>1649</v>
      </c>
      <c r="I1058" t="s">
        <v>118</v>
      </c>
      <c r="J1058" s="11">
        <v>1</v>
      </c>
      <c r="K1058" s="12">
        <v>49.99</v>
      </c>
      <c r="L1058" s="12">
        <v>15.1</v>
      </c>
      <c r="M1058" s="13">
        <v>5</v>
      </c>
      <c r="N1058" s="13">
        <f t="shared" si="128"/>
        <v>20.025798611110076</v>
      </c>
      <c r="O1058" s="13">
        <f t="shared" si="129"/>
        <v>0</v>
      </c>
      <c r="P1058" t="str">
        <f t="shared" si="130"/>
        <v>On Time</v>
      </c>
      <c r="Q1058" s="13">
        <f t="shared" si="131"/>
        <v>0.22527777787763625</v>
      </c>
      <c r="R1058" s="13">
        <f t="shared" si="132"/>
        <v>4.1147569444437977</v>
      </c>
      <c r="S1058" s="13">
        <f t="shared" si="133"/>
        <v>15.901655092588044</v>
      </c>
      <c r="T1058" t="str">
        <f t="shared" si="134"/>
        <v>On Time/Early</v>
      </c>
      <c r="U1058" t="str">
        <f t="shared" si="135"/>
        <v>Normal</v>
      </c>
      <c r="V1058" t="s">
        <v>102</v>
      </c>
    </row>
    <row r="1059" spans="1:22">
      <c r="A1059" t="s">
        <v>1650</v>
      </c>
      <c r="B1059" s="10">
        <v>43133.025509259256</v>
      </c>
      <c r="C1059" s="10">
        <v>43133.036296296297</v>
      </c>
      <c r="D1059" s="10">
        <v>43136.710729166669</v>
      </c>
      <c r="E1059" s="10">
        <v>43145.994062500002</v>
      </c>
      <c r="F1059" s="10">
        <v>43167</v>
      </c>
      <c r="G1059" t="s">
        <v>8</v>
      </c>
      <c r="H1059" t="s">
        <v>140</v>
      </c>
      <c r="I1059" t="s">
        <v>143</v>
      </c>
      <c r="J1059" s="11">
        <v>1</v>
      </c>
      <c r="K1059" s="12">
        <v>329</v>
      </c>
      <c r="L1059" s="12">
        <v>17.05</v>
      </c>
      <c r="M1059" s="13">
        <v>5</v>
      </c>
      <c r="N1059" s="13">
        <f t="shared" si="128"/>
        <v>12.968553240745678</v>
      </c>
      <c r="O1059" s="13">
        <f t="shared" si="129"/>
        <v>0</v>
      </c>
      <c r="P1059" t="str">
        <f t="shared" si="130"/>
        <v>On Time</v>
      </c>
      <c r="Q1059" s="13">
        <f t="shared" si="131"/>
        <v>0.25888888898771256</v>
      </c>
      <c r="R1059" s="13">
        <f t="shared" si="132"/>
        <v>3.6744328703716747</v>
      </c>
      <c r="S1059" s="13">
        <f t="shared" si="133"/>
        <v>9.2833333333328483</v>
      </c>
      <c r="T1059" t="str">
        <f t="shared" si="134"/>
        <v>On Time/Early</v>
      </c>
      <c r="U1059" t="str">
        <f t="shared" si="135"/>
        <v>Normal</v>
      </c>
      <c r="V1059" t="s">
        <v>102</v>
      </c>
    </row>
    <row r="1060" spans="1:22">
      <c r="A1060" t="s">
        <v>1651</v>
      </c>
      <c r="B1060" s="10">
        <v>43133.61310185185</v>
      </c>
      <c r="C1060" s="10">
        <v>43133.637465277781</v>
      </c>
      <c r="D1060" s="10">
        <v>43137.679490740738</v>
      </c>
      <c r="E1060" s="10">
        <v>43141.67050925926</v>
      </c>
      <c r="F1060" s="10">
        <v>43157</v>
      </c>
      <c r="G1060" t="s">
        <v>20</v>
      </c>
      <c r="H1060" t="s">
        <v>750</v>
      </c>
      <c r="I1060" t="s">
        <v>120</v>
      </c>
      <c r="J1060" s="11">
        <v>1</v>
      </c>
      <c r="K1060" s="12">
        <v>149</v>
      </c>
      <c r="L1060" s="12">
        <v>23.84</v>
      </c>
      <c r="M1060" s="13">
        <v>4</v>
      </c>
      <c r="N1060" s="13">
        <f t="shared" si="128"/>
        <v>8.05740740741021</v>
      </c>
      <c r="O1060" s="13">
        <f t="shared" si="129"/>
        <v>0</v>
      </c>
      <c r="P1060" t="str">
        <f t="shared" si="130"/>
        <v>On Time</v>
      </c>
      <c r="Q1060" s="13">
        <f t="shared" si="131"/>
        <v>0.58472222235286608</v>
      </c>
      <c r="R1060" s="13">
        <f t="shared" si="132"/>
        <v>4.0420254629570991</v>
      </c>
      <c r="S1060" s="13">
        <f t="shared" si="133"/>
        <v>3.9910185185217415</v>
      </c>
      <c r="T1060" t="str">
        <f t="shared" si="134"/>
        <v>On Time/Early</v>
      </c>
      <c r="U1060" t="str">
        <f t="shared" si="135"/>
        <v>Normal</v>
      </c>
      <c r="V1060" t="s">
        <v>102</v>
      </c>
    </row>
    <row r="1061" spans="1:22">
      <c r="A1061" t="s">
        <v>1652</v>
      </c>
      <c r="B1061" s="10">
        <v>43133.626539351855</v>
      </c>
      <c r="C1061" s="10">
        <v>43133.637708333335</v>
      </c>
      <c r="D1061" s="10">
        <v>43136.696203703701</v>
      </c>
      <c r="E1061" s="10">
        <v>43137.932974537034</v>
      </c>
      <c r="F1061" s="10">
        <v>43151</v>
      </c>
      <c r="G1061" t="s">
        <v>8</v>
      </c>
      <c r="H1061" t="s">
        <v>140</v>
      </c>
      <c r="I1061" t="s">
        <v>1352</v>
      </c>
      <c r="J1061" s="11">
        <v>1</v>
      </c>
      <c r="K1061" s="12">
        <v>83</v>
      </c>
      <c r="L1061" s="12">
        <v>8.7799999999999994</v>
      </c>
      <c r="M1061" s="13">
        <v>4</v>
      </c>
      <c r="N1061" s="13">
        <f t="shared" si="128"/>
        <v>4.3064351851789979</v>
      </c>
      <c r="O1061" s="13">
        <f t="shared" si="129"/>
        <v>0</v>
      </c>
      <c r="P1061" t="str">
        <f t="shared" si="130"/>
        <v>On Time</v>
      </c>
      <c r="Q1061" s="13">
        <f t="shared" si="131"/>
        <v>0.26805555552709848</v>
      </c>
      <c r="R1061" s="13">
        <f t="shared" si="132"/>
        <v>3.0584953703655628</v>
      </c>
      <c r="S1061" s="13">
        <f t="shared" si="133"/>
        <v>1.2367708333331393</v>
      </c>
      <c r="T1061" t="str">
        <f t="shared" si="134"/>
        <v>On Time/Early</v>
      </c>
      <c r="U1061" t="str">
        <f t="shared" si="135"/>
        <v>Normal</v>
      </c>
      <c r="V1061" t="s">
        <v>102</v>
      </c>
    </row>
    <row r="1062" spans="1:22">
      <c r="A1062" t="s">
        <v>1653</v>
      </c>
      <c r="B1062" s="10">
        <v>43133.643425925926</v>
      </c>
      <c r="C1062" s="10">
        <v>43133.666967592595</v>
      </c>
      <c r="D1062" s="10">
        <v>43136.911944444444</v>
      </c>
      <c r="E1062" s="10">
        <v>43164.772719907407</v>
      </c>
      <c r="F1062" s="10">
        <v>43166</v>
      </c>
      <c r="G1062" t="s">
        <v>8</v>
      </c>
      <c r="H1062" t="s">
        <v>140</v>
      </c>
      <c r="I1062" t="s">
        <v>136</v>
      </c>
      <c r="J1062" s="11">
        <v>1</v>
      </c>
      <c r="K1062" s="12">
        <v>29.5</v>
      </c>
      <c r="L1062" s="12">
        <v>16.11</v>
      </c>
      <c r="M1062" s="13">
        <v>4</v>
      </c>
      <c r="N1062" s="13">
        <f t="shared" si="128"/>
        <v>31.129293981481169</v>
      </c>
      <c r="O1062" s="13">
        <f t="shared" si="129"/>
        <v>0</v>
      </c>
      <c r="P1062" t="str">
        <f t="shared" si="130"/>
        <v>On Time</v>
      </c>
      <c r="Q1062" s="13">
        <f t="shared" si="131"/>
        <v>0.56500000006053597</v>
      </c>
      <c r="R1062" s="13">
        <f t="shared" si="132"/>
        <v>3.24497685184906</v>
      </c>
      <c r="S1062" s="13">
        <f t="shared" si="133"/>
        <v>27.86077546296292</v>
      </c>
      <c r="T1062" t="str">
        <f t="shared" si="134"/>
        <v>On Time/Early</v>
      </c>
      <c r="U1062" t="str">
        <f t="shared" si="135"/>
        <v>Normal</v>
      </c>
      <c r="V1062" t="s">
        <v>102</v>
      </c>
    </row>
    <row r="1063" spans="1:22">
      <c r="A1063" t="s">
        <v>1654</v>
      </c>
      <c r="B1063" s="10">
        <v>43133.748472222222</v>
      </c>
      <c r="C1063" s="10">
        <v>43133.771782407406</v>
      </c>
      <c r="D1063" s="10">
        <v>43139.03193287037</v>
      </c>
      <c r="E1063" s="10">
        <v>43152.758935185186</v>
      </c>
      <c r="F1063" s="10">
        <v>43160</v>
      </c>
      <c r="G1063" t="s">
        <v>320</v>
      </c>
      <c r="H1063" t="s">
        <v>321</v>
      </c>
      <c r="I1063" t="s">
        <v>118</v>
      </c>
      <c r="J1063" s="11">
        <v>1</v>
      </c>
      <c r="K1063" s="12">
        <v>23.99</v>
      </c>
      <c r="L1063" s="12">
        <v>14.1</v>
      </c>
      <c r="M1063" s="13">
        <v>5</v>
      </c>
      <c r="N1063" s="13">
        <f t="shared" si="128"/>
        <v>19.010462962964084</v>
      </c>
      <c r="O1063" s="13">
        <f t="shared" si="129"/>
        <v>0</v>
      </c>
      <c r="P1063" t="str">
        <f t="shared" si="130"/>
        <v>On Time</v>
      </c>
      <c r="Q1063" s="13">
        <f t="shared" si="131"/>
        <v>0.5594444444286637</v>
      </c>
      <c r="R1063" s="13">
        <f t="shared" si="132"/>
        <v>5.260150462963793</v>
      </c>
      <c r="S1063" s="13">
        <f t="shared" si="133"/>
        <v>13.727002314815763</v>
      </c>
      <c r="T1063" t="str">
        <f t="shared" si="134"/>
        <v>On Time/Early</v>
      </c>
      <c r="U1063" t="str">
        <f t="shared" si="135"/>
        <v>Normal</v>
      </c>
      <c r="V1063" t="s">
        <v>102</v>
      </c>
    </row>
    <row r="1064" spans="1:22">
      <c r="A1064" t="s">
        <v>1655</v>
      </c>
      <c r="B1064" s="10">
        <v>43133.852453703701</v>
      </c>
      <c r="C1064" s="10">
        <v>43134.120752314811</v>
      </c>
      <c r="D1064" s="10">
        <v>43136.565995370373</v>
      </c>
      <c r="E1064" s="10">
        <v>43146.553090277775</v>
      </c>
      <c r="F1064" s="10">
        <v>43166</v>
      </c>
      <c r="G1064" t="s">
        <v>33</v>
      </c>
      <c r="H1064" t="s">
        <v>1656</v>
      </c>
      <c r="I1064" t="s">
        <v>118</v>
      </c>
      <c r="J1064" s="11">
        <v>1</v>
      </c>
      <c r="K1064" s="12">
        <v>29.99</v>
      </c>
      <c r="L1064" s="12">
        <v>15.1</v>
      </c>
      <c r="M1064" s="13">
        <v>5</v>
      </c>
      <c r="N1064" s="13">
        <f t="shared" si="128"/>
        <v>12.700636574074451</v>
      </c>
      <c r="O1064" s="13">
        <f t="shared" si="129"/>
        <v>0</v>
      </c>
      <c r="P1064" t="str">
        <f t="shared" si="130"/>
        <v>On Time</v>
      </c>
      <c r="Q1064" s="13">
        <f t="shared" si="131"/>
        <v>6.4391666666488163</v>
      </c>
      <c r="R1064" s="13">
        <f t="shared" si="132"/>
        <v>2.44524305556115</v>
      </c>
      <c r="S1064" s="13">
        <f t="shared" si="133"/>
        <v>9.987094907402934</v>
      </c>
      <c r="T1064" t="str">
        <f t="shared" si="134"/>
        <v>On Time/Early</v>
      </c>
      <c r="U1064" t="str">
        <f t="shared" si="135"/>
        <v>Normal</v>
      </c>
      <c r="V1064" t="s">
        <v>102</v>
      </c>
    </row>
    <row r="1065" spans="1:22">
      <c r="A1065" t="s">
        <v>1657</v>
      </c>
      <c r="B1065" s="10">
        <v>43133.89472222222</v>
      </c>
      <c r="C1065" s="10">
        <v>43134.840416666666</v>
      </c>
      <c r="D1065" s="10">
        <v>43136.760416666664</v>
      </c>
      <c r="E1065" s="10">
        <v>43157.809479166666</v>
      </c>
      <c r="F1065" s="10">
        <v>43165</v>
      </c>
      <c r="G1065" t="s">
        <v>23</v>
      </c>
      <c r="H1065" t="s">
        <v>637</v>
      </c>
      <c r="I1065" t="s">
        <v>120</v>
      </c>
      <c r="J1065" s="11">
        <v>1</v>
      </c>
      <c r="K1065" s="12">
        <v>129.9</v>
      </c>
      <c r="L1065" s="12">
        <v>17.350000000000001</v>
      </c>
      <c r="M1065" s="13">
        <v>5</v>
      </c>
      <c r="N1065" s="13">
        <f t="shared" si="128"/>
        <v>23.914756944446708</v>
      </c>
      <c r="O1065" s="13">
        <f t="shared" si="129"/>
        <v>0</v>
      </c>
      <c r="P1065" t="str">
        <f t="shared" si="130"/>
        <v>On Time</v>
      </c>
      <c r="Q1065" s="13">
        <f t="shared" si="131"/>
        <v>22.696666666714009</v>
      </c>
      <c r="R1065" s="13">
        <f t="shared" si="132"/>
        <v>1.9199999999982538</v>
      </c>
      <c r="S1065" s="13">
        <f t="shared" si="133"/>
        <v>21.049062500002037</v>
      </c>
      <c r="T1065" t="str">
        <f t="shared" si="134"/>
        <v>On Time/Early</v>
      </c>
      <c r="U1065" t="str">
        <f t="shared" si="135"/>
        <v>Normal</v>
      </c>
      <c r="V1065" t="s">
        <v>102</v>
      </c>
    </row>
    <row r="1066" spans="1:22">
      <c r="A1066" t="s">
        <v>1658</v>
      </c>
      <c r="B1066" s="10">
        <v>43134.548368055555</v>
      </c>
      <c r="C1066" s="10">
        <v>43134.562858796293</v>
      </c>
      <c r="D1066" s="10">
        <v>43136.971145833333</v>
      </c>
      <c r="E1066" s="10">
        <v>43147.94090277778</v>
      </c>
      <c r="F1066" s="10">
        <v>43160</v>
      </c>
      <c r="G1066" t="s">
        <v>36</v>
      </c>
      <c r="H1066" t="s">
        <v>467</v>
      </c>
      <c r="I1066" t="s">
        <v>120</v>
      </c>
      <c r="J1066" s="11">
        <v>1</v>
      </c>
      <c r="K1066" s="12">
        <v>74.900000000000006</v>
      </c>
      <c r="L1066" s="12">
        <v>12.65</v>
      </c>
      <c r="M1066" s="13">
        <v>4</v>
      </c>
      <c r="N1066" s="13">
        <f t="shared" si="128"/>
        <v>13.392534722224809</v>
      </c>
      <c r="O1066" s="13">
        <f t="shared" si="129"/>
        <v>0</v>
      </c>
      <c r="P1066" t="str">
        <f t="shared" si="130"/>
        <v>On Time</v>
      </c>
      <c r="Q1066" s="13">
        <f t="shared" si="131"/>
        <v>0.34777777770068496</v>
      </c>
      <c r="R1066" s="13">
        <f t="shared" si="132"/>
        <v>2.4082870370402816</v>
      </c>
      <c r="S1066" s="13">
        <f t="shared" si="133"/>
        <v>10.969756944446999</v>
      </c>
      <c r="T1066" t="str">
        <f t="shared" si="134"/>
        <v>On Time/Early</v>
      </c>
      <c r="U1066" t="str">
        <f t="shared" si="135"/>
        <v>Normal</v>
      </c>
      <c r="V1066" t="s">
        <v>102</v>
      </c>
    </row>
    <row r="1067" spans="1:22">
      <c r="A1067" t="s">
        <v>1659</v>
      </c>
      <c r="B1067" s="10">
        <v>43134.855324074073</v>
      </c>
      <c r="C1067" s="10">
        <v>43134.868125000001</v>
      </c>
      <c r="D1067" s="10">
        <v>43139.860567129632</v>
      </c>
      <c r="E1067" s="10">
        <v>43153.915960648148</v>
      </c>
      <c r="F1067" s="10">
        <v>43161</v>
      </c>
      <c r="G1067" t="s">
        <v>16</v>
      </c>
      <c r="H1067" t="s">
        <v>138</v>
      </c>
      <c r="I1067" t="s">
        <v>252</v>
      </c>
      <c r="J1067" s="11">
        <v>1</v>
      </c>
      <c r="K1067" s="12">
        <v>69.900000000000006</v>
      </c>
      <c r="L1067" s="12">
        <v>17.739999999999998</v>
      </c>
      <c r="M1067" s="13">
        <v>5</v>
      </c>
      <c r="N1067" s="13">
        <f t="shared" si="128"/>
        <v>19.060636574075033</v>
      </c>
      <c r="O1067" s="13">
        <f t="shared" si="129"/>
        <v>0</v>
      </c>
      <c r="P1067" t="str">
        <f t="shared" si="130"/>
        <v>On Time</v>
      </c>
      <c r="Q1067" s="13">
        <f t="shared" si="131"/>
        <v>0.30722222226904705</v>
      </c>
      <c r="R1067" s="13">
        <f t="shared" si="132"/>
        <v>4.9924421296309447</v>
      </c>
      <c r="S1067" s="13">
        <f t="shared" si="133"/>
        <v>14.055393518516212</v>
      </c>
      <c r="T1067" t="str">
        <f t="shared" si="134"/>
        <v>On Time/Early</v>
      </c>
      <c r="U1067" t="str">
        <f t="shared" si="135"/>
        <v>Normal</v>
      </c>
      <c r="V1067" t="s">
        <v>102</v>
      </c>
    </row>
    <row r="1068" spans="1:22">
      <c r="A1068" t="s">
        <v>1660</v>
      </c>
      <c r="B1068" s="10">
        <v>43134.905821759261</v>
      </c>
      <c r="C1068" s="10">
        <v>43134.913437499999</v>
      </c>
      <c r="D1068" s="10">
        <v>43147.711030092592</v>
      </c>
      <c r="E1068" s="10">
        <v>43157.582569444443</v>
      </c>
      <c r="F1068" s="10">
        <v>43179</v>
      </c>
      <c r="G1068" t="s">
        <v>43</v>
      </c>
      <c r="H1068" t="s">
        <v>1661</v>
      </c>
      <c r="I1068" t="s">
        <v>120</v>
      </c>
      <c r="J1068" s="11">
        <v>1</v>
      </c>
      <c r="K1068" s="12">
        <v>27.9</v>
      </c>
      <c r="L1068" s="12">
        <v>16.79</v>
      </c>
      <c r="M1068" s="13"/>
      <c r="N1068" s="13">
        <f t="shared" si="128"/>
        <v>22.676747685181908</v>
      </c>
      <c r="O1068" s="13">
        <f t="shared" si="129"/>
        <v>0</v>
      </c>
      <c r="P1068" t="str">
        <f t="shared" si="130"/>
        <v>On Time</v>
      </c>
      <c r="Q1068" s="13">
        <f t="shared" si="131"/>
        <v>0.18277777772163972</v>
      </c>
      <c r="R1068" s="13">
        <f t="shared" si="132"/>
        <v>12.797592592592991</v>
      </c>
      <c r="S1068" s="13">
        <f t="shared" si="133"/>
        <v>9.8715393518505152</v>
      </c>
      <c r="T1068" t="str">
        <f t="shared" si="134"/>
        <v>On Time/Early</v>
      </c>
      <c r="U1068" t="str">
        <f t="shared" si="135"/>
        <v>Normal</v>
      </c>
      <c r="V1068" t="s">
        <v>102</v>
      </c>
    </row>
    <row r="1069" spans="1:22">
      <c r="A1069" t="s">
        <v>1662</v>
      </c>
      <c r="B1069" s="10">
        <v>43135.924479166664</v>
      </c>
      <c r="C1069" s="10">
        <v>43135.937291666669</v>
      </c>
      <c r="D1069" s="10">
        <v>43138.9841087963</v>
      </c>
      <c r="E1069" s="10">
        <v>43140.881111111114</v>
      </c>
      <c r="F1069" s="10">
        <v>43157</v>
      </c>
      <c r="G1069" t="s">
        <v>8</v>
      </c>
      <c r="H1069" t="s">
        <v>907</v>
      </c>
      <c r="I1069" t="s">
        <v>120</v>
      </c>
      <c r="J1069" s="11">
        <v>1</v>
      </c>
      <c r="K1069" s="12">
        <v>180</v>
      </c>
      <c r="L1069" s="12">
        <v>10.01</v>
      </c>
      <c r="M1069" s="13">
        <v>4</v>
      </c>
      <c r="N1069" s="13">
        <f t="shared" si="128"/>
        <v>4.9566319444493274</v>
      </c>
      <c r="O1069" s="13">
        <f t="shared" si="129"/>
        <v>0</v>
      </c>
      <c r="P1069" t="str">
        <f t="shared" si="130"/>
        <v>On Time</v>
      </c>
      <c r="Q1069" s="13">
        <f t="shared" si="131"/>
        <v>0.30750000011175871</v>
      </c>
      <c r="R1069" s="13">
        <f t="shared" si="132"/>
        <v>3.0468171296306537</v>
      </c>
      <c r="S1069" s="13">
        <f t="shared" si="133"/>
        <v>1.8970023148140172</v>
      </c>
      <c r="T1069" t="str">
        <f t="shared" si="134"/>
        <v>On Time/Early</v>
      </c>
      <c r="U1069" t="str">
        <f t="shared" si="135"/>
        <v>Normal</v>
      </c>
      <c r="V1069" t="s">
        <v>102</v>
      </c>
    </row>
    <row r="1070" spans="1:22">
      <c r="A1070" t="s">
        <v>1663</v>
      </c>
      <c r="B1070" s="10">
        <v>43136.435243055559</v>
      </c>
      <c r="C1070" s="10">
        <v>43136.45140046296</v>
      </c>
      <c r="D1070" s="10">
        <v>43137.946527777778</v>
      </c>
      <c r="E1070" s="10">
        <v>43150.718819444446</v>
      </c>
      <c r="F1070" s="10">
        <v>43161</v>
      </c>
      <c r="G1070" t="s">
        <v>36</v>
      </c>
      <c r="H1070" t="s">
        <v>467</v>
      </c>
      <c r="I1070" t="s">
        <v>31</v>
      </c>
      <c r="J1070" s="11">
        <v>1</v>
      </c>
      <c r="K1070" s="12">
        <v>13.65</v>
      </c>
      <c r="L1070" s="12">
        <v>14.1</v>
      </c>
      <c r="M1070" s="13">
        <v>5</v>
      </c>
      <c r="N1070" s="13">
        <f t="shared" si="128"/>
        <v>14.283576388887013</v>
      </c>
      <c r="O1070" s="13">
        <f t="shared" si="129"/>
        <v>0</v>
      </c>
      <c r="P1070" t="str">
        <f t="shared" si="130"/>
        <v>On Time</v>
      </c>
      <c r="Q1070" s="13">
        <f t="shared" si="131"/>
        <v>0.38777777762152255</v>
      </c>
      <c r="R1070" s="13">
        <f t="shared" si="132"/>
        <v>1.4951273148180917</v>
      </c>
      <c r="S1070" s="13">
        <f t="shared" si="133"/>
        <v>12.772291666668025</v>
      </c>
      <c r="T1070" t="str">
        <f t="shared" si="134"/>
        <v>On Time/Early</v>
      </c>
      <c r="U1070" t="str">
        <f t="shared" si="135"/>
        <v>Normal</v>
      </c>
      <c r="V1070" t="s">
        <v>102</v>
      </c>
    </row>
    <row r="1071" spans="1:22">
      <c r="A1071" t="s">
        <v>1664</v>
      </c>
      <c r="B1071" s="10">
        <v>43136.471967592595</v>
      </c>
      <c r="C1071" s="10">
        <v>43136.483298611114</v>
      </c>
      <c r="D1071" s="10">
        <v>43139.794247685182</v>
      </c>
      <c r="E1071" s="10">
        <v>43146.743703703702</v>
      </c>
      <c r="F1071" s="10">
        <v>43165</v>
      </c>
      <c r="G1071" t="s">
        <v>23</v>
      </c>
      <c r="H1071" t="s">
        <v>275</v>
      </c>
      <c r="I1071" t="s">
        <v>180</v>
      </c>
      <c r="J1071" s="11">
        <v>1</v>
      </c>
      <c r="K1071" s="12">
        <v>32.200000000000003</v>
      </c>
      <c r="L1071" s="12">
        <v>16.920000000000002</v>
      </c>
      <c r="M1071" s="13">
        <v>5</v>
      </c>
      <c r="N1071" s="13">
        <f t="shared" si="128"/>
        <v>10.271736111106293</v>
      </c>
      <c r="O1071" s="13">
        <f t="shared" si="129"/>
        <v>0</v>
      </c>
      <c r="P1071" t="str">
        <f t="shared" si="130"/>
        <v>On Time</v>
      </c>
      <c r="Q1071" s="13">
        <f t="shared" si="131"/>
        <v>0.27194444445194677</v>
      </c>
      <c r="R1071" s="13">
        <f t="shared" si="132"/>
        <v>3.3109490740680485</v>
      </c>
      <c r="S1071" s="13">
        <f t="shared" si="133"/>
        <v>6.9494560185194132</v>
      </c>
      <c r="T1071" t="str">
        <f t="shared" si="134"/>
        <v>On Time/Early</v>
      </c>
      <c r="U1071" t="str">
        <f t="shared" si="135"/>
        <v>Normal</v>
      </c>
      <c r="V1071" t="s">
        <v>102</v>
      </c>
    </row>
    <row r="1072" spans="1:22">
      <c r="A1072" t="s">
        <v>1665</v>
      </c>
      <c r="B1072" s="10">
        <v>43136.584780092591</v>
      </c>
      <c r="C1072" s="10">
        <v>43136.594131944446</v>
      </c>
      <c r="D1072" s="10">
        <v>43137.986493055556</v>
      </c>
      <c r="E1072" s="10">
        <v>43139.516180555554</v>
      </c>
      <c r="F1072" s="10">
        <v>43161</v>
      </c>
      <c r="G1072" t="s">
        <v>8</v>
      </c>
      <c r="H1072" t="s">
        <v>1666</v>
      </c>
      <c r="I1072" t="s">
        <v>136</v>
      </c>
      <c r="J1072" s="11">
        <v>1</v>
      </c>
      <c r="K1072" s="12">
        <v>107</v>
      </c>
      <c r="L1072" s="12">
        <v>12.25</v>
      </c>
      <c r="M1072" s="13">
        <v>5</v>
      </c>
      <c r="N1072" s="13">
        <f t="shared" si="128"/>
        <v>2.9314004629632109</v>
      </c>
      <c r="O1072" s="13">
        <f t="shared" si="129"/>
        <v>0</v>
      </c>
      <c r="P1072" t="str">
        <f t="shared" si="130"/>
        <v>On Time</v>
      </c>
      <c r="Q1072" s="13">
        <f t="shared" si="131"/>
        <v>0.22444444452412426</v>
      </c>
      <c r="R1072" s="13">
        <f t="shared" si="132"/>
        <v>1.3923611111094942</v>
      </c>
      <c r="S1072" s="13">
        <f t="shared" si="133"/>
        <v>1.5296874999985448</v>
      </c>
      <c r="T1072" t="str">
        <f t="shared" si="134"/>
        <v>On Time/Early</v>
      </c>
      <c r="U1072" t="str">
        <f t="shared" si="135"/>
        <v>Normal</v>
      </c>
      <c r="V1072" t="s">
        <v>102</v>
      </c>
    </row>
    <row r="1073" spans="1:22">
      <c r="A1073" t="s">
        <v>1667</v>
      </c>
      <c r="B1073" s="10">
        <v>43136.615358796298</v>
      </c>
      <c r="C1073" s="10">
        <v>43136.621898148151</v>
      </c>
      <c r="D1073" s="10">
        <v>43139.824791666666</v>
      </c>
      <c r="E1073" s="10">
        <v>43150.440937500003</v>
      </c>
      <c r="F1073" s="10">
        <v>43164</v>
      </c>
      <c r="G1073" t="s">
        <v>36</v>
      </c>
      <c r="H1073" t="s">
        <v>467</v>
      </c>
      <c r="I1073" t="s">
        <v>154</v>
      </c>
      <c r="J1073" s="11">
        <v>1</v>
      </c>
      <c r="K1073" s="12">
        <v>105</v>
      </c>
      <c r="L1073" s="12">
        <v>22.6</v>
      </c>
      <c r="M1073" s="13">
        <v>5</v>
      </c>
      <c r="N1073" s="13">
        <f t="shared" si="128"/>
        <v>13.825578703705105</v>
      </c>
      <c r="O1073" s="13">
        <f t="shared" si="129"/>
        <v>0</v>
      </c>
      <c r="P1073" t="str">
        <f t="shared" si="130"/>
        <v>On Time</v>
      </c>
      <c r="Q1073" s="13">
        <f t="shared" si="131"/>
        <v>0.15694444446125999</v>
      </c>
      <c r="R1073" s="13">
        <f t="shared" si="132"/>
        <v>3.2028935185153387</v>
      </c>
      <c r="S1073" s="13">
        <f t="shared" si="133"/>
        <v>10.616145833337214</v>
      </c>
      <c r="T1073" t="str">
        <f t="shared" si="134"/>
        <v>On Time/Early</v>
      </c>
      <c r="U1073" t="str">
        <f t="shared" si="135"/>
        <v>Normal</v>
      </c>
      <c r="V1073" t="s">
        <v>102</v>
      </c>
    </row>
    <row r="1074" spans="1:22">
      <c r="A1074" t="s">
        <v>1668</v>
      </c>
      <c r="B1074" s="10">
        <v>43136.747986111113</v>
      </c>
      <c r="C1074" s="10">
        <v>43136.760810185187</v>
      </c>
      <c r="D1074" s="10">
        <v>43137.89806712963</v>
      </c>
      <c r="E1074" s="10">
        <v>43139.130196759259</v>
      </c>
      <c r="F1074" s="10">
        <v>43152</v>
      </c>
      <c r="G1074" t="s">
        <v>8</v>
      </c>
      <c r="H1074" t="s">
        <v>161</v>
      </c>
      <c r="I1074" t="s">
        <v>149</v>
      </c>
      <c r="J1074" s="11">
        <v>1</v>
      </c>
      <c r="K1074" s="12">
        <v>157.77000000000001</v>
      </c>
      <c r="L1074" s="12">
        <v>9.3000000000000007</v>
      </c>
      <c r="M1074" s="13">
        <v>1</v>
      </c>
      <c r="N1074" s="13">
        <f t="shared" si="128"/>
        <v>2.3822106481457013</v>
      </c>
      <c r="O1074" s="13">
        <f t="shared" si="129"/>
        <v>0</v>
      </c>
      <c r="P1074" t="str">
        <f t="shared" si="130"/>
        <v>On Time</v>
      </c>
      <c r="Q1074" s="13">
        <f t="shared" si="131"/>
        <v>0.30777777777984738</v>
      </c>
      <c r="R1074" s="13">
        <f t="shared" si="132"/>
        <v>1.1372569444429246</v>
      </c>
      <c r="S1074" s="13">
        <f t="shared" si="133"/>
        <v>1.2321296296286164</v>
      </c>
      <c r="T1074" t="str">
        <f t="shared" si="134"/>
        <v>On Time/Early</v>
      </c>
      <c r="U1074" t="str">
        <f t="shared" si="135"/>
        <v>Normal</v>
      </c>
      <c r="V1074" t="s">
        <v>102</v>
      </c>
    </row>
    <row r="1075" spans="1:22">
      <c r="A1075" t="s">
        <v>1669</v>
      </c>
      <c r="B1075" s="10">
        <v>43136.886388888888</v>
      </c>
      <c r="C1075" s="10">
        <v>43137.691435185188</v>
      </c>
      <c r="D1075" s="10">
        <v>43138.72388888889</v>
      </c>
      <c r="E1075" s="10">
        <v>43149.617986111109</v>
      </c>
      <c r="F1075" s="10">
        <v>43165</v>
      </c>
      <c r="G1075" t="s">
        <v>8</v>
      </c>
      <c r="H1075" t="s">
        <v>140</v>
      </c>
      <c r="I1075" t="s">
        <v>180</v>
      </c>
      <c r="J1075" s="11">
        <v>1</v>
      </c>
      <c r="K1075" s="12">
        <v>39.99</v>
      </c>
      <c r="L1075" s="12">
        <v>11.85</v>
      </c>
      <c r="M1075" s="13">
        <v>4</v>
      </c>
      <c r="N1075" s="13">
        <f t="shared" si="128"/>
        <v>12.731597222220444</v>
      </c>
      <c r="O1075" s="13">
        <f t="shared" si="129"/>
        <v>0</v>
      </c>
      <c r="P1075" t="str">
        <f t="shared" si="130"/>
        <v>On Time</v>
      </c>
      <c r="Q1075" s="13">
        <f t="shared" si="131"/>
        <v>19.321111111203209</v>
      </c>
      <c r="R1075" s="13">
        <f t="shared" si="132"/>
        <v>1.0324537037013215</v>
      </c>
      <c r="S1075" s="13">
        <f t="shared" si="133"/>
        <v>10.894097222218988</v>
      </c>
      <c r="T1075" t="str">
        <f t="shared" si="134"/>
        <v>On Time/Early</v>
      </c>
      <c r="U1075" t="str">
        <f t="shared" si="135"/>
        <v>Normal</v>
      </c>
      <c r="V1075" t="s">
        <v>102</v>
      </c>
    </row>
    <row r="1076" spans="1:22">
      <c r="A1076" t="s">
        <v>1670</v>
      </c>
      <c r="B1076" s="10">
        <v>43136.975023148145</v>
      </c>
      <c r="C1076" s="10">
        <v>43136.982905092591</v>
      </c>
      <c r="D1076" s="10">
        <v>43138.831828703704</v>
      </c>
      <c r="E1076" s="10">
        <v>43151.656377314815</v>
      </c>
      <c r="F1076" s="10">
        <v>43166</v>
      </c>
      <c r="G1076" t="s">
        <v>57</v>
      </c>
      <c r="H1076" t="s">
        <v>254</v>
      </c>
      <c r="I1076" t="s">
        <v>58</v>
      </c>
      <c r="J1076" s="11">
        <v>1</v>
      </c>
      <c r="K1076" s="12">
        <v>46.9</v>
      </c>
      <c r="L1076" s="12">
        <v>21.15</v>
      </c>
      <c r="M1076" s="13">
        <v>3</v>
      </c>
      <c r="N1076" s="13">
        <f t="shared" si="128"/>
        <v>14.681354166670644</v>
      </c>
      <c r="O1076" s="13">
        <f t="shared" si="129"/>
        <v>0</v>
      </c>
      <c r="P1076" t="str">
        <f t="shared" si="130"/>
        <v>On Time</v>
      </c>
      <c r="Q1076" s="13">
        <f t="shared" si="131"/>
        <v>0.18916666670702398</v>
      </c>
      <c r="R1076" s="13">
        <f t="shared" si="132"/>
        <v>1.8489236111126957</v>
      </c>
      <c r="S1076" s="13">
        <f t="shared" si="133"/>
        <v>12.824548611111823</v>
      </c>
      <c r="T1076" t="str">
        <f t="shared" si="134"/>
        <v>On Time/Early</v>
      </c>
      <c r="U1076" t="str">
        <f t="shared" si="135"/>
        <v>Normal</v>
      </c>
      <c r="V1076" t="s">
        <v>102</v>
      </c>
    </row>
    <row r="1077" spans="1:22">
      <c r="A1077" t="s">
        <v>1671</v>
      </c>
      <c r="B1077" s="10">
        <v>43137.352210648147</v>
      </c>
      <c r="C1077" s="10">
        <v>43137.367824074077</v>
      </c>
      <c r="D1077" s="10">
        <v>43137.821759259263</v>
      </c>
      <c r="E1077" s="10">
        <v>43139.659004629626</v>
      </c>
      <c r="F1077" s="10">
        <v>43164</v>
      </c>
      <c r="G1077" t="s">
        <v>20</v>
      </c>
      <c r="H1077" t="s">
        <v>617</v>
      </c>
      <c r="I1077" t="s">
        <v>185</v>
      </c>
      <c r="J1077" s="11">
        <v>1</v>
      </c>
      <c r="K1077" s="12">
        <v>19</v>
      </c>
      <c r="L1077" s="12">
        <v>14.1</v>
      </c>
      <c r="M1077" s="13">
        <v>5</v>
      </c>
      <c r="N1077" s="13">
        <f t="shared" si="128"/>
        <v>2.3067939814791316</v>
      </c>
      <c r="O1077" s="13">
        <f t="shared" si="129"/>
        <v>0</v>
      </c>
      <c r="P1077" t="str">
        <f t="shared" si="130"/>
        <v>On Time</v>
      </c>
      <c r="Q1077" s="13">
        <f t="shared" si="131"/>
        <v>0.37472222233191133</v>
      </c>
      <c r="R1077" s="13">
        <f t="shared" si="132"/>
        <v>0.45393518518540077</v>
      </c>
      <c r="S1077" s="13">
        <f t="shared" si="133"/>
        <v>1.8372453703632345</v>
      </c>
      <c r="T1077" t="str">
        <f t="shared" si="134"/>
        <v>On Time/Early</v>
      </c>
      <c r="U1077" t="str">
        <f t="shared" si="135"/>
        <v>Normal</v>
      </c>
      <c r="V1077" t="s">
        <v>102</v>
      </c>
    </row>
    <row r="1078" spans="1:22">
      <c r="A1078" t="s">
        <v>1672</v>
      </c>
      <c r="B1078" s="10">
        <v>43137.412615740737</v>
      </c>
      <c r="C1078" s="10">
        <v>43137.424826388888</v>
      </c>
      <c r="D1078" s="10">
        <v>43137.912048611113</v>
      </c>
      <c r="E1078" s="10">
        <v>43150.609247685185</v>
      </c>
      <c r="F1078" s="10">
        <v>43167</v>
      </c>
      <c r="G1078" t="s">
        <v>110</v>
      </c>
      <c r="H1078" t="s">
        <v>1673</v>
      </c>
      <c r="I1078" t="s">
        <v>180</v>
      </c>
      <c r="J1078" s="11">
        <v>1</v>
      </c>
      <c r="K1078" s="12">
        <v>43.92</v>
      </c>
      <c r="L1078" s="12">
        <v>20.84</v>
      </c>
      <c r="M1078" s="13">
        <v>5</v>
      </c>
      <c r="N1078" s="13">
        <f t="shared" si="128"/>
        <v>13.19663194444729</v>
      </c>
      <c r="O1078" s="13">
        <f t="shared" si="129"/>
        <v>0</v>
      </c>
      <c r="P1078" t="str">
        <f t="shared" si="130"/>
        <v>On Time</v>
      </c>
      <c r="Q1078" s="13">
        <f t="shared" si="131"/>
        <v>0.2930555556085892</v>
      </c>
      <c r="R1078" s="13">
        <f t="shared" si="132"/>
        <v>0.48722222222568234</v>
      </c>
      <c r="S1078" s="13">
        <f t="shared" si="133"/>
        <v>12.69719907407125</v>
      </c>
      <c r="T1078" t="str">
        <f t="shared" si="134"/>
        <v>On Time/Early</v>
      </c>
      <c r="U1078" t="str">
        <f t="shared" si="135"/>
        <v>Normal</v>
      </c>
      <c r="V1078" t="s">
        <v>102</v>
      </c>
    </row>
    <row r="1079" spans="1:22">
      <c r="A1079" t="s">
        <v>1674</v>
      </c>
      <c r="B1079" s="10">
        <v>43137.534201388888</v>
      </c>
      <c r="C1079" s="10">
        <v>43138.119525462964</v>
      </c>
      <c r="D1079" s="10">
        <v>43139.027685185189</v>
      </c>
      <c r="E1079" s="10">
        <v>43155.716967592591</v>
      </c>
      <c r="F1079" s="10">
        <v>43164</v>
      </c>
      <c r="G1079" t="s">
        <v>20</v>
      </c>
      <c r="H1079" t="s">
        <v>127</v>
      </c>
      <c r="I1079" t="s">
        <v>141</v>
      </c>
      <c r="J1079" s="11">
        <v>1</v>
      </c>
      <c r="K1079" s="12">
        <v>265</v>
      </c>
      <c r="L1079" s="12">
        <v>23.99</v>
      </c>
      <c r="M1079" s="13">
        <v>2</v>
      </c>
      <c r="N1079" s="13">
        <f t="shared" si="128"/>
        <v>18.182766203703068</v>
      </c>
      <c r="O1079" s="13">
        <f t="shared" si="129"/>
        <v>0</v>
      </c>
      <c r="P1079" t="str">
        <f t="shared" si="130"/>
        <v>On Time</v>
      </c>
      <c r="Q1079" s="13">
        <f t="shared" si="131"/>
        <v>14.047777777828742</v>
      </c>
      <c r="R1079" s="13">
        <f t="shared" si="132"/>
        <v>0.90815972222480923</v>
      </c>
      <c r="S1079" s="13">
        <f t="shared" si="133"/>
        <v>16.689282407402061</v>
      </c>
      <c r="T1079" t="str">
        <f t="shared" si="134"/>
        <v>On Time/Early</v>
      </c>
      <c r="U1079" t="str">
        <f t="shared" si="135"/>
        <v>Normal</v>
      </c>
      <c r="V1079" t="s">
        <v>102</v>
      </c>
    </row>
    <row r="1080" spans="1:22">
      <c r="A1080" t="s">
        <v>1675</v>
      </c>
      <c r="B1080" s="10">
        <v>43137.648402777777</v>
      </c>
      <c r="C1080" s="10">
        <v>43137.674861111111</v>
      </c>
      <c r="D1080" s="10">
        <v>43139.88354166667</v>
      </c>
      <c r="E1080" s="10">
        <v>43140.838402777779</v>
      </c>
      <c r="F1080" s="10">
        <v>43168</v>
      </c>
      <c r="G1080" t="s">
        <v>8</v>
      </c>
      <c r="H1080" t="s">
        <v>403</v>
      </c>
      <c r="I1080" t="s">
        <v>141</v>
      </c>
      <c r="J1080" s="11">
        <v>1</v>
      </c>
      <c r="K1080" s="12">
        <v>22.99</v>
      </c>
      <c r="L1080" s="12">
        <v>13.37</v>
      </c>
      <c r="M1080" s="13">
        <v>4</v>
      </c>
      <c r="N1080" s="13">
        <f t="shared" si="128"/>
        <v>3.1900000000023283</v>
      </c>
      <c r="O1080" s="13">
        <f t="shared" si="129"/>
        <v>0</v>
      </c>
      <c r="P1080" t="str">
        <f t="shared" si="130"/>
        <v>On Time</v>
      </c>
      <c r="Q1080" s="13">
        <f t="shared" si="131"/>
        <v>0.63500000000931323</v>
      </c>
      <c r="R1080" s="13">
        <f t="shared" si="132"/>
        <v>2.2086805555591127</v>
      </c>
      <c r="S1080" s="13">
        <f t="shared" si="133"/>
        <v>0.95486111110949423</v>
      </c>
      <c r="T1080" t="str">
        <f t="shared" si="134"/>
        <v>On Time/Early</v>
      </c>
      <c r="U1080" t="str">
        <f t="shared" si="135"/>
        <v>Normal</v>
      </c>
      <c r="V1080" t="s">
        <v>102</v>
      </c>
    </row>
    <row r="1081" spans="1:22">
      <c r="A1081" t="s">
        <v>1676</v>
      </c>
      <c r="B1081" s="10">
        <v>43137.679456018515</v>
      </c>
      <c r="C1081" s="10">
        <v>43138.122048611112</v>
      </c>
      <c r="D1081" s="10">
        <v>43145.746793981481</v>
      </c>
      <c r="E1081" s="10">
        <v>43159.499641203707</v>
      </c>
      <c r="F1081" s="10">
        <v>43164</v>
      </c>
      <c r="G1081" t="s">
        <v>20</v>
      </c>
      <c r="H1081" t="s">
        <v>391</v>
      </c>
      <c r="I1081" t="s">
        <v>128</v>
      </c>
      <c r="J1081" s="11">
        <v>1</v>
      </c>
      <c r="K1081" s="12">
        <v>49.9</v>
      </c>
      <c r="L1081" s="12">
        <v>17.600000000000001</v>
      </c>
      <c r="M1081" s="13">
        <v>3</v>
      </c>
      <c r="N1081" s="13">
        <f t="shared" si="128"/>
        <v>21.820185185191804</v>
      </c>
      <c r="O1081" s="13">
        <f t="shared" si="129"/>
        <v>0</v>
      </c>
      <c r="P1081" t="str">
        <f t="shared" si="130"/>
        <v>On Time</v>
      </c>
      <c r="Q1081" s="13">
        <f t="shared" si="131"/>
        <v>10.622222222329583</v>
      </c>
      <c r="R1081" s="13">
        <f t="shared" si="132"/>
        <v>7.6247453703690553</v>
      </c>
      <c r="S1081" s="13">
        <f t="shared" si="133"/>
        <v>13.752847222225682</v>
      </c>
      <c r="T1081" t="str">
        <f t="shared" si="134"/>
        <v>On Time/Early</v>
      </c>
      <c r="U1081" t="str">
        <f t="shared" si="135"/>
        <v>Normal</v>
      </c>
      <c r="V1081" t="s">
        <v>102</v>
      </c>
    </row>
    <row r="1082" spans="1:22">
      <c r="A1082" t="s">
        <v>1677</v>
      </c>
      <c r="B1082" s="10">
        <v>43137.755196759259</v>
      </c>
      <c r="C1082" s="10">
        <v>43137.760833333334</v>
      </c>
      <c r="D1082" s="10">
        <v>43138.849062499998</v>
      </c>
      <c r="E1082" s="10">
        <v>43154.998032407406</v>
      </c>
      <c r="F1082" s="10">
        <v>43165</v>
      </c>
      <c r="G1082" t="s">
        <v>164</v>
      </c>
      <c r="H1082" t="s">
        <v>1678</v>
      </c>
      <c r="I1082" t="s">
        <v>31</v>
      </c>
      <c r="J1082" s="11">
        <v>1</v>
      </c>
      <c r="K1082" s="12">
        <v>13.65</v>
      </c>
      <c r="L1082" s="12">
        <v>15.1</v>
      </c>
      <c r="M1082" s="13">
        <v>5</v>
      </c>
      <c r="N1082" s="13">
        <f t="shared" si="128"/>
        <v>17.242835648146865</v>
      </c>
      <c r="O1082" s="13">
        <f t="shared" si="129"/>
        <v>0</v>
      </c>
      <c r="P1082" t="str">
        <f t="shared" si="130"/>
        <v>On Time</v>
      </c>
      <c r="Q1082" s="13">
        <f t="shared" si="131"/>
        <v>0.13527777779381722</v>
      </c>
      <c r="R1082" s="13">
        <f t="shared" si="132"/>
        <v>1.0882291666639503</v>
      </c>
      <c r="S1082" s="13">
        <f t="shared" si="133"/>
        <v>16.148969907408173</v>
      </c>
      <c r="T1082" t="str">
        <f t="shared" si="134"/>
        <v>On Time/Early</v>
      </c>
      <c r="U1082" t="str">
        <f t="shared" si="135"/>
        <v>Normal</v>
      </c>
      <c r="V1082" t="s">
        <v>102</v>
      </c>
    </row>
    <row r="1083" spans="1:22">
      <c r="A1083" t="s">
        <v>1679</v>
      </c>
      <c r="B1083" s="10">
        <v>43137.781041666669</v>
      </c>
      <c r="C1083" s="10">
        <v>43137.81354166667</v>
      </c>
      <c r="D1083" s="10">
        <v>43138.894699074073</v>
      </c>
      <c r="E1083" s="10">
        <v>43140.747870370367</v>
      </c>
      <c r="F1083" s="10">
        <v>43161</v>
      </c>
      <c r="G1083" t="s">
        <v>8</v>
      </c>
      <c r="H1083" t="s">
        <v>665</v>
      </c>
      <c r="I1083" t="s">
        <v>136</v>
      </c>
      <c r="J1083" s="11">
        <v>1</v>
      </c>
      <c r="K1083" s="12">
        <v>149</v>
      </c>
      <c r="L1083" s="12">
        <v>14.06</v>
      </c>
      <c r="M1083" s="13">
        <v>5</v>
      </c>
      <c r="N1083" s="13">
        <f t="shared" si="128"/>
        <v>2.9668287036984111</v>
      </c>
      <c r="O1083" s="13">
        <f t="shared" si="129"/>
        <v>0</v>
      </c>
      <c r="P1083" t="str">
        <f t="shared" si="130"/>
        <v>On Time</v>
      </c>
      <c r="Q1083" s="13">
        <f t="shared" si="131"/>
        <v>0.78000000002793968</v>
      </c>
      <c r="R1083" s="13">
        <f t="shared" si="132"/>
        <v>1.0811574074032251</v>
      </c>
      <c r="S1083" s="13">
        <f t="shared" si="133"/>
        <v>1.8531712962940219</v>
      </c>
      <c r="T1083" t="str">
        <f t="shared" si="134"/>
        <v>On Time/Early</v>
      </c>
      <c r="U1083" t="str">
        <f t="shared" si="135"/>
        <v>Normal</v>
      </c>
      <c r="V1083" t="s">
        <v>102</v>
      </c>
    </row>
    <row r="1084" spans="1:22">
      <c r="A1084" t="s">
        <v>1680</v>
      </c>
      <c r="B1084" s="10">
        <v>43137.857719907406</v>
      </c>
      <c r="C1084" s="10">
        <v>43137.868506944447</v>
      </c>
      <c r="D1084" s="10">
        <v>43151.951678240737</v>
      </c>
      <c r="E1084" s="10">
        <v>43174.689189814817</v>
      </c>
      <c r="F1084" s="10">
        <v>43188</v>
      </c>
      <c r="G1084" t="s">
        <v>30</v>
      </c>
      <c r="H1084" t="s">
        <v>1681</v>
      </c>
      <c r="I1084" t="s">
        <v>37</v>
      </c>
      <c r="J1084" s="11">
        <v>1</v>
      </c>
      <c r="K1084" s="12">
        <v>192.99</v>
      </c>
      <c r="L1084" s="12">
        <v>70.23</v>
      </c>
      <c r="M1084" s="13">
        <v>4</v>
      </c>
      <c r="N1084" s="13">
        <f t="shared" si="128"/>
        <v>36.831469907410792</v>
      </c>
      <c r="O1084" s="13">
        <f t="shared" si="129"/>
        <v>0</v>
      </c>
      <c r="P1084" t="str">
        <f t="shared" si="130"/>
        <v>On Time</v>
      </c>
      <c r="Q1084" s="13">
        <f t="shared" si="131"/>
        <v>0.25888888898771256</v>
      </c>
      <c r="R1084" s="13">
        <f t="shared" si="132"/>
        <v>14.083171296289947</v>
      </c>
      <c r="S1084" s="13">
        <f t="shared" si="133"/>
        <v>22.73751157407969</v>
      </c>
      <c r="T1084" t="str">
        <f t="shared" si="134"/>
        <v>On Time/Early</v>
      </c>
      <c r="U1084" t="str">
        <f t="shared" si="135"/>
        <v>Normal</v>
      </c>
      <c r="V1084" t="s">
        <v>102</v>
      </c>
    </row>
    <row r="1085" spans="1:22">
      <c r="A1085" t="s">
        <v>1682</v>
      </c>
      <c r="B1085" s="10">
        <v>43138.135300925926</v>
      </c>
      <c r="C1085" s="10">
        <v>43138.145787037036</v>
      </c>
      <c r="D1085" s="10">
        <v>43138.982002314813</v>
      </c>
      <c r="E1085" s="10">
        <v>43150.844467592593</v>
      </c>
      <c r="F1085" s="10">
        <v>43167</v>
      </c>
      <c r="G1085" t="s">
        <v>16</v>
      </c>
      <c r="H1085" t="s">
        <v>1683</v>
      </c>
      <c r="I1085" t="s">
        <v>180</v>
      </c>
      <c r="J1085" s="11">
        <v>1</v>
      </c>
      <c r="K1085" s="12">
        <v>19.989999999999998</v>
      </c>
      <c r="L1085" s="12">
        <v>15.1</v>
      </c>
      <c r="M1085" s="13">
        <v>5</v>
      </c>
      <c r="N1085" s="13">
        <f t="shared" si="128"/>
        <v>12.709166666667443</v>
      </c>
      <c r="O1085" s="13">
        <f t="shared" si="129"/>
        <v>0</v>
      </c>
      <c r="P1085" t="str">
        <f t="shared" si="130"/>
        <v>On Time</v>
      </c>
      <c r="Q1085" s="13">
        <f t="shared" si="131"/>
        <v>0.25166666664881632</v>
      </c>
      <c r="R1085" s="13">
        <f t="shared" si="132"/>
        <v>0.83621527777722804</v>
      </c>
      <c r="S1085" s="13">
        <f t="shared" si="133"/>
        <v>11.862465277779847</v>
      </c>
      <c r="T1085" t="str">
        <f t="shared" si="134"/>
        <v>On Time/Early</v>
      </c>
      <c r="U1085" t="str">
        <f t="shared" si="135"/>
        <v>Normal</v>
      </c>
      <c r="V1085" t="s">
        <v>102</v>
      </c>
    </row>
    <row r="1086" spans="1:22">
      <c r="A1086" t="s">
        <v>1684</v>
      </c>
      <c r="B1086" s="10">
        <v>43138.483391203707</v>
      </c>
      <c r="C1086" s="10">
        <v>43138.496886574074</v>
      </c>
      <c r="D1086" s="10">
        <v>43138.925567129627</v>
      </c>
      <c r="E1086" s="10">
        <v>43152.853310185186</v>
      </c>
      <c r="F1086" s="10">
        <v>43166</v>
      </c>
      <c r="G1086" t="s">
        <v>36</v>
      </c>
      <c r="H1086" t="s">
        <v>1685</v>
      </c>
      <c r="I1086" t="s">
        <v>120</v>
      </c>
      <c r="J1086" s="11">
        <v>1</v>
      </c>
      <c r="K1086" s="12">
        <v>126.12</v>
      </c>
      <c r="L1086" s="12">
        <v>15.63</v>
      </c>
      <c r="M1086" s="13">
        <v>5</v>
      </c>
      <c r="N1086" s="13">
        <f t="shared" si="128"/>
        <v>14.369918981479714</v>
      </c>
      <c r="O1086" s="13">
        <f t="shared" si="129"/>
        <v>0</v>
      </c>
      <c r="P1086" t="str">
        <f t="shared" si="130"/>
        <v>On Time</v>
      </c>
      <c r="Q1086" s="13">
        <f t="shared" si="131"/>
        <v>0.32388888881541789</v>
      </c>
      <c r="R1086" s="13">
        <f t="shared" si="132"/>
        <v>0.42868055555300089</v>
      </c>
      <c r="S1086" s="13">
        <f t="shared" si="133"/>
        <v>13.927743055559404</v>
      </c>
      <c r="T1086" t="str">
        <f t="shared" si="134"/>
        <v>On Time/Early</v>
      </c>
      <c r="U1086" t="str">
        <f t="shared" si="135"/>
        <v>Normal</v>
      </c>
      <c r="V1086" t="s">
        <v>102</v>
      </c>
    </row>
    <row r="1087" spans="1:22">
      <c r="A1087" t="s">
        <v>1686</v>
      </c>
      <c r="B1087" s="10">
        <v>43138.547106481485</v>
      </c>
      <c r="C1087" s="10">
        <v>43139.707905092589</v>
      </c>
      <c r="D1087" s="10">
        <v>43140.902025462965</v>
      </c>
      <c r="E1087" s="10">
        <v>43153.679571759261</v>
      </c>
      <c r="F1087" s="10">
        <v>43168</v>
      </c>
      <c r="G1087" t="s">
        <v>16</v>
      </c>
      <c r="H1087" t="s">
        <v>1687</v>
      </c>
      <c r="I1087" t="s">
        <v>185</v>
      </c>
      <c r="J1087" s="11">
        <v>1</v>
      </c>
      <c r="K1087" s="12">
        <v>27.9</v>
      </c>
      <c r="L1087" s="12">
        <v>15.1</v>
      </c>
      <c r="M1087" s="13">
        <v>5</v>
      </c>
      <c r="N1087" s="13">
        <f t="shared" si="128"/>
        <v>15.132465277776646</v>
      </c>
      <c r="O1087" s="13">
        <f t="shared" si="129"/>
        <v>0</v>
      </c>
      <c r="P1087" t="str">
        <f t="shared" si="130"/>
        <v>On Time</v>
      </c>
      <c r="Q1087" s="13">
        <f t="shared" si="131"/>
        <v>27.859166666516103</v>
      </c>
      <c r="R1087" s="13">
        <f t="shared" si="132"/>
        <v>1.1941203703754582</v>
      </c>
      <c r="S1087" s="13">
        <f t="shared" si="133"/>
        <v>12.77754629629635</v>
      </c>
      <c r="T1087" t="str">
        <f t="shared" si="134"/>
        <v>On Time/Early</v>
      </c>
      <c r="U1087" t="str">
        <f t="shared" si="135"/>
        <v>Normal</v>
      </c>
      <c r="V1087" t="s">
        <v>102</v>
      </c>
    </row>
    <row r="1088" spans="1:22">
      <c r="A1088" t="s">
        <v>1688</v>
      </c>
      <c r="B1088" s="10">
        <v>43138.611319444448</v>
      </c>
      <c r="C1088" s="10">
        <v>43138.621990740743</v>
      </c>
      <c r="D1088" s="10">
        <v>43139.911099537036</v>
      </c>
      <c r="E1088" s="10">
        <v>43150.866793981484</v>
      </c>
      <c r="F1088" s="10">
        <v>43168</v>
      </c>
      <c r="G1088" t="s">
        <v>8</v>
      </c>
      <c r="H1088" t="s">
        <v>493</v>
      </c>
      <c r="I1088" t="s">
        <v>246</v>
      </c>
      <c r="J1088" s="11">
        <v>1</v>
      </c>
      <c r="K1088" s="12">
        <v>69</v>
      </c>
      <c r="L1088" s="12">
        <v>16.239999999999998</v>
      </c>
      <c r="M1088" s="13">
        <v>3</v>
      </c>
      <c r="N1088" s="13">
        <f t="shared" si="128"/>
        <v>12.255474537036207</v>
      </c>
      <c r="O1088" s="13">
        <f t="shared" si="129"/>
        <v>0</v>
      </c>
      <c r="P1088" t="str">
        <f t="shared" si="130"/>
        <v>On Time</v>
      </c>
      <c r="Q1088" s="13">
        <f t="shared" si="131"/>
        <v>0.25611111108446494</v>
      </c>
      <c r="R1088" s="13">
        <f t="shared" si="132"/>
        <v>1.2891087962925667</v>
      </c>
      <c r="S1088" s="13">
        <f t="shared" si="133"/>
        <v>10.955694444448454</v>
      </c>
      <c r="T1088" t="str">
        <f t="shared" si="134"/>
        <v>On Time/Early</v>
      </c>
      <c r="U1088" t="str">
        <f t="shared" si="135"/>
        <v>Normal</v>
      </c>
      <c r="V1088" t="s">
        <v>102</v>
      </c>
    </row>
    <row r="1089" spans="1:22">
      <c r="A1089" t="s">
        <v>1689</v>
      </c>
      <c r="B1089" s="10">
        <v>43138.612858796296</v>
      </c>
      <c r="C1089" s="10">
        <v>43138.622013888889</v>
      </c>
      <c r="D1089" s="10">
        <v>43138.981921296298</v>
      </c>
      <c r="E1089" s="10">
        <v>43151.932881944442</v>
      </c>
      <c r="F1089" s="10">
        <v>43164</v>
      </c>
      <c r="G1089" t="s">
        <v>16</v>
      </c>
      <c r="H1089" t="s">
        <v>138</v>
      </c>
      <c r="I1089" t="s">
        <v>246</v>
      </c>
      <c r="J1089" s="11">
        <v>1</v>
      </c>
      <c r="K1089" s="12">
        <v>49.99</v>
      </c>
      <c r="L1089" s="12">
        <v>15.11</v>
      </c>
      <c r="M1089" s="13">
        <v>1</v>
      </c>
      <c r="N1089" s="13">
        <f t="shared" si="128"/>
        <v>13.320023148145992</v>
      </c>
      <c r="O1089" s="13">
        <f t="shared" si="129"/>
        <v>0</v>
      </c>
      <c r="P1089" t="str">
        <f t="shared" si="130"/>
        <v>On Time</v>
      </c>
      <c r="Q1089" s="13">
        <f t="shared" si="131"/>
        <v>0.21972222224576399</v>
      </c>
      <c r="R1089" s="13">
        <f t="shared" si="132"/>
        <v>0.35990740740817273</v>
      </c>
      <c r="S1089" s="13">
        <f t="shared" si="133"/>
        <v>12.950960648144246</v>
      </c>
      <c r="T1089" t="str">
        <f t="shared" si="134"/>
        <v>On Time/Early</v>
      </c>
      <c r="U1089" t="str">
        <f t="shared" si="135"/>
        <v>Normal</v>
      </c>
      <c r="V1089" t="s">
        <v>102</v>
      </c>
    </row>
    <row r="1090" spans="1:22">
      <c r="A1090" t="s">
        <v>1690</v>
      </c>
      <c r="B1090" s="10">
        <v>43138.622986111113</v>
      </c>
      <c r="C1090" s="10">
        <v>43138.632824074077</v>
      </c>
      <c r="D1090" s="10">
        <v>43145.922372685185</v>
      </c>
      <c r="E1090" s="10">
        <v>43158.742037037038</v>
      </c>
      <c r="F1090" s="10">
        <v>43164</v>
      </c>
      <c r="G1090" t="s">
        <v>8</v>
      </c>
      <c r="H1090" t="s">
        <v>182</v>
      </c>
      <c r="I1090" t="s">
        <v>1299</v>
      </c>
      <c r="J1090" s="11">
        <v>1</v>
      </c>
      <c r="K1090" s="12">
        <v>47.6</v>
      </c>
      <c r="L1090" s="12">
        <v>17.059999999999999</v>
      </c>
      <c r="M1090" s="13">
        <v>5</v>
      </c>
      <c r="N1090" s="13">
        <f t="shared" ref="N1090:N1153" si="136">IFERROR(E1090-B1090,"")</f>
        <v>20.119050925924967</v>
      </c>
      <c r="O1090" s="13">
        <f t="shared" ref="O1090:O1153" si="137">IFERROR(MAX(0,E1090-F1090),"")</f>
        <v>0</v>
      </c>
      <c r="P1090" t="str">
        <f t="shared" ref="P1090:P1153" si="138">IF(O1090&gt;0,"Delayed","On Time")</f>
        <v>On Time</v>
      </c>
      <c r="Q1090" s="13">
        <f t="shared" ref="Q1090:Q1153" si="139">IFERROR((C1090-B1090)*24,"")</f>
        <v>0.23611111112404615</v>
      </c>
      <c r="R1090" s="13">
        <f t="shared" ref="R1090:R1153" si="140">IFERROR(D1090-C1090,"")</f>
        <v>7.2895486111083301</v>
      </c>
      <c r="S1090" s="13">
        <f t="shared" ref="S1090:S1153" si="141">IFERROR(E1090-D1090,"")</f>
        <v>12.819664351853135</v>
      </c>
      <c r="T1090" t="str">
        <f t="shared" ref="T1090:T1153" si="142">IF(O1090=0,"On Time/Early",IF(O1090&lt;=3,"1-3 Days Late",IF(O1090&lt;=7,"4-7 Days Late","8+ Days Late")))</f>
        <v>On Time/Early</v>
      </c>
      <c r="U1090" t="str">
        <f t="shared" ref="U1090:U1153" si="143">IF(P1090="Delayed","Needs Review","Normal")</f>
        <v>Normal</v>
      </c>
      <c r="V1090" t="s">
        <v>102</v>
      </c>
    </row>
    <row r="1091" spans="1:22">
      <c r="A1091" t="s">
        <v>1691</v>
      </c>
      <c r="B1091" s="10">
        <v>43138.853414351855</v>
      </c>
      <c r="C1091" s="10">
        <v>43138.867372685185</v>
      </c>
      <c r="D1091" s="10">
        <v>43140.891747685186</v>
      </c>
      <c r="E1091" s="10">
        <v>43166.148472222223</v>
      </c>
      <c r="F1091" s="10">
        <v>43164</v>
      </c>
      <c r="G1091" t="s">
        <v>8</v>
      </c>
      <c r="H1091" t="s">
        <v>907</v>
      </c>
      <c r="I1091" t="s">
        <v>180</v>
      </c>
      <c r="J1091" s="11">
        <v>1</v>
      </c>
      <c r="K1091" s="12">
        <v>122.9</v>
      </c>
      <c r="L1091" s="12">
        <v>13.2</v>
      </c>
      <c r="M1091" s="13">
        <v>5</v>
      </c>
      <c r="N1091" s="13">
        <f t="shared" si="136"/>
        <v>27.2950578703676</v>
      </c>
      <c r="O1091" s="13">
        <f t="shared" si="137"/>
        <v>2.148472222223063</v>
      </c>
      <c r="P1091" t="str">
        <f t="shared" si="138"/>
        <v>Delayed</v>
      </c>
      <c r="Q1091" s="13">
        <f t="shared" si="139"/>
        <v>0.33499999990453944</v>
      </c>
      <c r="R1091" s="13">
        <f t="shared" si="140"/>
        <v>2.0243750000008731</v>
      </c>
      <c r="S1091" s="13">
        <f t="shared" si="141"/>
        <v>25.256724537037371</v>
      </c>
      <c r="T1091" t="str">
        <f t="shared" si="142"/>
        <v>1-3 Days Late</v>
      </c>
      <c r="U1091" t="str">
        <f t="shared" si="143"/>
        <v>Needs Review</v>
      </c>
      <c r="V1091" t="s">
        <v>102</v>
      </c>
    </row>
    <row r="1092" spans="1:22">
      <c r="A1092" t="s">
        <v>1692</v>
      </c>
      <c r="B1092" s="10">
        <v>43139.363194444442</v>
      </c>
      <c r="C1092" s="10">
        <v>43140.118425925924</v>
      </c>
      <c r="D1092" s="10">
        <v>43150.631504629629</v>
      </c>
      <c r="E1092" s="10">
        <v>43158.78564814815</v>
      </c>
      <c r="F1092" s="10">
        <v>43166</v>
      </c>
      <c r="G1092" t="s">
        <v>8</v>
      </c>
      <c r="H1092" t="s">
        <v>1693</v>
      </c>
      <c r="I1092" t="s">
        <v>120</v>
      </c>
      <c r="J1092" s="11">
        <v>2</v>
      </c>
      <c r="K1092" s="12">
        <v>553.78</v>
      </c>
      <c r="L1092" s="12">
        <v>38.380000000000003</v>
      </c>
      <c r="M1092" s="13">
        <v>2</v>
      </c>
      <c r="N1092" s="13">
        <f t="shared" si="136"/>
        <v>19.422453703708015</v>
      </c>
      <c r="O1092" s="13">
        <f t="shared" si="137"/>
        <v>0</v>
      </c>
      <c r="P1092" t="str">
        <f t="shared" si="138"/>
        <v>On Time</v>
      </c>
      <c r="Q1092" s="13">
        <f t="shared" si="139"/>
        <v>18.125555555569008</v>
      </c>
      <c r="R1092" s="13">
        <f t="shared" si="140"/>
        <v>10.513078703705105</v>
      </c>
      <c r="S1092" s="13">
        <f t="shared" si="141"/>
        <v>8.1541435185208684</v>
      </c>
      <c r="T1092" t="str">
        <f t="shared" si="142"/>
        <v>On Time/Early</v>
      </c>
      <c r="U1092" t="str">
        <f t="shared" si="143"/>
        <v>Normal</v>
      </c>
      <c r="V1092" t="s">
        <v>102</v>
      </c>
    </row>
    <row r="1093" spans="1:22">
      <c r="A1093" t="s">
        <v>1694</v>
      </c>
      <c r="B1093" s="10">
        <v>43139.82167824074</v>
      </c>
      <c r="C1093" s="10">
        <v>43139.83016203704</v>
      </c>
      <c r="D1093" s="10">
        <v>43145.64634259259</v>
      </c>
      <c r="E1093" s="10">
        <v>43155.578773148147</v>
      </c>
      <c r="F1093" s="10">
        <v>43166</v>
      </c>
      <c r="G1093" t="s">
        <v>16</v>
      </c>
      <c r="H1093" t="s">
        <v>138</v>
      </c>
      <c r="I1093" t="s">
        <v>34</v>
      </c>
      <c r="J1093" s="11">
        <v>1</v>
      </c>
      <c r="K1093" s="12">
        <v>24.99</v>
      </c>
      <c r="L1093" s="12">
        <v>17.920000000000002</v>
      </c>
      <c r="M1093" s="13"/>
      <c r="N1093" s="13">
        <f t="shared" si="136"/>
        <v>15.757094907407009</v>
      </c>
      <c r="O1093" s="13">
        <f t="shared" si="137"/>
        <v>0</v>
      </c>
      <c r="P1093" t="str">
        <f t="shared" si="138"/>
        <v>On Time</v>
      </c>
      <c r="Q1093" s="13">
        <f t="shared" si="139"/>
        <v>0.20361111121019349</v>
      </c>
      <c r="R1093" s="13">
        <f t="shared" si="140"/>
        <v>5.8161805555500905</v>
      </c>
      <c r="S1093" s="13">
        <f t="shared" si="141"/>
        <v>9.9324305555564933</v>
      </c>
      <c r="T1093" t="str">
        <f t="shared" si="142"/>
        <v>On Time/Early</v>
      </c>
      <c r="U1093" t="str">
        <f t="shared" si="143"/>
        <v>Normal</v>
      </c>
      <c r="V1093" t="s">
        <v>102</v>
      </c>
    </row>
    <row r="1094" spans="1:22">
      <c r="A1094" t="s">
        <v>1695</v>
      </c>
      <c r="B1094" s="10">
        <v>43139.972592592596</v>
      </c>
      <c r="C1094" s="10">
        <v>43139.983055555553</v>
      </c>
      <c r="D1094" s="10">
        <v>43140.783692129633</v>
      </c>
      <c r="E1094" s="10">
        <v>43145.784594907411</v>
      </c>
      <c r="F1094" s="10">
        <v>43153</v>
      </c>
      <c r="G1094" t="s">
        <v>8</v>
      </c>
      <c r="H1094" t="s">
        <v>140</v>
      </c>
      <c r="I1094" t="s">
        <v>101</v>
      </c>
      <c r="J1094" s="11">
        <v>2</v>
      </c>
      <c r="K1094" s="12">
        <v>109.8</v>
      </c>
      <c r="L1094" s="12">
        <v>17.440000000000001</v>
      </c>
      <c r="M1094" s="13">
        <v>5</v>
      </c>
      <c r="N1094" s="13">
        <f t="shared" si="136"/>
        <v>5.8120023148148903</v>
      </c>
      <c r="O1094" s="13">
        <f t="shared" si="137"/>
        <v>0</v>
      </c>
      <c r="P1094" t="str">
        <f t="shared" si="138"/>
        <v>On Time</v>
      </c>
      <c r="Q1094" s="13">
        <f t="shared" si="139"/>
        <v>0.251111110963393</v>
      </c>
      <c r="R1094" s="13">
        <f t="shared" si="140"/>
        <v>0.80063657408027211</v>
      </c>
      <c r="S1094" s="13">
        <f t="shared" si="141"/>
        <v>5.0009027777778101</v>
      </c>
      <c r="T1094" t="str">
        <f t="shared" si="142"/>
        <v>On Time/Early</v>
      </c>
      <c r="U1094" t="str">
        <f t="shared" si="143"/>
        <v>Normal</v>
      </c>
      <c r="V1094" t="s">
        <v>102</v>
      </c>
    </row>
    <row r="1095" spans="1:22">
      <c r="A1095" t="s">
        <v>1696</v>
      </c>
      <c r="B1095" s="10">
        <v>43140.290162037039</v>
      </c>
      <c r="C1095" s="10">
        <v>43140.302291666667</v>
      </c>
      <c r="D1095" s="10">
        <v>43145.744675925926</v>
      </c>
      <c r="E1095" s="10">
        <v>43166.762233796297</v>
      </c>
      <c r="F1095" s="10">
        <v>43166</v>
      </c>
      <c r="G1095" t="s">
        <v>36</v>
      </c>
      <c r="H1095" t="s">
        <v>173</v>
      </c>
      <c r="I1095" t="s">
        <v>141</v>
      </c>
      <c r="J1095" s="11">
        <v>2</v>
      </c>
      <c r="K1095" s="12">
        <v>339.98</v>
      </c>
      <c r="L1095" s="12">
        <v>33.9</v>
      </c>
      <c r="M1095" s="13">
        <v>5</v>
      </c>
      <c r="N1095" s="13">
        <f t="shared" si="136"/>
        <v>26.472071759257233</v>
      </c>
      <c r="O1095" s="13">
        <f t="shared" si="137"/>
        <v>0.76223379629664123</v>
      </c>
      <c r="P1095" t="str">
        <f t="shared" si="138"/>
        <v>Delayed</v>
      </c>
      <c r="Q1095" s="13">
        <f t="shared" si="139"/>
        <v>0.29111111105885357</v>
      </c>
      <c r="R1095" s="13">
        <f t="shared" si="140"/>
        <v>5.442384259258688</v>
      </c>
      <c r="S1095" s="13">
        <f t="shared" si="141"/>
        <v>21.017557870371093</v>
      </c>
      <c r="T1095" t="str">
        <f t="shared" si="142"/>
        <v>1-3 Days Late</v>
      </c>
      <c r="U1095" t="str">
        <f t="shared" si="143"/>
        <v>Needs Review</v>
      </c>
      <c r="V1095" t="s">
        <v>102</v>
      </c>
    </row>
    <row r="1096" spans="1:22">
      <c r="A1096" t="s">
        <v>1697</v>
      </c>
      <c r="B1096" s="10">
        <v>43140.703194444446</v>
      </c>
      <c r="C1096" s="10">
        <v>43140.715115740742</v>
      </c>
      <c r="D1096" s="10">
        <v>43146.999340277776</v>
      </c>
      <c r="E1096" s="10">
        <v>43150.694618055553</v>
      </c>
      <c r="F1096" s="10">
        <v>43160</v>
      </c>
      <c r="G1096" t="s">
        <v>8</v>
      </c>
      <c r="H1096" t="s">
        <v>140</v>
      </c>
      <c r="I1096" t="s">
        <v>422</v>
      </c>
      <c r="J1096" s="11">
        <v>1</v>
      </c>
      <c r="K1096" s="12">
        <v>90</v>
      </c>
      <c r="L1096" s="12">
        <v>8.3699999999999992</v>
      </c>
      <c r="M1096" s="13">
        <v>1</v>
      </c>
      <c r="N1096" s="13">
        <f t="shared" si="136"/>
        <v>9.9914236111071659</v>
      </c>
      <c r="O1096" s="13">
        <f t="shared" si="137"/>
        <v>0</v>
      </c>
      <c r="P1096" t="str">
        <f t="shared" si="138"/>
        <v>On Time</v>
      </c>
      <c r="Q1096" s="13">
        <f t="shared" si="139"/>
        <v>0.28611111111240461</v>
      </c>
      <c r="R1096" s="13">
        <f t="shared" si="140"/>
        <v>6.2842245370338787</v>
      </c>
      <c r="S1096" s="13">
        <f t="shared" si="141"/>
        <v>3.695277777776937</v>
      </c>
      <c r="T1096" t="str">
        <f t="shared" si="142"/>
        <v>On Time/Early</v>
      </c>
      <c r="U1096" t="str">
        <f t="shared" si="143"/>
        <v>Normal</v>
      </c>
      <c r="V1096" t="s">
        <v>102</v>
      </c>
    </row>
    <row r="1097" spans="1:22">
      <c r="A1097" t="s">
        <v>1698</v>
      </c>
      <c r="B1097" s="10">
        <v>43140.733854166669</v>
      </c>
      <c r="C1097" s="10">
        <v>43140.743472222224</v>
      </c>
      <c r="D1097" s="10">
        <v>43145.686874999999</v>
      </c>
      <c r="E1097" s="10">
        <v>43153.804027777776</v>
      </c>
      <c r="F1097" s="10">
        <v>43167</v>
      </c>
      <c r="G1097" t="s">
        <v>16</v>
      </c>
      <c r="H1097" t="s">
        <v>138</v>
      </c>
      <c r="I1097" t="s">
        <v>120</v>
      </c>
      <c r="J1097" s="11">
        <v>1</v>
      </c>
      <c r="K1097" s="12">
        <v>44.9</v>
      </c>
      <c r="L1097" s="12">
        <v>16.79</v>
      </c>
      <c r="M1097" s="13">
        <v>1</v>
      </c>
      <c r="N1097" s="13">
        <f t="shared" si="136"/>
        <v>13.070173611107748</v>
      </c>
      <c r="O1097" s="13">
        <f t="shared" si="137"/>
        <v>0</v>
      </c>
      <c r="P1097" t="str">
        <f t="shared" si="138"/>
        <v>On Time</v>
      </c>
      <c r="Q1097" s="13">
        <f t="shared" si="139"/>
        <v>0.23083333333488554</v>
      </c>
      <c r="R1097" s="13">
        <f t="shared" si="140"/>
        <v>4.9434027777751908</v>
      </c>
      <c r="S1097" s="13">
        <f t="shared" si="141"/>
        <v>8.117152777776937</v>
      </c>
      <c r="T1097" t="str">
        <f t="shared" si="142"/>
        <v>On Time/Early</v>
      </c>
      <c r="U1097" t="str">
        <f t="shared" si="143"/>
        <v>Normal</v>
      </c>
      <c r="V1097" t="s">
        <v>102</v>
      </c>
    </row>
    <row r="1098" spans="1:22">
      <c r="A1098" t="s">
        <v>1699</v>
      </c>
      <c r="B1098" s="10">
        <v>43140.937581018516</v>
      </c>
      <c r="C1098" s="10">
        <v>43146.160717592589</v>
      </c>
      <c r="D1098" s="10">
        <v>43150.551134259258</v>
      </c>
      <c r="E1098" s="10">
        <v>43215.914375</v>
      </c>
      <c r="F1098" s="10">
        <v>43167</v>
      </c>
      <c r="G1098" t="s">
        <v>50</v>
      </c>
      <c r="H1098" t="s">
        <v>414</v>
      </c>
      <c r="I1098" t="s">
        <v>118</v>
      </c>
      <c r="J1098" s="11">
        <v>1</v>
      </c>
      <c r="K1098" s="12">
        <v>18.98</v>
      </c>
      <c r="L1098" s="12">
        <v>17.63</v>
      </c>
      <c r="M1098" s="13">
        <v>1</v>
      </c>
      <c r="N1098" s="13">
        <f t="shared" si="136"/>
        <v>74.976793981484661</v>
      </c>
      <c r="O1098" s="13">
        <f t="shared" si="137"/>
        <v>48.914375000000291</v>
      </c>
      <c r="P1098" t="str">
        <f t="shared" si="138"/>
        <v>Delayed</v>
      </c>
      <c r="Q1098" s="13">
        <f t="shared" si="139"/>
        <v>125.35527777776588</v>
      </c>
      <c r="R1098" s="13">
        <f t="shared" si="140"/>
        <v>4.390416666668898</v>
      </c>
      <c r="S1098" s="13">
        <f t="shared" si="141"/>
        <v>65.363240740742185</v>
      </c>
      <c r="T1098" t="str">
        <f t="shared" si="142"/>
        <v>8+ Days Late</v>
      </c>
      <c r="U1098" t="str">
        <f t="shared" si="143"/>
        <v>Needs Review</v>
      </c>
      <c r="V1098" t="s">
        <v>102</v>
      </c>
    </row>
    <row r="1099" spans="1:22">
      <c r="A1099" t="s">
        <v>1700</v>
      </c>
      <c r="B1099" s="10">
        <v>43141.404479166667</v>
      </c>
      <c r="C1099" s="10">
        <v>43141.413587962961</v>
      </c>
      <c r="D1099" s="10">
        <v>43152.935428240744</v>
      </c>
      <c r="E1099" s="10">
        <v>43180.949236111112</v>
      </c>
      <c r="F1099" s="10">
        <v>43167</v>
      </c>
      <c r="G1099" t="s">
        <v>20</v>
      </c>
      <c r="H1099" t="s">
        <v>260</v>
      </c>
      <c r="I1099" t="s">
        <v>180</v>
      </c>
      <c r="J1099" s="11">
        <v>3</v>
      </c>
      <c r="K1099" s="12">
        <v>116.7</v>
      </c>
      <c r="L1099" s="12">
        <v>52.8</v>
      </c>
      <c r="M1099" s="13">
        <v>3</v>
      </c>
      <c r="N1099" s="13">
        <f t="shared" si="136"/>
        <v>39.544756944444089</v>
      </c>
      <c r="O1099" s="13">
        <f t="shared" si="137"/>
        <v>13.949236111111531</v>
      </c>
      <c r="P1099" t="str">
        <f t="shared" si="138"/>
        <v>Delayed</v>
      </c>
      <c r="Q1099" s="13">
        <f t="shared" si="139"/>
        <v>0.21861111104954034</v>
      </c>
      <c r="R1099" s="13">
        <f t="shared" si="140"/>
        <v>11.521840277782758</v>
      </c>
      <c r="S1099" s="13">
        <f t="shared" si="141"/>
        <v>28.0138078703676</v>
      </c>
      <c r="T1099" t="str">
        <f t="shared" si="142"/>
        <v>8+ Days Late</v>
      </c>
      <c r="U1099" t="str">
        <f t="shared" si="143"/>
        <v>Needs Review</v>
      </c>
      <c r="V1099" t="s">
        <v>102</v>
      </c>
    </row>
    <row r="1100" spans="1:22">
      <c r="A1100" t="s">
        <v>1701</v>
      </c>
      <c r="B1100" s="10">
        <v>43141.408483796295</v>
      </c>
      <c r="C1100" s="10">
        <v>43141.422488425924</v>
      </c>
      <c r="D1100" s="10">
        <v>43145.997812499998</v>
      </c>
      <c r="E1100" s="10">
        <v>43161.925115740742</v>
      </c>
      <c r="F1100" s="10">
        <v>43172</v>
      </c>
      <c r="G1100" t="s">
        <v>320</v>
      </c>
      <c r="H1100" t="s">
        <v>321</v>
      </c>
      <c r="I1100" t="s">
        <v>24</v>
      </c>
      <c r="J1100" s="11">
        <v>1</v>
      </c>
      <c r="K1100" s="12">
        <v>27.9</v>
      </c>
      <c r="L1100" s="12">
        <v>15.1</v>
      </c>
      <c r="M1100" s="13">
        <v>4</v>
      </c>
      <c r="N1100" s="13">
        <f t="shared" si="136"/>
        <v>20.516631944446999</v>
      </c>
      <c r="O1100" s="13">
        <f t="shared" si="137"/>
        <v>0</v>
      </c>
      <c r="P1100" t="str">
        <f t="shared" si="138"/>
        <v>On Time</v>
      </c>
      <c r="Q1100" s="13">
        <f t="shared" si="139"/>
        <v>0.33611111110076308</v>
      </c>
      <c r="R1100" s="13">
        <f t="shared" si="140"/>
        <v>4.5753240740741603</v>
      </c>
      <c r="S1100" s="13">
        <f t="shared" si="141"/>
        <v>15.92730324074364</v>
      </c>
      <c r="T1100" t="str">
        <f t="shared" si="142"/>
        <v>On Time/Early</v>
      </c>
      <c r="U1100" t="str">
        <f t="shared" si="143"/>
        <v>Normal</v>
      </c>
      <c r="V1100" t="s">
        <v>102</v>
      </c>
    </row>
    <row r="1101" spans="1:22">
      <c r="A1101" t="s">
        <v>1702</v>
      </c>
      <c r="B1101" s="10">
        <v>43141.544340277775</v>
      </c>
      <c r="C1101" s="10">
        <v>43142.538946759261</v>
      </c>
      <c r="D1101" s="10">
        <v>43151.864629629628</v>
      </c>
      <c r="E1101" s="10">
        <v>43162.089641203704</v>
      </c>
      <c r="F1101" s="10">
        <v>43171</v>
      </c>
      <c r="G1101" t="s">
        <v>23</v>
      </c>
      <c r="H1101" t="s">
        <v>375</v>
      </c>
      <c r="I1101" t="s">
        <v>143</v>
      </c>
      <c r="J1101" s="11">
        <v>1</v>
      </c>
      <c r="K1101" s="12">
        <v>119.9</v>
      </c>
      <c r="L1101" s="12">
        <v>26.12</v>
      </c>
      <c r="M1101" s="13">
        <v>5</v>
      </c>
      <c r="N1101" s="13">
        <f t="shared" si="136"/>
        <v>20.545300925929041</v>
      </c>
      <c r="O1101" s="13">
        <f t="shared" si="137"/>
        <v>0</v>
      </c>
      <c r="P1101" t="str">
        <f t="shared" si="138"/>
        <v>On Time</v>
      </c>
      <c r="Q1101" s="13">
        <f t="shared" si="139"/>
        <v>23.870555555680767</v>
      </c>
      <c r="R1101" s="13">
        <f t="shared" si="140"/>
        <v>9.325682870367018</v>
      </c>
      <c r="S1101" s="13">
        <f t="shared" si="141"/>
        <v>10.225011574075324</v>
      </c>
      <c r="T1101" t="str">
        <f t="shared" si="142"/>
        <v>On Time/Early</v>
      </c>
      <c r="U1101" t="str">
        <f t="shared" si="143"/>
        <v>Normal</v>
      </c>
      <c r="V1101" t="s">
        <v>102</v>
      </c>
    </row>
    <row r="1102" spans="1:22">
      <c r="A1102" t="s">
        <v>1703</v>
      </c>
      <c r="B1102" s="10">
        <v>43141.554328703707</v>
      </c>
      <c r="C1102" s="10">
        <v>43142.552604166667</v>
      </c>
      <c r="D1102" s="10">
        <v>43146.941562499997</v>
      </c>
      <c r="E1102" s="10">
        <v>43165.915532407409</v>
      </c>
      <c r="F1102" s="10">
        <v>43173</v>
      </c>
      <c r="G1102" t="s">
        <v>30</v>
      </c>
      <c r="H1102" t="s">
        <v>1704</v>
      </c>
      <c r="I1102" t="s">
        <v>118</v>
      </c>
      <c r="J1102" s="11">
        <v>1</v>
      </c>
      <c r="K1102" s="12">
        <v>19.989999999999998</v>
      </c>
      <c r="L1102" s="12">
        <v>15.1</v>
      </c>
      <c r="M1102" s="13">
        <v>5</v>
      </c>
      <c r="N1102" s="13">
        <f t="shared" si="136"/>
        <v>24.361203703701904</v>
      </c>
      <c r="O1102" s="13">
        <f t="shared" si="137"/>
        <v>0</v>
      </c>
      <c r="P1102" t="str">
        <f t="shared" si="138"/>
        <v>On Time</v>
      </c>
      <c r="Q1102" s="13">
        <f t="shared" si="139"/>
        <v>23.958611111040227</v>
      </c>
      <c r="R1102" s="13">
        <f t="shared" si="140"/>
        <v>4.3889583333293558</v>
      </c>
      <c r="S1102" s="13">
        <f t="shared" si="141"/>
        <v>18.973969907412538</v>
      </c>
      <c r="T1102" t="str">
        <f t="shared" si="142"/>
        <v>On Time/Early</v>
      </c>
      <c r="U1102" t="str">
        <f t="shared" si="143"/>
        <v>Normal</v>
      </c>
      <c r="V1102" t="s">
        <v>102</v>
      </c>
    </row>
    <row r="1103" spans="1:22">
      <c r="A1103" t="s">
        <v>1705</v>
      </c>
      <c r="B1103" s="10">
        <v>43141.634166666663</v>
      </c>
      <c r="C1103" s="10">
        <v>43141.642650462964</v>
      </c>
      <c r="D1103" s="10">
        <v>43152.437106481484</v>
      </c>
      <c r="E1103" s="10">
        <v>43161.644409722219</v>
      </c>
      <c r="F1103" s="10">
        <v>43171</v>
      </c>
      <c r="G1103" t="s">
        <v>8</v>
      </c>
      <c r="H1103" t="s">
        <v>665</v>
      </c>
      <c r="I1103" t="s">
        <v>120</v>
      </c>
      <c r="J1103" s="11">
        <v>1</v>
      </c>
      <c r="K1103" s="12">
        <v>67.900000000000006</v>
      </c>
      <c r="L1103" s="12">
        <v>12.61</v>
      </c>
      <c r="M1103" s="13">
        <v>5</v>
      </c>
      <c r="N1103" s="13">
        <f t="shared" si="136"/>
        <v>20.010243055556202</v>
      </c>
      <c r="O1103" s="13">
        <f t="shared" si="137"/>
        <v>0</v>
      </c>
      <c r="P1103" t="str">
        <f t="shared" si="138"/>
        <v>On Time</v>
      </c>
      <c r="Q1103" s="13">
        <f t="shared" si="139"/>
        <v>0.20361111121019349</v>
      </c>
      <c r="R1103" s="13">
        <f t="shared" si="140"/>
        <v>10.794456018520577</v>
      </c>
      <c r="S1103" s="13">
        <f t="shared" si="141"/>
        <v>9.2073032407352002</v>
      </c>
      <c r="T1103" t="str">
        <f t="shared" si="142"/>
        <v>On Time/Early</v>
      </c>
      <c r="U1103" t="str">
        <f t="shared" si="143"/>
        <v>Normal</v>
      </c>
      <c r="V1103" t="s">
        <v>102</v>
      </c>
    </row>
    <row r="1104" spans="1:22">
      <c r="A1104" t="s">
        <v>1706</v>
      </c>
      <c r="B1104" s="10">
        <v>43141.648692129631</v>
      </c>
      <c r="C1104" s="10">
        <v>43141.658634259256</v>
      </c>
      <c r="D1104" s="10">
        <v>43145.838263888887</v>
      </c>
      <c r="E1104" s="10">
        <v>43165.853425925925</v>
      </c>
      <c r="F1104" s="10">
        <v>43166</v>
      </c>
      <c r="G1104" t="s">
        <v>110</v>
      </c>
      <c r="H1104" t="s">
        <v>1600</v>
      </c>
      <c r="I1104" t="s">
        <v>31</v>
      </c>
      <c r="J1104" s="11">
        <v>1</v>
      </c>
      <c r="K1104" s="12">
        <v>13.65</v>
      </c>
      <c r="L1104" s="12">
        <v>14.1</v>
      </c>
      <c r="M1104" s="13">
        <v>3</v>
      </c>
      <c r="N1104" s="13">
        <f t="shared" si="136"/>
        <v>24.204733796294022</v>
      </c>
      <c r="O1104" s="13">
        <f t="shared" si="137"/>
        <v>0</v>
      </c>
      <c r="P1104" t="str">
        <f t="shared" si="138"/>
        <v>On Time</v>
      </c>
      <c r="Q1104" s="13">
        <f t="shared" si="139"/>
        <v>0.23861111100995913</v>
      </c>
      <c r="R1104" s="13">
        <f t="shared" si="140"/>
        <v>4.1796296296306537</v>
      </c>
      <c r="S1104" s="13">
        <f t="shared" si="141"/>
        <v>20.015162037037953</v>
      </c>
      <c r="T1104" t="str">
        <f t="shared" si="142"/>
        <v>On Time/Early</v>
      </c>
      <c r="U1104" t="str">
        <f t="shared" si="143"/>
        <v>Normal</v>
      </c>
      <c r="V1104" t="s">
        <v>102</v>
      </c>
    </row>
    <row r="1105" spans="1:22">
      <c r="A1105" t="s">
        <v>1707</v>
      </c>
      <c r="B1105" s="10">
        <v>43141.861504629633</v>
      </c>
      <c r="C1105" s="10">
        <v>43147.330462962964</v>
      </c>
      <c r="D1105" s="10">
        <v>43150.702488425923</v>
      </c>
      <c r="E1105" s="10">
        <v>43161.925416666665</v>
      </c>
      <c r="F1105" s="10">
        <v>43167</v>
      </c>
      <c r="G1105" t="s">
        <v>474</v>
      </c>
      <c r="H1105" t="s">
        <v>475</v>
      </c>
      <c r="I1105" t="s">
        <v>58</v>
      </c>
      <c r="J1105" s="11">
        <v>1</v>
      </c>
      <c r="K1105" s="12">
        <v>325</v>
      </c>
      <c r="L1105" s="12">
        <v>23.07</v>
      </c>
      <c r="M1105" s="13">
        <v>5</v>
      </c>
      <c r="N1105" s="13">
        <f t="shared" si="136"/>
        <v>20.063912037032424</v>
      </c>
      <c r="O1105" s="13">
        <f t="shared" si="137"/>
        <v>0</v>
      </c>
      <c r="P1105" t="str">
        <f t="shared" si="138"/>
        <v>On Time</v>
      </c>
      <c r="Q1105" s="13">
        <f t="shared" si="139"/>
        <v>131.25499999994645</v>
      </c>
      <c r="R1105" s="13">
        <f t="shared" si="140"/>
        <v>3.3720254629588453</v>
      </c>
      <c r="S1105" s="13">
        <f t="shared" si="141"/>
        <v>11.222928240742476</v>
      </c>
      <c r="T1105" t="str">
        <f t="shared" si="142"/>
        <v>On Time/Early</v>
      </c>
      <c r="U1105" t="str">
        <f t="shared" si="143"/>
        <v>Normal</v>
      </c>
      <c r="V1105" t="s">
        <v>102</v>
      </c>
    </row>
    <row r="1106" spans="1:22">
      <c r="A1106" t="s">
        <v>1708</v>
      </c>
      <c r="B1106" s="10">
        <v>43142.456030092595</v>
      </c>
      <c r="C1106" s="10">
        <v>43142.464201388888</v>
      </c>
      <c r="D1106" s="10">
        <v>43145.797986111109</v>
      </c>
      <c r="E1106" s="10">
        <v>43150.8128125</v>
      </c>
      <c r="F1106" s="10">
        <v>43180</v>
      </c>
      <c r="G1106" t="s">
        <v>36</v>
      </c>
      <c r="H1106" t="s">
        <v>467</v>
      </c>
      <c r="I1106" t="s">
        <v>120</v>
      </c>
      <c r="J1106" s="11">
        <v>1</v>
      </c>
      <c r="K1106" s="12">
        <v>99.99</v>
      </c>
      <c r="L1106" s="12">
        <v>14.43</v>
      </c>
      <c r="M1106" s="13">
        <v>1</v>
      </c>
      <c r="N1106" s="13">
        <f t="shared" si="136"/>
        <v>8.3567824074052623</v>
      </c>
      <c r="O1106" s="13">
        <f t="shared" si="137"/>
        <v>0</v>
      </c>
      <c r="P1106" t="str">
        <f t="shared" si="138"/>
        <v>On Time</v>
      </c>
      <c r="Q1106" s="13">
        <f t="shared" si="139"/>
        <v>0.19611111102858558</v>
      </c>
      <c r="R1106" s="13">
        <f t="shared" si="140"/>
        <v>3.3337847222210257</v>
      </c>
      <c r="S1106" s="13">
        <f t="shared" si="141"/>
        <v>5.0148263888913789</v>
      </c>
      <c r="T1106" t="str">
        <f t="shared" si="142"/>
        <v>On Time/Early</v>
      </c>
      <c r="U1106" t="str">
        <f t="shared" si="143"/>
        <v>Normal</v>
      </c>
      <c r="V1106" t="s">
        <v>102</v>
      </c>
    </row>
    <row r="1107" spans="1:22">
      <c r="A1107" t="s">
        <v>1709</v>
      </c>
      <c r="B1107" s="10">
        <v>43142.514780092592</v>
      </c>
      <c r="C1107" s="10">
        <v>43142.521168981482</v>
      </c>
      <c r="D1107" s="10">
        <v>43146.83090277778</v>
      </c>
      <c r="E1107" s="10">
        <v>43150.905416666668</v>
      </c>
      <c r="F1107" s="10">
        <v>43175</v>
      </c>
      <c r="G1107" t="s">
        <v>8</v>
      </c>
      <c r="H1107" t="s">
        <v>140</v>
      </c>
      <c r="I1107" t="s">
        <v>136</v>
      </c>
      <c r="J1107" s="11">
        <v>1</v>
      </c>
      <c r="K1107" s="12">
        <v>34.6</v>
      </c>
      <c r="L1107" s="12">
        <v>17.600000000000001</v>
      </c>
      <c r="M1107" s="13">
        <v>4</v>
      </c>
      <c r="N1107" s="13">
        <f t="shared" si="136"/>
        <v>8.3906365740767797</v>
      </c>
      <c r="O1107" s="13">
        <f t="shared" si="137"/>
        <v>0</v>
      </c>
      <c r="P1107" t="str">
        <f t="shared" si="138"/>
        <v>On Time</v>
      </c>
      <c r="Q1107" s="13">
        <f t="shared" si="139"/>
        <v>0.15333333337912336</v>
      </c>
      <c r="R1107" s="13">
        <f t="shared" si="140"/>
        <v>4.3097337962972233</v>
      </c>
      <c r="S1107" s="13">
        <f t="shared" si="141"/>
        <v>4.0745138888887595</v>
      </c>
      <c r="T1107" t="str">
        <f t="shared" si="142"/>
        <v>On Time/Early</v>
      </c>
      <c r="U1107" t="str">
        <f t="shared" si="143"/>
        <v>Normal</v>
      </c>
      <c r="V1107" t="s">
        <v>102</v>
      </c>
    </row>
    <row r="1108" spans="1:22">
      <c r="A1108" t="s">
        <v>1710</v>
      </c>
      <c r="B1108" s="10">
        <v>43142.655624999999</v>
      </c>
      <c r="C1108" s="10">
        <v>43142.663460648146</v>
      </c>
      <c r="D1108" s="10">
        <v>43146.932812500003</v>
      </c>
      <c r="E1108" s="10">
        <v>43147.914224537039</v>
      </c>
      <c r="F1108" s="10">
        <v>43157</v>
      </c>
      <c r="G1108" t="s">
        <v>8</v>
      </c>
      <c r="H1108" t="s">
        <v>225</v>
      </c>
      <c r="I1108" t="s">
        <v>118</v>
      </c>
      <c r="J1108" s="11">
        <v>1</v>
      </c>
      <c r="K1108" s="12">
        <v>19.989999999999998</v>
      </c>
      <c r="L1108" s="12">
        <v>7.78</v>
      </c>
      <c r="M1108" s="13">
        <v>5</v>
      </c>
      <c r="N1108" s="13">
        <f t="shared" si="136"/>
        <v>5.2585995370391174</v>
      </c>
      <c r="O1108" s="13">
        <f t="shared" si="137"/>
        <v>0</v>
      </c>
      <c r="P1108" t="str">
        <f t="shared" si="138"/>
        <v>On Time</v>
      </c>
      <c r="Q1108" s="13">
        <f t="shared" si="139"/>
        <v>0.18805555551080033</v>
      </c>
      <c r="R1108" s="13">
        <f t="shared" si="140"/>
        <v>4.2693518518572091</v>
      </c>
      <c r="S1108" s="13">
        <f t="shared" si="141"/>
        <v>0.98141203703562496</v>
      </c>
      <c r="T1108" t="str">
        <f t="shared" si="142"/>
        <v>On Time/Early</v>
      </c>
      <c r="U1108" t="str">
        <f t="shared" si="143"/>
        <v>Normal</v>
      </c>
      <c r="V1108" t="s">
        <v>102</v>
      </c>
    </row>
    <row r="1109" spans="1:22">
      <c r="A1109" t="s">
        <v>1711</v>
      </c>
      <c r="B1109" s="10">
        <v>43142.813703703701</v>
      </c>
      <c r="C1109" s="10">
        <v>43142.826678240737</v>
      </c>
      <c r="D1109" s="10">
        <v>43145.957453703704</v>
      </c>
      <c r="E1109" s="10">
        <v>43173.032442129632</v>
      </c>
      <c r="F1109" s="10">
        <v>43167</v>
      </c>
      <c r="G1109" t="s">
        <v>36</v>
      </c>
      <c r="H1109" t="s">
        <v>1170</v>
      </c>
      <c r="I1109" t="s">
        <v>380</v>
      </c>
      <c r="J1109" s="11">
        <v>1</v>
      </c>
      <c r="K1109" s="12">
        <v>30</v>
      </c>
      <c r="L1109" s="12">
        <v>15.1</v>
      </c>
      <c r="M1109" s="13">
        <v>5</v>
      </c>
      <c r="N1109" s="13">
        <f t="shared" si="136"/>
        <v>30.218738425930496</v>
      </c>
      <c r="O1109" s="13">
        <f t="shared" si="137"/>
        <v>6.0324421296318178</v>
      </c>
      <c r="P1109" t="str">
        <f t="shared" si="138"/>
        <v>Delayed</v>
      </c>
      <c r="Q1109" s="13">
        <f t="shared" si="139"/>
        <v>0.31138888886198401</v>
      </c>
      <c r="R1109" s="13">
        <f t="shared" si="140"/>
        <v>3.1307754629669944</v>
      </c>
      <c r="S1109" s="13">
        <f t="shared" si="141"/>
        <v>27.074988425927586</v>
      </c>
      <c r="T1109" t="str">
        <f t="shared" si="142"/>
        <v>4-7 Days Late</v>
      </c>
      <c r="U1109" t="str">
        <f t="shared" si="143"/>
        <v>Needs Review</v>
      </c>
      <c r="V1109" t="s">
        <v>102</v>
      </c>
    </row>
    <row r="1110" spans="1:22">
      <c r="A1110" t="s">
        <v>1712</v>
      </c>
      <c r="B1110" s="10">
        <v>43142.95517361111</v>
      </c>
      <c r="C1110" s="10">
        <v>43142.963877314818</v>
      </c>
      <c r="D1110" s="10">
        <v>43145.91605324074</v>
      </c>
      <c r="E1110" s="10">
        <v>43146.87232638889</v>
      </c>
      <c r="F1110" s="10">
        <v>43157</v>
      </c>
      <c r="G1110" t="s">
        <v>8</v>
      </c>
      <c r="H1110" t="s">
        <v>1483</v>
      </c>
      <c r="I1110" t="s">
        <v>44</v>
      </c>
      <c r="J1110" s="11">
        <v>1</v>
      </c>
      <c r="K1110" s="12">
        <v>33</v>
      </c>
      <c r="L1110" s="12">
        <v>8.27</v>
      </c>
      <c r="M1110" s="13">
        <v>5</v>
      </c>
      <c r="N1110" s="13">
        <f t="shared" si="136"/>
        <v>3.9171527777798474</v>
      </c>
      <c r="O1110" s="13">
        <f t="shared" si="137"/>
        <v>0</v>
      </c>
      <c r="P1110" t="str">
        <f t="shared" si="138"/>
        <v>On Time</v>
      </c>
      <c r="Q1110" s="13">
        <f t="shared" si="139"/>
        <v>0.20888888899935409</v>
      </c>
      <c r="R1110" s="13">
        <f t="shared" si="140"/>
        <v>2.9521759259223472</v>
      </c>
      <c r="S1110" s="13">
        <f t="shared" si="141"/>
        <v>0.95627314814919373</v>
      </c>
      <c r="T1110" t="str">
        <f t="shared" si="142"/>
        <v>On Time/Early</v>
      </c>
      <c r="U1110" t="str">
        <f t="shared" si="143"/>
        <v>Normal</v>
      </c>
      <c r="V1110" t="s">
        <v>102</v>
      </c>
    </row>
    <row r="1111" spans="1:22">
      <c r="A1111" t="s">
        <v>1713</v>
      </c>
      <c r="B1111" s="10">
        <v>43143.775613425925</v>
      </c>
      <c r="C1111" s="10">
        <v>43143.805775462963</v>
      </c>
      <c r="D1111" s="10">
        <v>43146.651875000003</v>
      </c>
      <c r="E1111" s="10">
        <v>43152.797314814816</v>
      </c>
      <c r="F1111" s="10">
        <v>43168</v>
      </c>
      <c r="G1111" t="s">
        <v>20</v>
      </c>
      <c r="H1111" t="s">
        <v>1714</v>
      </c>
      <c r="I1111" t="s">
        <v>185</v>
      </c>
      <c r="J1111" s="11">
        <v>1</v>
      </c>
      <c r="K1111" s="12">
        <v>190</v>
      </c>
      <c r="L1111" s="12">
        <v>17.09</v>
      </c>
      <c r="M1111" s="13">
        <v>4</v>
      </c>
      <c r="N1111" s="13">
        <f t="shared" si="136"/>
        <v>9.0217013888905058</v>
      </c>
      <c r="O1111" s="13">
        <f t="shared" si="137"/>
        <v>0</v>
      </c>
      <c r="P1111" t="str">
        <f t="shared" si="138"/>
        <v>On Time</v>
      </c>
      <c r="Q1111" s="13">
        <f t="shared" si="139"/>
        <v>0.72388888889690861</v>
      </c>
      <c r="R1111" s="13">
        <f t="shared" si="140"/>
        <v>2.8460995370405726</v>
      </c>
      <c r="S1111" s="13">
        <f t="shared" si="141"/>
        <v>6.145439814812562</v>
      </c>
      <c r="T1111" t="str">
        <f t="shared" si="142"/>
        <v>On Time/Early</v>
      </c>
      <c r="U1111" t="str">
        <f t="shared" si="143"/>
        <v>Normal</v>
      </c>
      <c r="V1111" t="s">
        <v>102</v>
      </c>
    </row>
    <row r="1112" spans="1:22">
      <c r="A1112" t="s">
        <v>1715</v>
      </c>
      <c r="B1112" s="10">
        <v>43144.514745370368</v>
      </c>
      <c r="C1112" s="10">
        <v>43144.56113425926</v>
      </c>
      <c r="D1112" s="10">
        <v>43146.722048611111</v>
      </c>
      <c r="E1112" s="10">
        <v>43157.894490740742</v>
      </c>
      <c r="F1112" s="10">
        <v>43171</v>
      </c>
      <c r="G1112" t="s">
        <v>16</v>
      </c>
      <c r="H1112" t="s">
        <v>852</v>
      </c>
      <c r="I1112" t="s">
        <v>120</v>
      </c>
      <c r="J1112" s="11">
        <v>1</v>
      </c>
      <c r="K1112" s="12">
        <v>84</v>
      </c>
      <c r="L1112" s="12">
        <v>17.03</v>
      </c>
      <c r="M1112" s="13">
        <v>5</v>
      </c>
      <c r="N1112" s="13">
        <f t="shared" si="136"/>
        <v>13.379745370373712</v>
      </c>
      <c r="O1112" s="13">
        <f t="shared" si="137"/>
        <v>0</v>
      </c>
      <c r="P1112" t="str">
        <f t="shared" si="138"/>
        <v>On Time</v>
      </c>
      <c r="Q1112" s="13">
        <f t="shared" si="139"/>
        <v>1.1133333334000781</v>
      </c>
      <c r="R1112" s="13">
        <f t="shared" si="140"/>
        <v>2.1609143518508063</v>
      </c>
      <c r="S1112" s="13">
        <f t="shared" si="141"/>
        <v>11.172442129631236</v>
      </c>
      <c r="T1112" t="str">
        <f t="shared" si="142"/>
        <v>On Time/Early</v>
      </c>
      <c r="U1112" t="str">
        <f t="shared" si="143"/>
        <v>Normal</v>
      </c>
      <c r="V1112" t="s">
        <v>102</v>
      </c>
    </row>
    <row r="1113" spans="1:22">
      <c r="A1113" t="s">
        <v>1716</v>
      </c>
      <c r="B1113" s="10">
        <v>43144.801574074074</v>
      </c>
      <c r="C1113" s="10">
        <v>43144.810636574075</v>
      </c>
      <c r="D1113" s="10">
        <v>43150.974386574075</v>
      </c>
      <c r="E1113" s="10">
        <v>43158.061759259261</v>
      </c>
      <c r="F1113" s="10">
        <v>43172</v>
      </c>
      <c r="G1113" t="s">
        <v>8</v>
      </c>
      <c r="H1113" t="s">
        <v>140</v>
      </c>
      <c r="I1113" t="s">
        <v>339</v>
      </c>
      <c r="J1113" s="11">
        <v>1</v>
      </c>
      <c r="K1113" s="12">
        <v>179</v>
      </c>
      <c r="L1113" s="12">
        <v>17.5</v>
      </c>
      <c r="M1113" s="13">
        <v>5</v>
      </c>
      <c r="N1113" s="13">
        <f t="shared" si="136"/>
        <v>13.260185185186856</v>
      </c>
      <c r="O1113" s="13">
        <f t="shared" si="137"/>
        <v>0</v>
      </c>
      <c r="P1113" t="str">
        <f t="shared" si="138"/>
        <v>On Time</v>
      </c>
      <c r="Q1113" s="13">
        <f t="shared" si="139"/>
        <v>0.21750000002793968</v>
      </c>
      <c r="R1113" s="13">
        <f t="shared" si="140"/>
        <v>6.163749999999709</v>
      </c>
      <c r="S1113" s="13">
        <f t="shared" si="141"/>
        <v>7.0873726851859828</v>
      </c>
      <c r="T1113" t="str">
        <f t="shared" si="142"/>
        <v>On Time/Early</v>
      </c>
      <c r="U1113" t="str">
        <f t="shared" si="143"/>
        <v>Normal</v>
      </c>
      <c r="V1113" t="s">
        <v>102</v>
      </c>
    </row>
    <row r="1114" spans="1:22">
      <c r="A1114" t="s">
        <v>1717</v>
      </c>
      <c r="B1114" s="10">
        <v>43145.609513888892</v>
      </c>
      <c r="C1114" s="10">
        <v>43145.616666666669</v>
      </c>
      <c r="D1114" s="10">
        <v>43150.676539351851</v>
      </c>
      <c r="E1114" s="10">
        <v>43161.594988425924</v>
      </c>
      <c r="F1114" s="10">
        <v>43168</v>
      </c>
      <c r="G1114" t="s">
        <v>30</v>
      </c>
      <c r="H1114" t="s">
        <v>365</v>
      </c>
      <c r="I1114" t="s">
        <v>143</v>
      </c>
      <c r="J1114" s="11">
        <v>1</v>
      </c>
      <c r="K1114" s="12">
        <v>89.9</v>
      </c>
      <c r="L1114" s="12">
        <v>17.2</v>
      </c>
      <c r="M1114" s="13">
        <v>1</v>
      </c>
      <c r="N1114" s="13">
        <f t="shared" si="136"/>
        <v>15.985474537032133</v>
      </c>
      <c r="O1114" s="13">
        <f t="shared" si="137"/>
        <v>0</v>
      </c>
      <c r="P1114" t="str">
        <f t="shared" si="138"/>
        <v>On Time</v>
      </c>
      <c r="Q1114" s="13">
        <f t="shared" si="139"/>
        <v>0.17166666663251817</v>
      </c>
      <c r="R1114" s="13">
        <f t="shared" si="140"/>
        <v>5.0598726851821993</v>
      </c>
      <c r="S1114" s="13">
        <f t="shared" si="141"/>
        <v>10.918449074073578</v>
      </c>
      <c r="T1114" t="str">
        <f t="shared" si="142"/>
        <v>On Time/Early</v>
      </c>
      <c r="U1114" t="str">
        <f t="shared" si="143"/>
        <v>Normal</v>
      </c>
      <c r="V1114" t="s">
        <v>102</v>
      </c>
    </row>
    <row r="1115" spans="1:22">
      <c r="A1115" t="s">
        <v>1718</v>
      </c>
      <c r="B1115" s="10">
        <v>43145.634328703702</v>
      </c>
      <c r="C1115" s="10">
        <v>43146.163912037038</v>
      </c>
      <c r="D1115" s="10">
        <v>43147.831099537034</v>
      </c>
      <c r="E1115" s="10">
        <v>43161.741064814814</v>
      </c>
      <c r="F1115" s="10">
        <v>43168</v>
      </c>
      <c r="G1115" t="s">
        <v>164</v>
      </c>
      <c r="H1115" t="s">
        <v>986</v>
      </c>
      <c r="I1115" t="s">
        <v>154</v>
      </c>
      <c r="J1115" s="11">
        <v>1</v>
      </c>
      <c r="K1115" s="12">
        <v>171</v>
      </c>
      <c r="L1115" s="12">
        <v>15.95</v>
      </c>
      <c r="M1115" s="13">
        <v>3</v>
      </c>
      <c r="N1115" s="13">
        <f t="shared" si="136"/>
        <v>16.106736111112696</v>
      </c>
      <c r="O1115" s="13">
        <f t="shared" si="137"/>
        <v>0</v>
      </c>
      <c r="P1115" t="str">
        <f t="shared" si="138"/>
        <v>On Time</v>
      </c>
      <c r="Q1115" s="13">
        <f t="shared" si="139"/>
        <v>12.710000000079162</v>
      </c>
      <c r="R1115" s="13">
        <f t="shared" si="140"/>
        <v>1.6671874999956344</v>
      </c>
      <c r="S1115" s="13">
        <f t="shared" si="141"/>
        <v>13.909965277780429</v>
      </c>
      <c r="T1115" t="str">
        <f t="shared" si="142"/>
        <v>On Time/Early</v>
      </c>
      <c r="U1115" t="str">
        <f t="shared" si="143"/>
        <v>Normal</v>
      </c>
      <c r="V1115" t="s">
        <v>102</v>
      </c>
    </row>
    <row r="1116" spans="1:22">
      <c r="A1116" t="s">
        <v>1719</v>
      </c>
      <c r="B1116" s="10">
        <v>43145.642812500002</v>
      </c>
      <c r="C1116" s="10">
        <v>43145.650092592594</v>
      </c>
      <c r="D1116" s="10">
        <v>43147.862233796295</v>
      </c>
      <c r="E1116" s="10">
        <v>43168.007939814815</v>
      </c>
      <c r="F1116" s="10">
        <v>43174</v>
      </c>
      <c r="G1116" t="s">
        <v>57</v>
      </c>
      <c r="H1116" t="s">
        <v>254</v>
      </c>
      <c r="I1116" t="s">
        <v>380</v>
      </c>
      <c r="J1116" s="11">
        <v>1</v>
      </c>
      <c r="K1116" s="12">
        <v>44.9</v>
      </c>
      <c r="L1116" s="12">
        <v>26.89</v>
      </c>
      <c r="M1116" s="13">
        <v>5</v>
      </c>
      <c r="N1116" s="13">
        <f t="shared" si="136"/>
        <v>22.365127314813435</v>
      </c>
      <c r="O1116" s="13">
        <f t="shared" si="137"/>
        <v>0</v>
      </c>
      <c r="P1116" t="str">
        <f t="shared" si="138"/>
        <v>On Time</v>
      </c>
      <c r="Q1116" s="13">
        <f t="shared" si="139"/>
        <v>0.17472222220385447</v>
      </c>
      <c r="R1116" s="13">
        <f t="shared" si="140"/>
        <v>2.2121412037013215</v>
      </c>
      <c r="S1116" s="13">
        <f t="shared" si="141"/>
        <v>20.145706018520286</v>
      </c>
      <c r="T1116" t="str">
        <f t="shared" si="142"/>
        <v>On Time/Early</v>
      </c>
      <c r="U1116" t="str">
        <f t="shared" si="143"/>
        <v>Normal</v>
      </c>
      <c r="V1116" t="s">
        <v>102</v>
      </c>
    </row>
    <row r="1117" spans="1:22">
      <c r="A1117" t="s">
        <v>1720</v>
      </c>
      <c r="B1117" s="10">
        <v>43145.733252314814</v>
      </c>
      <c r="C1117" s="10">
        <v>43145.743344907409</v>
      </c>
      <c r="D1117" s="10">
        <v>43146.857025462959</v>
      </c>
      <c r="E1117" s="10">
        <v>43154.048113425924</v>
      </c>
      <c r="F1117" s="10">
        <v>43173</v>
      </c>
      <c r="G1117" t="s">
        <v>30</v>
      </c>
      <c r="H1117" t="s">
        <v>549</v>
      </c>
      <c r="I1117" t="s">
        <v>136</v>
      </c>
      <c r="J1117" s="11">
        <v>1</v>
      </c>
      <c r="K1117" s="12">
        <v>40.49</v>
      </c>
      <c r="L1117" s="12">
        <v>14.1</v>
      </c>
      <c r="M1117" s="13">
        <v>5</v>
      </c>
      <c r="N1117" s="13">
        <f t="shared" si="136"/>
        <v>8.3148611111100763</v>
      </c>
      <c r="O1117" s="13">
        <f t="shared" si="137"/>
        <v>0</v>
      </c>
      <c r="P1117" t="str">
        <f t="shared" si="138"/>
        <v>On Time</v>
      </c>
      <c r="Q1117" s="13">
        <f t="shared" si="139"/>
        <v>0.24222222226671875</v>
      </c>
      <c r="R1117" s="13">
        <f t="shared" si="140"/>
        <v>1.1136805555506726</v>
      </c>
      <c r="S1117" s="13">
        <f t="shared" si="141"/>
        <v>7.1910879629649571</v>
      </c>
      <c r="T1117" t="str">
        <f t="shared" si="142"/>
        <v>On Time/Early</v>
      </c>
      <c r="U1117" t="str">
        <f t="shared" si="143"/>
        <v>Normal</v>
      </c>
      <c r="V1117" t="s">
        <v>102</v>
      </c>
    </row>
    <row r="1118" spans="1:22">
      <c r="A1118" t="s">
        <v>1721</v>
      </c>
      <c r="B1118" s="10">
        <v>43145.744189814817</v>
      </c>
      <c r="C1118" s="10">
        <v>43145.755798611113</v>
      </c>
      <c r="D1118" s="10">
        <v>43146.561435185184</v>
      </c>
      <c r="E1118" s="10">
        <v>43151.619363425925</v>
      </c>
      <c r="F1118" s="10">
        <v>43166</v>
      </c>
      <c r="G1118" t="s">
        <v>36</v>
      </c>
      <c r="H1118" t="s">
        <v>467</v>
      </c>
      <c r="I1118" t="s">
        <v>180</v>
      </c>
      <c r="J1118" s="11">
        <v>2</v>
      </c>
      <c r="K1118" s="12">
        <v>68</v>
      </c>
      <c r="L1118" s="12">
        <v>28.2</v>
      </c>
      <c r="M1118" s="13">
        <v>5</v>
      </c>
      <c r="N1118" s="13">
        <f t="shared" si="136"/>
        <v>5.875173611108039</v>
      </c>
      <c r="O1118" s="13">
        <f t="shared" si="137"/>
        <v>0</v>
      </c>
      <c r="P1118" t="str">
        <f t="shared" si="138"/>
        <v>On Time</v>
      </c>
      <c r="Q1118" s="13">
        <f t="shared" si="139"/>
        <v>0.2786111111054197</v>
      </c>
      <c r="R1118" s="13">
        <f t="shared" si="140"/>
        <v>0.80563657407037681</v>
      </c>
      <c r="S1118" s="13">
        <f t="shared" si="141"/>
        <v>5.0579282407416031</v>
      </c>
      <c r="T1118" t="str">
        <f t="shared" si="142"/>
        <v>On Time/Early</v>
      </c>
      <c r="U1118" t="str">
        <f t="shared" si="143"/>
        <v>Normal</v>
      </c>
      <c r="V1118" t="s">
        <v>102</v>
      </c>
    </row>
    <row r="1119" spans="1:22">
      <c r="A1119" t="s">
        <v>1722</v>
      </c>
      <c r="B1119" s="10">
        <v>43145.892233796294</v>
      </c>
      <c r="C1119" s="10">
        <v>43145.916898148149</v>
      </c>
      <c r="D1119" s="10">
        <v>43151.939953703702</v>
      </c>
      <c r="E1119" s="10">
        <v>43160.717557870368</v>
      </c>
      <c r="F1119" s="10">
        <v>43166</v>
      </c>
      <c r="G1119" t="s">
        <v>8</v>
      </c>
      <c r="H1119" t="s">
        <v>880</v>
      </c>
      <c r="I1119" t="s">
        <v>1087</v>
      </c>
      <c r="J1119" s="11">
        <v>1</v>
      </c>
      <c r="K1119" s="12">
        <v>79.900000000000006</v>
      </c>
      <c r="L1119" s="12">
        <v>18.45</v>
      </c>
      <c r="M1119" s="13">
        <v>2</v>
      </c>
      <c r="N1119" s="13">
        <f t="shared" si="136"/>
        <v>14.82532407407416</v>
      </c>
      <c r="O1119" s="13">
        <f t="shared" si="137"/>
        <v>0</v>
      </c>
      <c r="P1119" t="str">
        <f t="shared" si="138"/>
        <v>On Time</v>
      </c>
      <c r="Q1119" s="13">
        <f t="shared" si="139"/>
        <v>0.59194444451713935</v>
      </c>
      <c r="R1119" s="13">
        <f t="shared" si="140"/>
        <v>6.023055555553583</v>
      </c>
      <c r="S1119" s="13">
        <f t="shared" si="141"/>
        <v>8.7776041666656965</v>
      </c>
      <c r="T1119" t="str">
        <f t="shared" si="142"/>
        <v>On Time/Early</v>
      </c>
      <c r="U1119" t="str">
        <f t="shared" si="143"/>
        <v>Normal</v>
      </c>
      <c r="V1119" t="s">
        <v>102</v>
      </c>
    </row>
    <row r="1120" spans="1:22">
      <c r="A1120" t="s">
        <v>1723</v>
      </c>
      <c r="B1120" s="10">
        <v>43146.408888888887</v>
      </c>
      <c r="C1120" s="10">
        <v>43146.754849537036</v>
      </c>
      <c r="D1120" s="10">
        <v>43151.633402777778</v>
      </c>
      <c r="E1120" s="10">
        <v>43152.735590277778</v>
      </c>
      <c r="F1120" s="10">
        <v>43161</v>
      </c>
      <c r="G1120" t="s">
        <v>8</v>
      </c>
      <c r="H1120" t="s">
        <v>588</v>
      </c>
      <c r="I1120" t="s">
        <v>180</v>
      </c>
      <c r="J1120" s="11">
        <v>2</v>
      </c>
      <c r="K1120" s="12">
        <v>148</v>
      </c>
      <c r="L1120" s="12">
        <v>26.16</v>
      </c>
      <c r="M1120" s="13">
        <v>4</v>
      </c>
      <c r="N1120" s="13">
        <f t="shared" si="136"/>
        <v>6.3267013888907968</v>
      </c>
      <c r="O1120" s="13">
        <f t="shared" si="137"/>
        <v>0</v>
      </c>
      <c r="P1120" t="str">
        <f t="shared" si="138"/>
        <v>On Time</v>
      </c>
      <c r="Q1120" s="13">
        <f t="shared" si="139"/>
        <v>8.3030555555596948</v>
      </c>
      <c r="R1120" s="13">
        <f t="shared" si="140"/>
        <v>4.8785532407418941</v>
      </c>
      <c r="S1120" s="13">
        <f t="shared" si="141"/>
        <v>1.1021875000005821</v>
      </c>
      <c r="T1120" t="str">
        <f t="shared" si="142"/>
        <v>On Time/Early</v>
      </c>
      <c r="U1120" t="str">
        <f t="shared" si="143"/>
        <v>Normal</v>
      </c>
      <c r="V1120" t="s">
        <v>102</v>
      </c>
    </row>
    <row r="1121" spans="1:22">
      <c r="A1121" t="s">
        <v>1724</v>
      </c>
      <c r="B1121" s="10">
        <v>43146.40996527778</v>
      </c>
      <c r="C1121" s="10">
        <v>43147.338229166664</v>
      </c>
      <c r="D1121" s="10">
        <v>43151.075856481482</v>
      </c>
      <c r="E1121" s="10">
        <v>43158.852210648147</v>
      </c>
      <c r="F1121" s="10">
        <v>43167</v>
      </c>
      <c r="G1121" t="s">
        <v>20</v>
      </c>
      <c r="H1121" t="s">
        <v>104</v>
      </c>
      <c r="I1121" t="s">
        <v>141</v>
      </c>
      <c r="J1121" s="11">
        <v>1</v>
      </c>
      <c r="K1121" s="12">
        <v>61.9</v>
      </c>
      <c r="L1121" s="12">
        <v>16.68</v>
      </c>
      <c r="M1121" s="13">
        <v>4</v>
      </c>
      <c r="N1121" s="13">
        <f t="shared" si="136"/>
        <v>12.442245370366436</v>
      </c>
      <c r="O1121" s="13">
        <f t="shared" si="137"/>
        <v>0</v>
      </c>
      <c r="P1121" t="str">
        <f t="shared" si="138"/>
        <v>On Time</v>
      </c>
      <c r="Q1121" s="13">
        <f t="shared" si="139"/>
        <v>22.2783333332045</v>
      </c>
      <c r="R1121" s="13">
        <f t="shared" si="140"/>
        <v>3.7376273148183827</v>
      </c>
      <c r="S1121" s="13">
        <f t="shared" si="141"/>
        <v>7.7763541666645324</v>
      </c>
      <c r="T1121" t="str">
        <f t="shared" si="142"/>
        <v>On Time/Early</v>
      </c>
      <c r="U1121" t="str">
        <f t="shared" si="143"/>
        <v>Normal</v>
      </c>
      <c r="V1121" t="s">
        <v>102</v>
      </c>
    </row>
    <row r="1122" spans="1:22">
      <c r="A1122" t="s">
        <v>1725</v>
      </c>
      <c r="B1122" s="10">
        <v>43146.505729166667</v>
      </c>
      <c r="C1122" s="10">
        <v>43146.519988425927</v>
      </c>
      <c r="D1122" s="10">
        <v>43148.007326388892</v>
      </c>
      <c r="E1122" s="10">
        <v>43150.780127314814</v>
      </c>
      <c r="F1122" s="10">
        <v>43160</v>
      </c>
      <c r="G1122" t="s">
        <v>8</v>
      </c>
      <c r="H1122" t="s">
        <v>161</v>
      </c>
      <c r="I1122" t="s">
        <v>185</v>
      </c>
      <c r="J1122" s="11">
        <v>1</v>
      </c>
      <c r="K1122" s="12">
        <v>28</v>
      </c>
      <c r="L1122" s="12">
        <v>8.27</v>
      </c>
      <c r="M1122" s="13">
        <v>5</v>
      </c>
      <c r="N1122" s="13">
        <f t="shared" si="136"/>
        <v>4.2743981481471565</v>
      </c>
      <c r="O1122" s="13">
        <f t="shared" si="137"/>
        <v>0</v>
      </c>
      <c r="P1122" t="str">
        <f t="shared" si="138"/>
        <v>On Time</v>
      </c>
      <c r="Q1122" s="13">
        <f t="shared" si="139"/>
        <v>0.34222222224343568</v>
      </c>
      <c r="R1122" s="13">
        <f t="shared" si="140"/>
        <v>1.487337962964375</v>
      </c>
      <c r="S1122" s="13">
        <f t="shared" si="141"/>
        <v>2.7728009259226383</v>
      </c>
      <c r="T1122" t="str">
        <f t="shared" si="142"/>
        <v>On Time/Early</v>
      </c>
      <c r="U1122" t="str">
        <f t="shared" si="143"/>
        <v>Normal</v>
      </c>
      <c r="V1122" t="s">
        <v>102</v>
      </c>
    </row>
    <row r="1123" spans="1:22">
      <c r="A1123" t="s">
        <v>1726</v>
      </c>
      <c r="B1123" s="10">
        <v>43146.659166666665</v>
      </c>
      <c r="C1123" s="10">
        <v>43146.671238425923</v>
      </c>
      <c r="D1123" s="10">
        <v>43147.93409722222</v>
      </c>
      <c r="E1123" s="10">
        <v>43150.655347222222</v>
      </c>
      <c r="F1123" s="10">
        <v>43161</v>
      </c>
      <c r="G1123" t="s">
        <v>8</v>
      </c>
      <c r="H1123" t="s">
        <v>140</v>
      </c>
      <c r="I1123" t="s">
        <v>143</v>
      </c>
      <c r="J1123" s="11">
        <v>1</v>
      </c>
      <c r="K1123" s="12">
        <v>98.9</v>
      </c>
      <c r="L1123" s="12">
        <v>7.95</v>
      </c>
      <c r="M1123" s="13">
        <v>5</v>
      </c>
      <c r="N1123" s="13">
        <f t="shared" si="136"/>
        <v>3.9961805555576575</v>
      </c>
      <c r="O1123" s="13">
        <f t="shared" si="137"/>
        <v>0</v>
      </c>
      <c r="P1123" t="str">
        <f t="shared" si="138"/>
        <v>On Time</v>
      </c>
      <c r="Q1123" s="13">
        <f t="shared" si="139"/>
        <v>0.28972222219454125</v>
      </c>
      <c r="R1123" s="13">
        <f t="shared" si="140"/>
        <v>1.2628587962972233</v>
      </c>
      <c r="S1123" s="13">
        <f t="shared" si="141"/>
        <v>2.7212500000023283</v>
      </c>
      <c r="T1123" t="str">
        <f t="shared" si="142"/>
        <v>On Time/Early</v>
      </c>
      <c r="U1123" t="str">
        <f t="shared" si="143"/>
        <v>Normal</v>
      </c>
      <c r="V1123" t="s">
        <v>102</v>
      </c>
    </row>
    <row r="1124" spans="1:22">
      <c r="A1124" t="s">
        <v>1727</v>
      </c>
      <c r="B1124" s="10">
        <v>43147.580879629626</v>
      </c>
      <c r="C1124" s="10">
        <v>43147.590624999997</v>
      </c>
      <c r="D1124" s="10">
        <v>43152.839606481481</v>
      </c>
      <c r="E1124" s="10">
        <v>43158.485555555555</v>
      </c>
      <c r="F1124" s="10">
        <v>43172</v>
      </c>
      <c r="G1124" t="s">
        <v>23</v>
      </c>
      <c r="H1124" t="s">
        <v>1158</v>
      </c>
      <c r="I1124" t="s">
        <v>37</v>
      </c>
      <c r="J1124" s="11">
        <v>4</v>
      </c>
      <c r="K1124" s="12">
        <v>1596</v>
      </c>
      <c r="L1124" s="12">
        <v>207.24</v>
      </c>
      <c r="M1124" s="13">
        <v>1</v>
      </c>
      <c r="N1124" s="13">
        <f t="shared" si="136"/>
        <v>10.904675925929041</v>
      </c>
      <c r="O1124" s="13">
        <f t="shared" si="137"/>
        <v>0</v>
      </c>
      <c r="P1124" t="str">
        <f t="shared" si="138"/>
        <v>On Time</v>
      </c>
      <c r="Q1124" s="13">
        <f t="shared" si="139"/>
        <v>0.23388888890622184</v>
      </c>
      <c r="R1124" s="13">
        <f t="shared" si="140"/>
        <v>5.2489814814834972</v>
      </c>
      <c r="S1124" s="13">
        <f t="shared" si="141"/>
        <v>5.6459490740744513</v>
      </c>
      <c r="T1124" t="str">
        <f t="shared" si="142"/>
        <v>On Time/Early</v>
      </c>
      <c r="U1124" t="str">
        <f t="shared" si="143"/>
        <v>Normal</v>
      </c>
      <c r="V1124" t="s">
        <v>102</v>
      </c>
    </row>
    <row r="1125" spans="1:22">
      <c r="A1125" t="s">
        <v>1728</v>
      </c>
      <c r="B1125" s="10">
        <v>43147.638020833336</v>
      </c>
      <c r="C1125" s="10">
        <v>43147.646087962959</v>
      </c>
      <c r="D1125" s="10">
        <v>43152.992430555554</v>
      </c>
      <c r="E1125" s="10">
        <v>43162.744004629632</v>
      </c>
      <c r="F1125" s="10">
        <v>43173</v>
      </c>
      <c r="G1125" t="s">
        <v>20</v>
      </c>
      <c r="H1125" t="s">
        <v>1729</v>
      </c>
      <c r="I1125" t="s">
        <v>58</v>
      </c>
      <c r="J1125" s="11">
        <v>1</v>
      </c>
      <c r="K1125" s="12">
        <v>59.99</v>
      </c>
      <c r="L1125" s="12">
        <v>16.18</v>
      </c>
      <c r="M1125" s="13">
        <v>5</v>
      </c>
      <c r="N1125" s="13">
        <f t="shared" si="136"/>
        <v>15.105983796296641</v>
      </c>
      <c r="O1125" s="13">
        <f t="shared" si="137"/>
        <v>0</v>
      </c>
      <c r="P1125" t="str">
        <f t="shared" si="138"/>
        <v>On Time</v>
      </c>
      <c r="Q1125" s="13">
        <f t="shared" si="139"/>
        <v>0.19361111096804962</v>
      </c>
      <c r="R1125" s="13">
        <f t="shared" si="140"/>
        <v>5.3463425925947377</v>
      </c>
      <c r="S1125" s="13">
        <f t="shared" si="141"/>
        <v>9.7515740740782348</v>
      </c>
      <c r="T1125" t="str">
        <f t="shared" si="142"/>
        <v>On Time/Early</v>
      </c>
      <c r="U1125" t="str">
        <f t="shared" si="143"/>
        <v>Normal</v>
      </c>
      <c r="V1125" t="s">
        <v>102</v>
      </c>
    </row>
    <row r="1126" spans="1:22">
      <c r="A1126" t="s">
        <v>1730</v>
      </c>
      <c r="B1126" s="10">
        <v>43147.64603009259</v>
      </c>
      <c r="C1126" s="10">
        <v>43147.657638888886</v>
      </c>
      <c r="D1126" s="10">
        <v>43152.058981481481</v>
      </c>
      <c r="E1126" s="10">
        <v>43154.529282407406</v>
      </c>
      <c r="F1126" s="10">
        <v>43173</v>
      </c>
      <c r="G1126" t="s">
        <v>23</v>
      </c>
      <c r="H1126" t="s">
        <v>1158</v>
      </c>
      <c r="I1126" t="s">
        <v>154</v>
      </c>
      <c r="J1126" s="11">
        <v>3</v>
      </c>
      <c r="K1126" s="12">
        <v>107.1</v>
      </c>
      <c r="L1126" s="12">
        <v>53.76</v>
      </c>
      <c r="M1126" s="13">
        <v>3</v>
      </c>
      <c r="N1126" s="13">
        <f t="shared" si="136"/>
        <v>6.8832523148157634</v>
      </c>
      <c r="O1126" s="13">
        <f t="shared" si="137"/>
        <v>0</v>
      </c>
      <c r="P1126" t="str">
        <f t="shared" si="138"/>
        <v>On Time</v>
      </c>
      <c r="Q1126" s="13">
        <f t="shared" si="139"/>
        <v>0.2786111111054197</v>
      </c>
      <c r="R1126" s="13">
        <f t="shared" si="140"/>
        <v>4.4013425925950287</v>
      </c>
      <c r="S1126" s="13">
        <f t="shared" si="141"/>
        <v>2.4703009259246755</v>
      </c>
      <c r="T1126" t="str">
        <f t="shared" si="142"/>
        <v>On Time/Early</v>
      </c>
      <c r="U1126" t="str">
        <f t="shared" si="143"/>
        <v>Normal</v>
      </c>
      <c r="V1126" t="s">
        <v>102</v>
      </c>
    </row>
    <row r="1127" spans="1:22">
      <c r="A1127" t="s">
        <v>1731</v>
      </c>
      <c r="B1127" s="10">
        <v>43147.649965277778</v>
      </c>
      <c r="C1127" s="10">
        <v>43148.149814814817</v>
      </c>
      <c r="D1127" s="10">
        <v>43151.07408564815</v>
      </c>
      <c r="E1127" s="10">
        <v>43164.901805555557</v>
      </c>
      <c r="F1127" s="10">
        <v>43185</v>
      </c>
      <c r="G1127" t="s">
        <v>16</v>
      </c>
      <c r="H1127" t="s">
        <v>1732</v>
      </c>
      <c r="I1127" t="s">
        <v>120</v>
      </c>
      <c r="J1127" s="11">
        <v>1</v>
      </c>
      <c r="K1127" s="12">
        <v>108</v>
      </c>
      <c r="L1127" s="12">
        <v>18.329999999999998</v>
      </c>
      <c r="M1127" s="13">
        <v>3</v>
      </c>
      <c r="N1127" s="13">
        <f t="shared" si="136"/>
        <v>17.251840277778683</v>
      </c>
      <c r="O1127" s="13">
        <f t="shared" si="137"/>
        <v>0</v>
      </c>
      <c r="P1127" t="str">
        <f t="shared" si="138"/>
        <v>On Time</v>
      </c>
      <c r="Q1127" s="13">
        <f t="shared" si="139"/>
        <v>11.996388888917863</v>
      </c>
      <c r="R1127" s="13">
        <f t="shared" si="140"/>
        <v>2.9242708333331393</v>
      </c>
      <c r="S1127" s="13">
        <f t="shared" si="141"/>
        <v>13.8277199074073</v>
      </c>
      <c r="T1127" t="str">
        <f t="shared" si="142"/>
        <v>On Time/Early</v>
      </c>
      <c r="U1127" t="str">
        <f t="shared" si="143"/>
        <v>Normal</v>
      </c>
      <c r="V1127" t="s">
        <v>102</v>
      </c>
    </row>
    <row r="1128" spans="1:22">
      <c r="A1128" t="s">
        <v>1733</v>
      </c>
      <c r="B1128" s="10">
        <v>43147.727199074077</v>
      </c>
      <c r="C1128" s="10">
        <v>43147.741388888891</v>
      </c>
      <c r="D1128" s="10">
        <v>43150.915601851855</v>
      </c>
      <c r="E1128" s="10">
        <v>43159.718009259261</v>
      </c>
      <c r="F1128" s="10">
        <v>43171</v>
      </c>
      <c r="G1128" t="s">
        <v>20</v>
      </c>
      <c r="H1128" t="s">
        <v>104</v>
      </c>
      <c r="I1128" t="s">
        <v>185</v>
      </c>
      <c r="J1128" s="11">
        <v>1</v>
      </c>
      <c r="K1128" s="12">
        <v>59.9</v>
      </c>
      <c r="L1128" s="12">
        <v>17.670000000000002</v>
      </c>
      <c r="M1128" s="13">
        <v>3</v>
      </c>
      <c r="N1128" s="13">
        <f t="shared" si="136"/>
        <v>11.990810185183364</v>
      </c>
      <c r="O1128" s="13">
        <f t="shared" si="137"/>
        <v>0</v>
      </c>
      <c r="P1128" t="str">
        <f t="shared" si="138"/>
        <v>On Time</v>
      </c>
      <c r="Q1128" s="13">
        <f t="shared" si="139"/>
        <v>0.3405555555364117</v>
      </c>
      <c r="R1128" s="13">
        <f t="shared" si="140"/>
        <v>3.174212962963793</v>
      </c>
      <c r="S1128" s="13">
        <f t="shared" si="141"/>
        <v>8.8024074074055534</v>
      </c>
      <c r="T1128" t="str">
        <f t="shared" si="142"/>
        <v>On Time/Early</v>
      </c>
      <c r="U1128" t="str">
        <f t="shared" si="143"/>
        <v>Normal</v>
      </c>
      <c r="V1128" t="s">
        <v>102</v>
      </c>
    </row>
    <row r="1129" spans="1:22">
      <c r="A1129" t="s">
        <v>1734</v>
      </c>
      <c r="B1129" s="10">
        <v>43148.604317129626</v>
      </c>
      <c r="C1129" s="10">
        <v>43148.615787037037</v>
      </c>
      <c r="D1129" s="10">
        <v>43152.883391203701</v>
      </c>
      <c r="E1129" s="10">
        <v>43167.049976851849</v>
      </c>
      <c r="F1129" s="10">
        <v>43174</v>
      </c>
      <c r="G1129" t="s">
        <v>16</v>
      </c>
      <c r="H1129" t="s">
        <v>138</v>
      </c>
      <c r="I1129" t="s">
        <v>136</v>
      </c>
      <c r="J1129" s="11">
        <v>1</v>
      </c>
      <c r="K1129" s="12">
        <v>19.989999999999998</v>
      </c>
      <c r="L1129" s="12">
        <v>16.600000000000001</v>
      </c>
      <c r="M1129" s="13">
        <v>5</v>
      </c>
      <c r="N1129" s="13">
        <f t="shared" si="136"/>
        <v>18.445659722223354</v>
      </c>
      <c r="O1129" s="13">
        <f t="shared" si="137"/>
        <v>0</v>
      </c>
      <c r="P1129" t="str">
        <f t="shared" si="138"/>
        <v>On Time</v>
      </c>
      <c r="Q1129" s="13">
        <f t="shared" si="139"/>
        <v>0.27527777786599472</v>
      </c>
      <c r="R1129" s="13">
        <f t="shared" si="140"/>
        <v>4.2676041666636593</v>
      </c>
      <c r="S1129" s="13">
        <f t="shared" si="141"/>
        <v>14.166585648148612</v>
      </c>
      <c r="T1129" t="str">
        <f t="shared" si="142"/>
        <v>On Time/Early</v>
      </c>
      <c r="U1129" t="str">
        <f t="shared" si="143"/>
        <v>Normal</v>
      </c>
      <c r="V1129" t="s">
        <v>102</v>
      </c>
    </row>
    <row r="1130" spans="1:22">
      <c r="A1130" t="s">
        <v>1735</v>
      </c>
      <c r="B1130" s="10">
        <v>43148.903715277775</v>
      </c>
      <c r="C1130" s="10">
        <v>43148.910069444442</v>
      </c>
      <c r="D1130" s="10">
        <v>43151.029340277775</v>
      </c>
      <c r="E1130" s="10">
        <v>43158.786759259259</v>
      </c>
      <c r="F1130" s="10">
        <v>43180</v>
      </c>
      <c r="G1130" t="s">
        <v>57</v>
      </c>
      <c r="H1130" t="s">
        <v>1736</v>
      </c>
      <c r="I1130" t="s">
        <v>34</v>
      </c>
      <c r="J1130" s="11">
        <v>1</v>
      </c>
      <c r="K1130" s="12">
        <v>169.9</v>
      </c>
      <c r="L1130" s="12">
        <v>46.78</v>
      </c>
      <c r="M1130" s="13">
        <v>3</v>
      </c>
      <c r="N1130" s="13">
        <f t="shared" si="136"/>
        <v>9.8830439814846613</v>
      </c>
      <c r="O1130" s="13">
        <f t="shared" si="137"/>
        <v>0</v>
      </c>
      <c r="P1130" t="str">
        <f t="shared" si="138"/>
        <v>On Time</v>
      </c>
      <c r="Q1130" s="13">
        <f t="shared" si="139"/>
        <v>0.15250000002561137</v>
      </c>
      <c r="R1130" s="13">
        <f t="shared" si="140"/>
        <v>2.1192708333328483</v>
      </c>
      <c r="S1130" s="13">
        <f t="shared" si="141"/>
        <v>7.7574189814840793</v>
      </c>
      <c r="T1130" t="str">
        <f t="shared" si="142"/>
        <v>On Time/Early</v>
      </c>
      <c r="U1130" t="str">
        <f t="shared" si="143"/>
        <v>Normal</v>
      </c>
      <c r="V1130" t="s">
        <v>102</v>
      </c>
    </row>
    <row r="1131" spans="1:22">
      <c r="A1131" t="s">
        <v>1737</v>
      </c>
      <c r="B1131" s="10">
        <v>43149.686608796299</v>
      </c>
      <c r="C1131" s="10">
        <v>43149.732974537037</v>
      </c>
      <c r="D1131" s="10">
        <v>43151.657939814817</v>
      </c>
      <c r="E1131" s="10">
        <v>43175.832627314812</v>
      </c>
      <c r="F1131" s="10">
        <v>43174</v>
      </c>
      <c r="G1131" t="s">
        <v>23</v>
      </c>
      <c r="H1131" t="s">
        <v>275</v>
      </c>
      <c r="I1131" t="s">
        <v>120</v>
      </c>
      <c r="J1131" s="11">
        <v>1</v>
      </c>
      <c r="K1131" s="12">
        <v>22.99</v>
      </c>
      <c r="L1131" s="12">
        <v>15.79</v>
      </c>
      <c r="M1131" s="13">
        <v>5</v>
      </c>
      <c r="N1131" s="13">
        <f t="shared" si="136"/>
        <v>26.146018518513301</v>
      </c>
      <c r="O1131" s="13">
        <f t="shared" si="137"/>
        <v>1.8326273148122709</v>
      </c>
      <c r="P1131" t="str">
        <f t="shared" si="138"/>
        <v>Delayed</v>
      </c>
      <c r="Q1131" s="13">
        <f t="shared" si="139"/>
        <v>1.1127777777146548</v>
      </c>
      <c r="R1131" s="13">
        <f t="shared" si="140"/>
        <v>1.9249652777798474</v>
      </c>
      <c r="S1131" s="13">
        <f t="shared" si="141"/>
        <v>24.174687499995343</v>
      </c>
      <c r="T1131" t="str">
        <f t="shared" si="142"/>
        <v>1-3 Days Late</v>
      </c>
      <c r="U1131" t="str">
        <f t="shared" si="143"/>
        <v>Needs Review</v>
      </c>
      <c r="V1131" t="s">
        <v>102</v>
      </c>
    </row>
    <row r="1132" spans="1:22">
      <c r="A1132" t="s">
        <v>1738</v>
      </c>
      <c r="B1132" s="10">
        <v>43149.780868055554</v>
      </c>
      <c r="C1132" s="10">
        <v>43149.824166666665</v>
      </c>
      <c r="D1132" s="10">
        <v>43151.025821759256</v>
      </c>
      <c r="E1132" s="10">
        <v>43157.783159722225</v>
      </c>
      <c r="F1132" s="10">
        <v>43168</v>
      </c>
      <c r="G1132" t="s">
        <v>8</v>
      </c>
      <c r="H1132" t="s">
        <v>225</v>
      </c>
      <c r="I1132" t="s">
        <v>58</v>
      </c>
      <c r="J1132" s="11">
        <v>1</v>
      </c>
      <c r="K1132" s="12">
        <v>149.99</v>
      </c>
      <c r="L1132" s="12">
        <v>16.68</v>
      </c>
      <c r="M1132" s="13">
        <v>5</v>
      </c>
      <c r="N1132" s="13">
        <f t="shared" si="136"/>
        <v>8.0022916666712263</v>
      </c>
      <c r="O1132" s="13">
        <f t="shared" si="137"/>
        <v>0</v>
      </c>
      <c r="P1132" t="str">
        <f t="shared" si="138"/>
        <v>On Time</v>
      </c>
      <c r="Q1132" s="13">
        <f t="shared" si="139"/>
        <v>1.0391666666837409</v>
      </c>
      <c r="R1132" s="13">
        <f t="shared" si="140"/>
        <v>1.2016550925909542</v>
      </c>
      <c r="S1132" s="13">
        <f t="shared" si="141"/>
        <v>6.7573379629684496</v>
      </c>
      <c r="T1132" t="str">
        <f t="shared" si="142"/>
        <v>On Time/Early</v>
      </c>
      <c r="U1132" t="str">
        <f t="shared" si="143"/>
        <v>Normal</v>
      </c>
      <c r="V1132" t="s">
        <v>102</v>
      </c>
    </row>
    <row r="1133" spans="1:22">
      <c r="A1133" t="s">
        <v>1739</v>
      </c>
      <c r="B1133" s="10">
        <v>43150.601701388892</v>
      </c>
      <c r="C1133" s="10">
        <v>43150.60796296296</v>
      </c>
      <c r="D1133" s="10">
        <v>43151.045057870368</v>
      </c>
      <c r="E1133" s="10">
        <v>43158.499745370369</v>
      </c>
      <c r="F1133" s="10">
        <v>43174</v>
      </c>
      <c r="G1133" t="s">
        <v>23</v>
      </c>
      <c r="H1133" t="s">
        <v>637</v>
      </c>
      <c r="I1133" t="s">
        <v>17</v>
      </c>
      <c r="J1133" s="11">
        <v>1</v>
      </c>
      <c r="K1133" s="12">
        <v>29.9</v>
      </c>
      <c r="L1133" s="12">
        <v>16.79</v>
      </c>
      <c r="M1133" s="13">
        <v>5</v>
      </c>
      <c r="N1133" s="13">
        <f t="shared" si="136"/>
        <v>7.8980439814768033</v>
      </c>
      <c r="O1133" s="13">
        <f t="shared" si="137"/>
        <v>0</v>
      </c>
      <c r="P1133" t="str">
        <f t="shared" si="138"/>
        <v>On Time</v>
      </c>
      <c r="Q1133" s="13">
        <f t="shared" si="139"/>
        <v>0.15027777763316408</v>
      </c>
      <c r="R1133" s="13">
        <f t="shared" si="140"/>
        <v>0.43709490740729962</v>
      </c>
      <c r="S1133" s="13">
        <f t="shared" si="141"/>
        <v>7.4546875000014552</v>
      </c>
      <c r="T1133" t="str">
        <f t="shared" si="142"/>
        <v>On Time/Early</v>
      </c>
      <c r="U1133" t="str">
        <f t="shared" si="143"/>
        <v>Normal</v>
      </c>
      <c r="V1133" t="s">
        <v>102</v>
      </c>
    </row>
    <row r="1134" spans="1:22">
      <c r="A1134" t="s">
        <v>1740</v>
      </c>
      <c r="B1134" s="10">
        <v>43150.712106481478</v>
      </c>
      <c r="C1134" s="10">
        <v>43150.757256944446</v>
      </c>
      <c r="D1134" s="10">
        <v>43151.805092592593</v>
      </c>
      <c r="E1134" s="10">
        <v>43164.994814814818</v>
      </c>
      <c r="F1134" s="10">
        <v>43180</v>
      </c>
      <c r="G1134" t="s">
        <v>30</v>
      </c>
      <c r="H1134" t="s">
        <v>1741</v>
      </c>
      <c r="I1134" t="s">
        <v>101</v>
      </c>
      <c r="J1134" s="11">
        <v>1</v>
      </c>
      <c r="K1134" s="12">
        <v>145.5</v>
      </c>
      <c r="L1134" s="12">
        <v>18.27</v>
      </c>
      <c r="M1134" s="13">
        <v>5</v>
      </c>
      <c r="N1134" s="13">
        <f t="shared" si="136"/>
        <v>14.282708333339542</v>
      </c>
      <c r="O1134" s="13">
        <f t="shared" si="137"/>
        <v>0</v>
      </c>
      <c r="P1134" t="str">
        <f t="shared" si="138"/>
        <v>On Time</v>
      </c>
      <c r="Q1134" s="13">
        <f t="shared" si="139"/>
        <v>1.0836111112148501</v>
      </c>
      <c r="R1134" s="13">
        <f t="shared" si="140"/>
        <v>1.0478356481471565</v>
      </c>
      <c r="S1134" s="13">
        <f t="shared" si="141"/>
        <v>13.1897222222251</v>
      </c>
      <c r="T1134" t="str">
        <f t="shared" si="142"/>
        <v>On Time/Early</v>
      </c>
      <c r="U1134" t="str">
        <f t="shared" si="143"/>
        <v>Normal</v>
      </c>
      <c r="V1134" t="s">
        <v>102</v>
      </c>
    </row>
    <row r="1135" spans="1:22">
      <c r="A1135" t="s">
        <v>1742</v>
      </c>
      <c r="B1135" s="10">
        <v>43150.713159722225</v>
      </c>
      <c r="C1135" s="10">
        <v>43150.757245370369</v>
      </c>
      <c r="D1135" s="10">
        <v>43151.817280092589</v>
      </c>
      <c r="E1135" s="10">
        <v>43157.887499999997</v>
      </c>
      <c r="F1135" s="10">
        <v>43175</v>
      </c>
      <c r="G1135" t="s">
        <v>20</v>
      </c>
      <c r="H1135" t="s">
        <v>104</v>
      </c>
      <c r="I1135" t="s">
        <v>58</v>
      </c>
      <c r="J1135" s="11">
        <v>1</v>
      </c>
      <c r="K1135" s="12">
        <v>62</v>
      </c>
      <c r="L1135" s="12">
        <v>21.23</v>
      </c>
      <c r="M1135" s="13">
        <v>5</v>
      </c>
      <c r="N1135" s="13">
        <f t="shared" si="136"/>
        <v>7.1743402777719893</v>
      </c>
      <c r="O1135" s="13">
        <f t="shared" si="137"/>
        <v>0</v>
      </c>
      <c r="P1135" t="str">
        <f t="shared" si="138"/>
        <v>On Time</v>
      </c>
      <c r="Q1135" s="13">
        <f t="shared" si="139"/>
        <v>1.0580555554479361</v>
      </c>
      <c r="R1135" s="13">
        <f t="shared" si="140"/>
        <v>1.0600347222207347</v>
      </c>
      <c r="S1135" s="13">
        <f t="shared" si="141"/>
        <v>6.0702199074075907</v>
      </c>
      <c r="T1135" t="str">
        <f t="shared" si="142"/>
        <v>On Time/Early</v>
      </c>
      <c r="U1135" t="str">
        <f t="shared" si="143"/>
        <v>Normal</v>
      </c>
      <c r="V1135" t="s">
        <v>102</v>
      </c>
    </row>
    <row r="1136" spans="1:22">
      <c r="A1136" t="s">
        <v>1743</v>
      </c>
      <c r="B1136" s="10">
        <v>43151.448171296295</v>
      </c>
      <c r="C1136" s="10">
        <v>43151.493495370371</v>
      </c>
      <c r="D1136" s="10">
        <v>43166.832557870373</v>
      </c>
      <c r="E1136" s="10">
        <v>43174.890104166669</v>
      </c>
      <c r="F1136" s="10">
        <v>43173</v>
      </c>
      <c r="G1136" t="s">
        <v>8</v>
      </c>
      <c r="H1136" t="s">
        <v>108</v>
      </c>
      <c r="I1136" t="s">
        <v>120</v>
      </c>
      <c r="J1136" s="11">
        <v>1</v>
      </c>
      <c r="K1136" s="12">
        <v>59.99</v>
      </c>
      <c r="L1136" s="12">
        <v>16.18</v>
      </c>
      <c r="M1136" s="13">
        <v>3</v>
      </c>
      <c r="N1136" s="13">
        <f t="shared" si="136"/>
        <v>23.441932870373421</v>
      </c>
      <c r="O1136" s="13">
        <f t="shared" si="137"/>
        <v>1.8901041666686069</v>
      </c>
      <c r="P1136" t="str">
        <f t="shared" si="138"/>
        <v>Delayed</v>
      </c>
      <c r="Q1136" s="13">
        <f t="shared" si="139"/>
        <v>1.0877777778077871</v>
      </c>
      <c r="R1136" s="13">
        <f t="shared" si="140"/>
        <v>15.33906250000291</v>
      </c>
      <c r="S1136" s="13">
        <f t="shared" si="141"/>
        <v>8.057546296295186</v>
      </c>
      <c r="T1136" t="str">
        <f t="shared" si="142"/>
        <v>1-3 Days Late</v>
      </c>
      <c r="U1136" t="str">
        <f t="shared" si="143"/>
        <v>Needs Review</v>
      </c>
      <c r="V1136" t="s">
        <v>102</v>
      </c>
    </row>
    <row r="1137" spans="1:22">
      <c r="A1137" t="s">
        <v>1744</v>
      </c>
      <c r="B1137" s="10">
        <v>43151.473726851851</v>
      </c>
      <c r="C1137" s="10">
        <v>43151.482986111114</v>
      </c>
      <c r="D1137" s="10">
        <v>43152.957685185182</v>
      </c>
      <c r="E1137" s="10">
        <v>43157.974178240744</v>
      </c>
      <c r="F1137" s="10">
        <v>43172</v>
      </c>
      <c r="G1137" t="s">
        <v>16</v>
      </c>
      <c r="H1137" t="s">
        <v>561</v>
      </c>
      <c r="I1137" t="s">
        <v>185</v>
      </c>
      <c r="J1137" s="11">
        <v>1</v>
      </c>
      <c r="K1137" s="12">
        <v>18</v>
      </c>
      <c r="L1137" s="12">
        <v>15.11</v>
      </c>
      <c r="M1137" s="13">
        <v>5</v>
      </c>
      <c r="N1137" s="13">
        <f t="shared" si="136"/>
        <v>6.500451388892543</v>
      </c>
      <c r="O1137" s="13">
        <f t="shared" si="137"/>
        <v>0</v>
      </c>
      <c r="P1137" t="str">
        <f t="shared" si="138"/>
        <v>On Time</v>
      </c>
      <c r="Q1137" s="13">
        <f t="shared" si="139"/>
        <v>0.22222222230629995</v>
      </c>
      <c r="R1137" s="13">
        <f t="shared" si="140"/>
        <v>1.4746990740677575</v>
      </c>
      <c r="S1137" s="13">
        <f t="shared" si="141"/>
        <v>5.0164930555620231</v>
      </c>
      <c r="T1137" t="str">
        <f t="shared" si="142"/>
        <v>On Time/Early</v>
      </c>
      <c r="U1137" t="str">
        <f t="shared" si="143"/>
        <v>Normal</v>
      </c>
      <c r="V1137" t="s">
        <v>102</v>
      </c>
    </row>
    <row r="1138" spans="1:22">
      <c r="A1138" t="s">
        <v>1745</v>
      </c>
      <c r="B1138" s="10">
        <v>43151.67083333333</v>
      </c>
      <c r="C1138" s="10">
        <v>43153.090567129628</v>
      </c>
      <c r="D1138" s="10">
        <v>43158.013067129628</v>
      </c>
      <c r="E1138" s="10">
        <v>43168.582268518519</v>
      </c>
      <c r="F1138" s="10">
        <v>43175</v>
      </c>
      <c r="G1138" t="s">
        <v>30</v>
      </c>
      <c r="H1138" t="s">
        <v>1746</v>
      </c>
      <c r="I1138" t="s">
        <v>120</v>
      </c>
      <c r="J1138" s="11">
        <v>1</v>
      </c>
      <c r="K1138" s="12">
        <v>68.900000000000006</v>
      </c>
      <c r="L1138" s="12">
        <v>15.23</v>
      </c>
      <c r="M1138" s="13">
        <v>4</v>
      </c>
      <c r="N1138" s="13">
        <f t="shared" si="136"/>
        <v>16.911435185189475</v>
      </c>
      <c r="O1138" s="13">
        <f t="shared" si="137"/>
        <v>0</v>
      </c>
      <c r="P1138" t="str">
        <f t="shared" si="138"/>
        <v>On Time</v>
      </c>
      <c r="Q1138" s="13">
        <f t="shared" si="139"/>
        <v>34.073611111147329</v>
      </c>
      <c r="R1138" s="13">
        <f t="shared" si="140"/>
        <v>4.9225000000005821</v>
      </c>
      <c r="S1138" s="13">
        <f t="shared" si="141"/>
        <v>10.569201388891088</v>
      </c>
      <c r="T1138" t="str">
        <f t="shared" si="142"/>
        <v>On Time/Early</v>
      </c>
      <c r="U1138" t="str">
        <f t="shared" si="143"/>
        <v>Normal</v>
      </c>
      <c r="V1138" t="s">
        <v>102</v>
      </c>
    </row>
    <row r="1139" spans="1:22">
      <c r="A1139" t="s">
        <v>1747</v>
      </c>
      <c r="B1139" s="10">
        <v>43151.808807870373</v>
      </c>
      <c r="C1139" s="10">
        <v>43151.861793981479</v>
      </c>
      <c r="D1139" s="10">
        <v>43152.950902777775</v>
      </c>
      <c r="E1139" s="10">
        <v>43182.826967592591</v>
      </c>
      <c r="F1139" s="10">
        <v>43173</v>
      </c>
      <c r="G1139" t="s">
        <v>16</v>
      </c>
      <c r="H1139" t="s">
        <v>138</v>
      </c>
      <c r="I1139" t="s">
        <v>123</v>
      </c>
      <c r="J1139" s="11">
        <v>1</v>
      </c>
      <c r="K1139" s="12">
        <v>389.9</v>
      </c>
      <c r="L1139" s="12">
        <v>16.48</v>
      </c>
      <c r="M1139" s="13">
        <v>1</v>
      </c>
      <c r="N1139" s="13">
        <f t="shared" si="136"/>
        <v>31.018159722218115</v>
      </c>
      <c r="O1139" s="13">
        <f t="shared" si="137"/>
        <v>9.8269675925912452</v>
      </c>
      <c r="P1139" t="str">
        <f t="shared" si="138"/>
        <v>Delayed</v>
      </c>
      <c r="Q1139" s="13">
        <f t="shared" si="139"/>
        <v>1.2716666665510274</v>
      </c>
      <c r="R1139" s="13">
        <f t="shared" si="140"/>
        <v>1.0891087962954771</v>
      </c>
      <c r="S1139" s="13">
        <f t="shared" si="141"/>
        <v>29.876064814816345</v>
      </c>
      <c r="T1139" t="str">
        <f t="shared" si="142"/>
        <v>8+ Days Late</v>
      </c>
      <c r="U1139" t="str">
        <f t="shared" si="143"/>
        <v>Needs Review</v>
      </c>
      <c r="V1139" t="s">
        <v>102</v>
      </c>
    </row>
    <row r="1140" spans="1:22">
      <c r="A1140" t="s">
        <v>1748</v>
      </c>
      <c r="B1140" s="10">
        <v>43151.825243055559</v>
      </c>
      <c r="C1140" s="10">
        <v>43152.825937499998</v>
      </c>
      <c r="D1140" s="10">
        <v>43160.98541666667</v>
      </c>
      <c r="E1140" s="10">
        <v>43168.904467592591</v>
      </c>
      <c r="F1140" s="10">
        <v>43171</v>
      </c>
      <c r="G1140" t="s">
        <v>8</v>
      </c>
      <c r="H1140" t="s">
        <v>1749</v>
      </c>
      <c r="I1140" t="s">
        <v>136</v>
      </c>
      <c r="J1140" s="11">
        <v>2</v>
      </c>
      <c r="K1140" s="12">
        <v>91.8</v>
      </c>
      <c r="L1140" s="12">
        <v>23.7</v>
      </c>
      <c r="M1140" s="13">
        <v>1</v>
      </c>
      <c r="N1140" s="13">
        <f t="shared" si="136"/>
        <v>17.079224537032133</v>
      </c>
      <c r="O1140" s="13">
        <f t="shared" si="137"/>
        <v>0</v>
      </c>
      <c r="P1140" t="str">
        <f t="shared" si="138"/>
        <v>On Time</v>
      </c>
      <c r="Q1140" s="13">
        <f t="shared" si="139"/>
        <v>24.016666666546371</v>
      </c>
      <c r="R1140" s="13">
        <f t="shared" si="140"/>
        <v>8.1594791666720994</v>
      </c>
      <c r="S1140" s="13">
        <f t="shared" si="141"/>
        <v>7.919050925920601</v>
      </c>
      <c r="T1140" t="str">
        <f t="shared" si="142"/>
        <v>On Time/Early</v>
      </c>
      <c r="U1140" t="str">
        <f t="shared" si="143"/>
        <v>Normal</v>
      </c>
      <c r="V1140" t="s">
        <v>102</v>
      </c>
    </row>
    <row r="1141" spans="1:22">
      <c r="A1141" t="s">
        <v>1750</v>
      </c>
      <c r="B1141" s="10">
        <v>43151.905682870369</v>
      </c>
      <c r="C1141" s="10">
        <v>43151.913773148146</v>
      </c>
      <c r="D1141" s="10">
        <v>43152.8359375</v>
      </c>
      <c r="E1141" s="10">
        <v>43158.870891203704</v>
      </c>
      <c r="F1141" s="10">
        <v>43171</v>
      </c>
      <c r="G1141" t="s">
        <v>8</v>
      </c>
      <c r="H1141" t="s">
        <v>1751</v>
      </c>
      <c r="I1141" t="s">
        <v>34</v>
      </c>
      <c r="J1141" s="11">
        <v>1</v>
      </c>
      <c r="K1141" s="12">
        <v>39.99</v>
      </c>
      <c r="L1141" s="12">
        <v>12.69</v>
      </c>
      <c r="M1141" s="13">
        <v>3</v>
      </c>
      <c r="N1141" s="13">
        <f t="shared" si="136"/>
        <v>6.9652083333348855</v>
      </c>
      <c r="O1141" s="13">
        <f t="shared" si="137"/>
        <v>0</v>
      </c>
      <c r="P1141" t="str">
        <f t="shared" si="138"/>
        <v>On Time</v>
      </c>
      <c r="Q1141" s="13">
        <f t="shared" si="139"/>
        <v>0.19416666665347293</v>
      </c>
      <c r="R1141" s="13">
        <f t="shared" si="140"/>
        <v>0.92216435185400769</v>
      </c>
      <c r="S1141" s="13">
        <f t="shared" si="141"/>
        <v>6.0349537037036498</v>
      </c>
      <c r="T1141" t="str">
        <f t="shared" si="142"/>
        <v>On Time/Early</v>
      </c>
      <c r="U1141" t="str">
        <f t="shared" si="143"/>
        <v>Normal</v>
      </c>
      <c r="V1141" t="s">
        <v>102</v>
      </c>
    </row>
    <row r="1142" spans="1:22">
      <c r="A1142" t="s">
        <v>1752</v>
      </c>
      <c r="B1142" s="10">
        <v>43151.950219907405</v>
      </c>
      <c r="C1142" s="10">
        <v>43151.972581018519</v>
      </c>
      <c r="D1142" s="10">
        <v>43153.046712962961</v>
      </c>
      <c r="E1142" s="10">
        <v>43162.520069444443</v>
      </c>
      <c r="F1142" s="10">
        <v>43172</v>
      </c>
      <c r="G1142" t="s">
        <v>8</v>
      </c>
      <c r="H1142" t="s">
        <v>605</v>
      </c>
      <c r="I1142" t="s">
        <v>115</v>
      </c>
      <c r="J1142" s="11">
        <v>1</v>
      </c>
      <c r="K1142" s="12">
        <v>20</v>
      </c>
      <c r="L1142" s="12">
        <v>16.11</v>
      </c>
      <c r="M1142" s="13">
        <v>4</v>
      </c>
      <c r="N1142" s="13">
        <f t="shared" si="136"/>
        <v>10.569849537037953</v>
      </c>
      <c r="O1142" s="13">
        <f t="shared" si="137"/>
        <v>0</v>
      </c>
      <c r="P1142" t="str">
        <f t="shared" si="138"/>
        <v>On Time</v>
      </c>
      <c r="Q1142" s="13">
        <f t="shared" si="139"/>
        <v>0.53666666673962027</v>
      </c>
      <c r="R1142" s="13">
        <f t="shared" si="140"/>
        <v>1.0741319444423425</v>
      </c>
      <c r="S1142" s="13">
        <f t="shared" si="141"/>
        <v>9.4733564814814599</v>
      </c>
      <c r="T1142" t="str">
        <f t="shared" si="142"/>
        <v>On Time/Early</v>
      </c>
      <c r="U1142" t="str">
        <f t="shared" si="143"/>
        <v>Normal</v>
      </c>
      <c r="V1142" t="s">
        <v>102</v>
      </c>
    </row>
    <row r="1143" spans="1:22">
      <c r="A1143" t="s">
        <v>1753</v>
      </c>
      <c r="B1143" s="10">
        <v>43152.470555555556</v>
      </c>
      <c r="C1143" s="10">
        <v>43152.510798611111</v>
      </c>
      <c r="D1143" s="10">
        <v>43153.003148148149</v>
      </c>
      <c r="E1143" s="10">
        <v>43166.945972222224</v>
      </c>
      <c r="F1143" s="10">
        <v>43178</v>
      </c>
      <c r="G1143" t="s">
        <v>30</v>
      </c>
      <c r="H1143" t="s">
        <v>1754</v>
      </c>
      <c r="I1143" t="s">
        <v>34</v>
      </c>
      <c r="J1143" s="11">
        <v>1</v>
      </c>
      <c r="K1143" s="12">
        <v>130</v>
      </c>
      <c r="L1143" s="12">
        <v>18.16</v>
      </c>
      <c r="M1143" s="13">
        <v>5</v>
      </c>
      <c r="N1143" s="13">
        <f t="shared" si="136"/>
        <v>14.475416666668025</v>
      </c>
      <c r="O1143" s="13">
        <f t="shared" si="137"/>
        <v>0</v>
      </c>
      <c r="P1143" t="str">
        <f t="shared" si="138"/>
        <v>On Time</v>
      </c>
      <c r="Q1143" s="13">
        <f t="shared" si="139"/>
        <v>0.9658333333209157</v>
      </c>
      <c r="R1143" s="13">
        <f t="shared" si="140"/>
        <v>0.49234953703853535</v>
      </c>
      <c r="S1143" s="13">
        <f t="shared" si="141"/>
        <v>13.942824074074451</v>
      </c>
      <c r="T1143" t="str">
        <f t="shared" si="142"/>
        <v>On Time/Early</v>
      </c>
      <c r="U1143" t="str">
        <f t="shared" si="143"/>
        <v>Normal</v>
      </c>
      <c r="V1143" t="s">
        <v>102</v>
      </c>
    </row>
    <row r="1144" spans="1:22">
      <c r="A1144" t="s">
        <v>1755</v>
      </c>
      <c r="B1144" s="10">
        <v>43152.484305555554</v>
      </c>
      <c r="C1144" s="10">
        <v>43154.089606481481</v>
      </c>
      <c r="D1144" s="10">
        <v>43167.048854166664</v>
      </c>
      <c r="E1144" s="10">
        <v>43186.885405092595</v>
      </c>
      <c r="F1144" s="10">
        <v>43174</v>
      </c>
      <c r="G1144" t="s">
        <v>33</v>
      </c>
      <c r="H1144" t="s">
        <v>1756</v>
      </c>
      <c r="I1144" t="s">
        <v>120</v>
      </c>
      <c r="J1144" s="11">
        <v>1</v>
      </c>
      <c r="K1144" s="12">
        <v>120.1</v>
      </c>
      <c r="L1144" s="12">
        <v>16.600000000000001</v>
      </c>
      <c r="M1144" s="13">
        <v>3</v>
      </c>
      <c r="N1144" s="13">
        <f t="shared" si="136"/>
        <v>34.401099537040864</v>
      </c>
      <c r="O1144" s="13">
        <f t="shared" si="137"/>
        <v>12.885405092594738</v>
      </c>
      <c r="P1144" t="str">
        <f t="shared" si="138"/>
        <v>Delayed</v>
      </c>
      <c r="Q1144" s="13">
        <f t="shared" si="139"/>
        <v>38.527222222241107</v>
      </c>
      <c r="R1144" s="13">
        <f t="shared" si="140"/>
        <v>12.959247685183072</v>
      </c>
      <c r="S1144" s="13">
        <f t="shared" si="141"/>
        <v>19.836550925931078</v>
      </c>
      <c r="T1144" t="str">
        <f t="shared" si="142"/>
        <v>8+ Days Late</v>
      </c>
      <c r="U1144" t="str">
        <f t="shared" si="143"/>
        <v>Needs Review</v>
      </c>
      <c r="V1144" t="s">
        <v>102</v>
      </c>
    </row>
    <row r="1145" spans="1:22">
      <c r="A1145" t="s">
        <v>1757</v>
      </c>
      <c r="B1145" s="10">
        <v>43152.658125000002</v>
      </c>
      <c r="C1145" s="10">
        <v>43153.105046296296</v>
      </c>
      <c r="D1145" s="10">
        <v>43154.029328703706</v>
      </c>
      <c r="E1145" s="10">
        <v>43164.760381944441</v>
      </c>
      <c r="F1145" s="10">
        <v>43180</v>
      </c>
      <c r="G1145" t="s">
        <v>8</v>
      </c>
      <c r="H1145" t="s">
        <v>161</v>
      </c>
      <c r="I1145" t="s">
        <v>120</v>
      </c>
      <c r="J1145" s="11">
        <v>1</v>
      </c>
      <c r="K1145" s="12">
        <v>85</v>
      </c>
      <c r="L1145" s="12">
        <v>12.72</v>
      </c>
      <c r="M1145" s="13">
        <v>5</v>
      </c>
      <c r="N1145" s="13">
        <f t="shared" si="136"/>
        <v>12.102256944439432</v>
      </c>
      <c r="O1145" s="13">
        <f t="shared" si="137"/>
        <v>0</v>
      </c>
      <c r="P1145" t="str">
        <f t="shared" si="138"/>
        <v>On Time</v>
      </c>
      <c r="Q1145" s="13">
        <f t="shared" si="139"/>
        <v>10.726111111056525</v>
      </c>
      <c r="R1145" s="13">
        <f t="shared" si="140"/>
        <v>0.92428240740991896</v>
      </c>
      <c r="S1145" s="13">
        <f t="shared" si="141"/>
        <v>10.731053240735491</v>
      </c>
      <c r="T1145" t="str">
        <f t="shared" si="142"/>
        <v>On Time/Early</v>
      </c>
      <c r="U1145" t="str">
        <f t="shared" si="143"/>
        <v>Normal</v>
      </c>
      <c r="V1145" t="s">
        <v>102</v>
      </c>
    </row>
    <row r="1146" spans="1:22">
      <c r="A1146" t="s">
        <v>1758</v>
      </c>
      <c r="B1146" s="10">
        <v>43152.685937499999</v>
      </c>
      <c r="C1146" s="10">
        <v>43154.090775462966</v>
      </c>
      <c r="D1146" s="10">
        <v>43154.920277777775</v>
      </c>
      <c r="E1146" s="10">
        <v>43161.548217592594</v>
      </c>
      <c r="F1146" s="10">
        <v>43178</v>
      </c>
      <c r="G1146" t="s">
        <v>33</v>
      </c>
      <c r="H1146" t="s">
        <v>1759</v>
      </c>
      <c r="I1146" t="s">
        <v>128</v>
      </c>
      <c r="J1146" s="11">
        <v>1</v>
      </c>
      <c r="K1146" s="12">
        <v>99.9</v>
      </c>
      <c r="L1146" s="12">
        <v>17.95</v>
      </c>
      <c r="M1146" s="13">
        <v>5</v>
      </c>
      <c r="N1146" s="13">
        <f t="shared" si="136"/>
        <v>8.8622800925950287</v>
      </c>
      <c r="O1146" s="13">
        <f t="shared" si="137"/>
        <v>0</v>
      </c>
      <c r="P1146" t="str">
        <f t="shared" si="138"/>
        <v>On Time</v>
      </c>
      <c r="Q1146" s="13">
        <f t="shared" si="139"/>
        <v>33.716111111221835</v>
      </c>
      <c r="R1146" s="13">
        <f t="shared" si="140"/>
        <v>0.82950231480936054</v>
      </c>
      <c r="S1146" s="13">
        <f t="shared" si="141"/>
        <v>6.6279398148180917</v>
      </c>
      <c r="T1146" t="str">
        <f t="shared" si="142"/>
        <v>On Time/Early</v>
      </c>
      <c r="U1146" t="str">
        <f t="shared" si="143"/>
        <v>Normal</v>
      </c>
      <c r="V1146" t="s">
        <v>102</v>
      </c>
    </row>
    <row r="1147" spans="1:22">
      <c r="A1147" t="s">
        <v>1760</v>
      </c>
      <c r="B1147" s="10">
        <v>43152.882210648146</v>
      </c>
      <c r="C1147" s="10">
        <v>43152.895324074074</v>
      </c>
      <c r="D1147" s="10">
        <v>43153.894282407404</v>
      </c>
      <c r="E1147" s="10">
        <v>43156.585775462961</v>
      </c>
      <c r="F1147" s="10">
        <v>43166</v>
      </c>
      <c r="G1147" t="s">
        <v>8</v>
      </c>
      <c r="H1147" t="s">
        <v>140</v>
      </c>
      <c r="I1147" t="s">
        <v>136</v>
      </c>
      <c r="J1147" s="11">
        <v>2</v>
      </c>
      <c r="K1147" s="12">
        <v>109.98</v>
      </c>
      <c r="L1147" s="12">
        <v>15.56</v>
      </c>
      <c r="M1147" s="13">
        <v>5</v>
      </c>
      <c r="N1147" s="13">
        <f t="shared" si="136"/>
        <v>3.7035648148157634</v>
      </c>
      <c r="O1147" s="13">
        <f t="shared" si="137"/>
        <v>0</v>
      </c>
      <c r="P1147" t="str">
        <f t="shared" si="138"/>
        <v>On Time</v>
      </c>
      <c r="Q1147" s="13">
        <f t="shared" si="139"/>
        <v>0.31472222227603197</v>
      </c>
      <c r="R1147" s="13">
        <f t="shared" si="140"/>
        <v>0.99895833332993789</v>
      </c>
      <c r="S1147" s="13">
        <f t="shared" si="141"/>
        <v>2.6914930555576575</v>
      </c>
      <c r="T1147" t="str">
        <f t="shared" si="142"/>
        <v>On Time/Early</v>
      </c>
      <c r="U1147" t="str">
        <f t="shared" si="143"/>
        <v>Normal</v>
      </c>
      <c r="V1147" t="s">
        <v>102</v>
      </c>
    </row>
    <row r="1148" spans="1:22">
      <c r="A1148" t="s">
        <v>1761</v>
      </c>
      <c r="B1148" s="10">
        <v>43153.377766203703</v>
      </c>
      <c r="C1148" s="10">
        <v>43154.090856481482</v>
      </c>
      <c r="D1148" s="10">
        <v>43161.032557870371</v>
      </c>
      <c r="E1148" s="10">
        <v>43165.720081018517</v>
      </c>
      <c r="F1148" s="10">
        <v>43181</v>
      </c>
      <c r="G1148" t="s">
        <v>30</v>
      </c>
      <c r="H1148" t="s">
        <v>1762</v>
      </c>
      <c r="I1148" t="s">
        <v>120</v>
      </c>
      <c r="J1148" s="11">
        <v>5</v>
      </c>
      <c r="K1148" s="12">
        <v>349.5</v>
      </c>
      <c r="L1148" s="12">
        <v>81.25</v>
      </c>
      <c r="M1148" s="13">
        <v>2</v>
      </c>
      <c r="N1148" s="13">
        <f t="shared" si="136"/>
        <v>12.342314814814017</v>
      </c>
      <c r="O1148" s="13">
        <f t="shared" si="137"/>
        <v>0</v>
      </c>
      <c r="P1148" t="str">
        <f t="shared" si="138"/>
        <v>On Time</v>
      </c>
      <c r="Q1148" s="13">
        <f t="shared" si="139"/>
        <v>17.114166666695382</v>
      </c>
      <c r="R1148" s="13">
        <f t="shared" si="140"/>
        <v>6.9417013888887595</v>
      </c>
      <c r="S1148" s="13">
        <f t="shared" si="141"/>
        <v>4.6875231481462833</v>
      </c>
      <c r="T1148" t="str">
        <f t="shared" si="142"/>
        <v>On Time/Early</v>
      </c>
      <c r="U1148" t="str">
        <f t="shared" si="143"/>
        <v>Normal</v>
      </c>
      <c r="V1148" t="s">
        <v>102</v>
      </c>
    </row>
    <row r="1149" spans="1:22">
      <c r="A1149" t="s">
        <v>1763</v>
      </c>
      <c r="B1149" s="10">
        <v>43153.605694444443</v>
      </c>
      <c r="C1149" s="10">
        <v>43154.608784722222</v>
      </c>
      <c r="D1149" s="10">
        <v>43158.045868055553</v>
      </c>
      <c r="E1149" s="10">
        <v>43167.701273148145</v>
      </c>
      <c r="F1149" s="10">
        <v>43182</v>
      </c>
      <c r="G1149" t="s">
        <v>30</v>
      </c>
      <c r="H1149" t="s">
        <v>729</v>
      </c>
      <c r="I1149" t="s">
        <v>58</v>
      </c>
      <c r="J1149" s="11">
        <v>1</v>
      </c>
      <c r="K1149" s="12">
        <v>58.99</v>
      </c>
      <c r="L1149" s="12">
        <v>17.66</v>
      </c>
      <c r="M1149" s="13">
        <v>1</v>
      </c>
      <c r="N1149" s="13">
        <f t="shared" si="136"/>
        <v>14.095578703701904</v>
      </c>
      <c r="O1149" s="13">
        <f t="shared" si="137"/>
        <v>0</v>
      </c>
      <c r="P1149" t="str">
        <f t="shared" si="138"/>
        <v>On Time</v>
      </c>
      <c r="Q1149" s="13">
        <f t="shared" si="139"/>
        <v>24.074166666716337</v>
      </c>
      <c r="R1149" s="13">
        <f t="shared" si="140"/>
        <v>3.43708333333052</v>
      </c>
      <c r="S1149" s="13">
        <f t="shared" si="141"/>
        <v>9.6554050925915362</v>
      </c>
      <c r="T1149" t="str">
        <f t="shared" si="142"/>
        <v>On Time/Early</v>
      </c>
      <c r="U1149" t="str">
        <f t="shared" si="143"/>
        <v>Normal</v>
      </c>
      <c r="V1149" t="s">
        <v>102</v>
      </c>
    </row>
    <row r="1150" spans="1:22">
      <c r="A1150" t="s">
        <v>1764</v>
      </c>
      <c r="B1150" s="10">
        <v>43153.785925925928</v>
      </c>
      <c r="C1150" s="10">
        <v>43153.797581018516</v>
      </c>
      <c r="D1150" s="10">
        <v>43154.943067129629</v>
      </c>
      <c r="E1150" s="10">
        <v>43164.8518287037</v>
      </c>
      <c r="F1150" s="10">
        <v>43179</v>
      </c>
      <c r="G1150" t="s">
        <v>33</v>
      </c>
      <c r="H1150" t="s">
        <v>1765</v>
      </c>
      <c r="I1150" t="s">
        <v>31</v>
      </c>
      <c r="J1150" s="11">
        <v>1</v>
      </c>
      <c r="K1150" s="12">
        <v>23.7</v>
      </c>
      <c r="L1150" s="12">
        <v>14.1</v>
      </c>
      <c r="M1150" s="13">
        <v>4</v>
      </c>
      <c r="N1150" s="13">
        <f t="shared" si="136"/>
        <v>11.065902777772862</v>
      </c>
      <c r="O1150" s="13">
        <f t="shared" si="137"/>
        <v>0</v>
      </c>
      <c r="P1150" t="str">
        <f t="shared" si="138"/>
        <v>On Time</v>
      </c>
      <c r="Q1150" s="13">
        <f t="shared" si="139"/>
        <v>0.27972222212702036</v>
      </c>
      <c r="R1150" s="13">
        <f t="shared" si="140"/>
        <v>1.1454861111124046</v>
      </c>
      <c r="S1150" s="13">
        <f t="shared" si="141"/>
        <v>9.908761574071832</v>
      </c>
      <c r="T1150" t="str">
        <f t="shared" si="142"/>
        <v>On Time/Early</v>
      </c>
      <c r="U1150" t="str">
        <f t="shared" si="143"/>
        <v>Normal</v>
      </c>
      <c r="V1150" t="s">
        <v>102</v>
      </c>
    </row>
    <row r="1151" spans="1:22">
      <c r="A1151" t="s">
        <v>1766</v>
      </c>
      <c r="B1151" s="10">
        <v>43154.098807870374</v>
      </c>
      <c r="C1151" s="10">
        <v>43154.107939814814</v>
      </c>
      <c r="D1151" s="10">
        <v>43157.674027777779</v>
      </c>
      <c r="E1151" s="10">
        <v>43174.013877314814</v>
      </c>
      <c r="F1151" s="10">
        <v>43185</v>
      </c>
      <c r="G1151" t="s">
        <v>23</v>
      </c>
      <c r="H1151" t="s">
        <v>1767</v>
      </c>
      <c r="I1151" t="s">
        <v>180</v>
      </c>
      <c r="J1151" s="11">
        <v>1</v>
      </c>
      <c r="K1151" s="12">
        <v>56.99</v>
      </c>
      <c r="L1151" s="12">
        <v>17.97</v>
      </c>
      <c r="M1151" s="13">
        <v>3</v>
      </c>
      <c r="N1151" s="13">
        <f t="shared" si="136"/>
        <v>19.915069444439723</v>
      </c>
      <c r="O1151" s="13">
        <f t="shared" si="137"/>
        <v>0</v>
      </c>
      <c r="P1151" t="str">
        <f t="shared" si="138"/>
        <v>On Time</v>
      </c>
      <c r="Q1151" s="13">
        <f t="shared" si="139"/>
        <v>0.21916666656034067</v>
      </c>
      <c r="R1151" s="13">
        <f t="shared" si="140"/>
        <v>3.5660879629649571</v>
      </c>
      <c r="S1151" s="13">
        <f t="shared" si="141"/>
        <v>16.339849537034752</v>
      </c>
      <c r="T1151" t="str">
        <f t="shared" si="142"/>
        <v>On Time/Early</v>
      </c>
      <c r="U1151" t="str">
        <f t="shared" si="143"/>
        <v>Normal</v>
      </c>
      <c r="V1151" t="s">
        <v>102</v>
      </c>
    </row>
    <row r="1152" spans="1:22">
      <c r="A1152" t="s">
        <v>1768</v>
      </c>
      <c r="B1152" s="10">
        <v>43154.386111111111</v>
      </c>
      <c r="C1152" s="10">
        <v>43154.395555555559</v>
      </c>
      <c r="D1152" s="10">
        <v>43158.849189814813</v>
      </c>
      <c r="E1152" s="10">
        <v>43168.821377314816</v>
      </c>
      <c r="F1152" s="10">
        <v>43187</v>
      </c>
      <c r="G1152" t="s">
        <v>30</v>
      </c>
      <c r="H1152" t="s">
        <v>1769</v>
      </c>
      <c r="I1152" t="s">
        <v>180</v>
      </c>
      <c r="J1152" s="11">
        <v>1</v>
      </c>
      <c r="K1152" s="12">
        <v>219.99</v>
      </c>
      <c r="L1152" s="12">
        <v>26.38</v>
      </c>
      <c r="M1152" s="13">
        <v>5</v>
      </c>
      <c r="N1152" s="13">
        <f t="shared" si="136"/>
        <v>14.435266203705396</v>
      </c>
      <c r="O1152" s="13">
        <f t="shared" si="137"/>
        <v>0</v>
      </c>
      <c r="P1152" t="str">
        <f t="shared" si="138"/>
        <v>On Time</v>
      </c>
      <c r="Q1152" s="13">
        <f t="shared" si="139"/>
        <v>0.22666666674194857</v>
      </c>
      <c r="R1152" s="13">
        <f t="shared" si="140"/>
        <v>4.4536342592546134</v>
      </c>
      <c r="S1152" s="13">
        <f t="shared" si="141"/>
        <v>9.9721875000032014</v>
      </c>
      <c r="T1152" t="str">
        <f t="shared" si="142"/>
        <v>On Time/Early</v>
      </c>
      <c r="U1152" t="str">
        <f t="shared" si="143"/>
        <v>Normal</v>
      </c>
      <c r="V1152" t="s">
        <v>102</v>
      </c>
    </row>
    <row r="1153" spans="1:22">
      <c r="A1153" t="s">
        <v>1770</v>
      </c>
      <c r="B1153" s="10">
        <v>43154.474131944444</v>
      </c>
      <c r="C1153" s="10">
        <v>43155.45003472222</v>
      </c>
      <c r="D1153" s="10">
        <v>43157.850023148145</v>
      </c>
      <c r="E1153" s="10">
        <v>43164.926087962966</v>
      </c>
      <c r="F1153" s="10">
        <v>43175</v>
      </c>
      <c r="G1153" t="s">
        <v>8</v>
      </c>
      <c r="H1153" t="s">
        <v>243</v>
      </c>
      <c r="I1153" t="s">
        <v>1508</v>
      </c>
      <c r="J1153" s="11">
        <v>1</v>
      </c>
      <c r="K1153" s="12">
        <v>412</v>
      </c>
      <c r="L1153" s="12">
        <v>23.72</v>
      </c>
      <c r="M1153" s="13">
        <v>5</v>
      </c>
      <c r="N1153" s="13">
        <f t="shared" si="136"/>
        <v>10.451956018521741</v>
      </c>
      <c r="O1153" s="13">
        <f t="shared" si="137"/>
        <v>0</v>
      </c>
      <c r="P1153" t="str">
        <f t="shared" si="138"/>
        <v>On Time</v>
      </c>
      <c r="Q1153" s="13">
        <f t="shared" si="139"/>
        <v>23.421666666632518</v>
      </c>
      <c r="R1153" s="13">
        <f t="shared" si="140"/>
        <v>2.3999884259246755</v>
      </c>
      <c r="S1153" s="13">
        <f t="shared" si="141"/>
        <v>7.076064814820711</v>
      </c>
      <c r="T1153" t="str">
        <f t="shared" si="142"/>
        <v>On Time/Early</v>
      </c>
      <c r="U1153" t="str">
        <f t="shared" si="143"/>
        <v>Normal</v>
      </c>
      <c r="V1153" t="s">
        <v>102</v>
      </c>
    </row>
    <row r="1154" spans="1:22">
      <c r="A1154" t="s">
        <v>1771</v>
      </c>
      <c r="B1154" s="10">
        <v>43154.479571759257</v>
      </c>
      <c r="C1154" s="10">
        <v>43155.479467592595</v>
      </c>
      <c r="D1154" s="10">
        <v>43158.775057870371</v>
      </c>
      <c r="E1154" s="10">
        <v>43172.973738425928</v>
      </c>
      <c r="F1154" s="10">
        <v>43180</v>
      </c>
      <c r="G1154" t="s">
        <v>8</v>
      </c>
      <c r="H1154" t="s">
        <v>182</v>
      </c>
      <c r="I1154" t="s">
        <v>115</v>
      </c>
      <c r="J1154" s="11">
        <v>1</v>
      </c>
      <c r="K1154" s="12">
        <v>689.89</v>
      </c>
      <c r="L1154" s="12">
        <v>20.59</v>
      </c>
      <c r="M1154" s="13">
        <v>3</v>
      </c>
      <c r="N1154" s="13">
        <f t="shared" ref="N1154:N1217" si="144">IFERROR(E1154-B1154,"")</f>
        <v>18.494166666670935</v>
      </c>
      <c r="O1154" s="13">
        <f t="shared" ref="O1154:O1217" si="145">IFERROR(MAX(0,E1154-F1154),"")</f>
        <v>0</v>
      </c>
      <c r="P1154" t="str">
        <f t="shared" ref="P1154:P1217" si="146">IF(O1154&gt;0,"Delayed","On Time")</f>
        <v>On Time</v>
      </c>
      <c r="Q1154" s="13">
        <f t="shared" ref="Q1154:Q1217" si="147">IFERROR((C1154-B1154)*24,"")</f>
        <v>23.997500000114087</v>
      </c>
      <c r="R1154" s="13">
        <f t="shared" ref="R1154:R1217" si="148">IFERROR(D1154-C1154,"")</f>
        <v>3.2955902777757728</v>
      </c>
      <c r="S1154" s="13">
        <f t="shared" ref="S1154:S1217" si="149">IFERROR(E1154-D1154,"")</f>
        <v>14.198680555557075</v>
      </c>
      <c r="T1154" t="str">
        <f t="shared" ref="T1154:T1217" si="150">IF(O1154=0,"On Time/Early",IF(O1154&lt;=3,"1-3 Days Late",IF(O1154&lt;=7,"4-7 Days Late","8+ Days Late")))</f>
        <v>On Time/Early</v>
      </c>
      <c r="U1154" t="str">
        <f t="shared" ref="U1154:U1217" si="151">IF(P1154="Delayed","Needs Review","Normal")</f>
        <v>Normal</v>
      </c>
      <c r="V1154" t="s">
        <v>102</v>
      </c>
    </row>
    <row r="1155" spans="1:22">
      <c r="A1155" t="s">
        <v>1772</v>
      </c>
      <c r="B1155" s="10">
        <v>43154.567939814813</v>
      </c>
      <c r="C1155" s="10">
        <v>43154.576828703706</v>
      </c>
      <c r="D1155" s="10">
        <v>43158.034016203703</v>
      </c>
      <c r="E1155" s="10">
        <v>43159.704826388886</v>
      </c>
      <c r="F1155" s="10">
        <v>43171</v>
      </c>
      <c r="G1155" t="s">
        <v>8</v>
      </c>
      <c r="H1155" t="s">
        <v>309</v>
      </c>
      <c r="I1155" t="s">
        <v>58</v>
      </c>
      <c r="J1155" s="11">
        <v>1</v>
      </c>
      <c r="K1155" s="12">
        <v>99.99</v>
      </c>
      <c r="L1155" s="12">
        <v>8.89</v>
      </c>
      <c r="M1155" s="13">
        <v>4</v>
      </c>
      <c r="N1155" s="13">
        <f t="shared" si="144"/>
        <v>5.1368865740732872</v>
      </c>
      <c r="O1155" s="13">
        <f t="shared" si="145"/>
        <v>0</v>
      </c>
      <c r="P1155" t="str">
        <f t="shared" si="146"/>
        <v>On Time</v>
      </c>
      <c r="Q1155" s="13">
        <f t="shared" si="147"/>
        <v>0.21333333343500271</v>
      </c>
      <c r="R1155" s="13">
        <f t="shared" si="148"/>
        <v>3.4571874999965075</v>
      </c>
      <c r="S1155" s="13">
        <f t="shared" si="149"/>
        <v>1.6708101851836545</v>
      </c>
      <c r="T1155" t="str">
        <f t="shared" si="150"/>
        <v>On Time/Early</v>
      </c>
      <c r="U1155" t="str">
        <f t="shared" si="151"/>
        <v>Normal</v>
      </c>
      <c r="V1155" t="s">
        <v>102</v>
      </c>
    </row>
    <row r="1156" spans="1:22">
      <c r="A1156" t="s">
        <v>1773</v>
      </c>
      <c r="B1156" s="10">
        <v>43154.646597222221</v>
      </c>
      <c r="C1156" s="10">
        <v>43154.662743055553</v>
      </c>
      <c r="D1156" s="10">
        <v>43157.821226851855</v>
      </c>
      <c r="E1156" s="10">
        <v>43165.964756944442</v>
      </c>
      <c r="F1156" s="10">
        <v>43174</v>
      </c>
      <c r="G1156" t="s">
        <v>20</v>
      </c>
      <c r="H1156" t="s">
        <v>104</v>
      </c>
      <c r="I1156" t="s">
        <v>141</v>
      </c>
      <c r="J1156" s="11">
        <v>1</v>
      </c>
      <c r="K1156" s="12">
        <v>58.9</v>
      </c>
      <c r="L1156" s="12">
        <v>15.17</v>
      </c>
      <c r="M1156" s="13">
        <v>2.5</v>
      </c>
      <c r="N1156" s="13">
        <f t="shared" si="144"/>
        <v>11.318159722221026</v>
      </c>
      <c r="O1156" s="13">
        <f t="shared" si="145"/>
        <v>0</v>
      </c>
      <c r="P1156" t="str">
        <f t="shared" si="146"/>
        <v>On Time</v>
      </c>
      <c r="Q1156" s="13">
        <f t="shared" si="147"/>
        <v>0.38749999995343387</v>
      </c>
      <c r="R1156" s="13">
        <f t="shared" si="148"/>
        <v>3.1584837963018799</v>
      </c>
      <c r="S1156" s="13">
        <f t="shared" si="149"/>
        <v>8.1435300925877527</v>
      </c>
      <c r="T1156" t="str">
        <f t="shared" si="150"/>
        <v>On Time/Early</v>
      </c>
      <c r="U1156" t="str">
        <f t="shared" si="151"/>
        <v>Normal</v>
      </c>
      <c r="V1156" t="s">
        <v>102</v>
      </c>
    </row>
    <row r="1157" spans="1:22">
      <c r="A1157" t="s">
        <v>1774</v>
      </c>
      <c r="B1157" s="10">
        <v>43154.924479166664</v>
      </c>
      <c r="C1157" s="10">
        <v>43154.935833333337</v>
      </c>
      <c r="D1157" s="10">
        <v>43158.807291666664</v>
      </c>
      <c r="E1157" s="10">
        <v>43193.678171296298</v>
      </c>
      <c r="F1157" s="10">
        <v>43175</v>
      </c>
      <c r="G1157" t="s">
        <v>20</v>
      </c>
      <c r="H1157" t="s">
        <v>104</v>
      </c>
      <c r="I1157" t="s">
        <v>180</v>
      </c>
      <c r="J1157" s="11">
        <v>3</v>
      </c>
      <c r="K1157" s="12">
        <v>216</v>
      </c>
      <c r="L1157" s="12">
        <v>50.25</v>
      </c>
      <c r="M1157" s="13">
        <v>1</v>
      </c>
      <c r="N1157" s="13">
        <f t="shared" si="144"/>
        <v>38.753692129634146</v>
      </c>
      <c r="O1157" s="13">
        <f t="shared" si="145"/>
        <v>18.678171296298387</v>
      </c>
      <c r="P1157" t="str">
        <f t="shared" si="146"/>
        <v>Delayed</v>
      </c>
      <c r="Q1157" s="13">
        <f t="shared" si="147"/>
        <v>0.27250000013737008</v>
      </c>
      <c r="R1157" s="13">
        <f t="shared" si="148"/>
        <v>3.8714583333276096</v>
      </c>
      <c r="S1157" s="13">
        <f t="shared" si="149"/>
        <v>34.870879629634146</v>
      </c>
      <c r="T1157" t="str">
        <f t="shared" si="150"/>
        <v>8+ Days Late</v>
      </c>
      <c r="U1157" t="str">
        <f t="shared" si="151"/>
        <v>Needs Review</v>
      </c>
      <c r="V1157" t="s">
        <v>102</v>
      </c>
    </row>
    <row r="1158" spans="1:22">
      <c r="A1158" t="s">
        <v>1775</v>
      </c>
      <c r="B1158" s="10">
        <v>43155.427141203705</v>
      </c>
      <c r="C1158" s="10">
        <v>43155.435972222222</v>
      </c>
      <c r="D1158" s="10">
        <v>43158.878240740742</v>
      </c>
      <c r="E1158" s="10">
        <v>43165.957395833335</v>
      </c>
      <c r="F1158" s="10">
        <v>43175</v>
      </c>
      <c r="G1158" t="s">
        <v>8</v>
      </c>
      <c r="H1158" t="s">
        <v>182</v>
      </c>
      <c r="I1158" t="s">
        <v>136</v>
      </c>
      <c r="J1158" s="11">
        <v>1</v>
      </c>
      <c r="K1158" s="12">
        <v>258.99</v>
      </c>
      <c r="L1158" s="12">
        <v>32.840000000000003</v>
      </c>
      <c r="M1158" s="13">
        <v>4</v>
      </c>
      <c r="N1158" s="13">
        <f t="shared" si="144"/>
        <v>10.530254629629781</v>
      </c>
      <c r="O1158" s="13">
        <f t="shared" si="145"/>
        <v>0</v>
      </c>
      <c r="P1158" t="str">
        <f t="shared" si="146"/>
        <v>On Time</v>
      </c>
      <c r="Q1158" s="13">
        <f t="shared" si="147"/>
        <v>0.21194444439606741</v>
      </c>
      <c r="R1158" s="13">
        <f t="shared" si="148"/>
        <v>3.4422685185199953</v>
      </c>
      <c r="S1158" s="13">
        <f t="shared" si="149"/>
        <v>7.0791550925932825</v>
      </c>
      <c r="T1158" t="str">
        <f t="shared" si="150"/>
        <v>On Time/Early</v>
      </c>
      <c r="U1158" t="str">
        <f t="shared" si="151"/>
        <v>Normal</v>
      </c>
      <c r="V1158" t="s">
        <v>102</v>
      </c>
    </row>
    <row r="1159" spans="1:22">
      <c r="A1159" t="s">
        <v>1776</v>
      </c>
      <c r="B1159" s="10">
        <v>43155.530381944445</v>
      </c>
      <c r="C1159" s="10">
        <v>43155.538993055554</v>
      </c>
      <c r="D1159" s="10">
        <v>43158.942326388889</v>
      </c>
      <c r="E1159" s="10">
        <v>43167.887858796297</v>
      </c>
      <c r="F1159" s="10">
        <v>43175</v>
      </c>
      <c r="G1159" t="s">
        <v>20</v>
      </c>
      <c r="H1159" t="s">
        <v>391</v>
      </c>
      <c r="I1159" t="s">
        <v>143</v>
      </c>
      <c r="J1159" s="11">
        <v>1</v>
      </c>
      <c r="K1159" s="12">
        <v>53.9</v>
      </c>
      <c r="L1159" s="12">
        <v>14.13</v>
      </c>
      <c r="M1159" s="13">
        <v>1</v>
      </c>
      <c r="N1159" s="13">
        <f t="shared" si="144"/>
        <v>12.35747685185197</v>
      </c>
      <c r="O1159" s="13">
        <f t="shared" si="145"/>
        <v>0</v>
      </c>
      <c r="P1159" t="str">
        <f t="shared" si="146"/>
        <v>On Time</v>
      </c>
      <c r="Q1159" s="13">
        <f t="shared" si="147"/>
        <v>0.2066666666069068</v>
      </c>
      <c r="R1159" s="13">
        <f t="shared" si="148"/>
        <v>3.4033333333354676</v>
      </c>
      <c r="S1159" s="13">
        <f t="shared" si="149"/>
        <v>8.9455324074078817</v>
      </c>
      <c r="T1159" t="str">
        <f t="shared" si="150"/>
        <v>On Time/Early</v>
      </c>
      <c r="U1159" t="str">
        <f t="shared" si="151"/>
        <v>Normal</v>
      </c>
      <c r="V1159" t="s">
        <v>102</v>
      </c>
    </row>
    <row r="1160" spans="1:22">
      <c r="A1160" t="s">
        <v>1777</v>
      </c>
      <c r="B1160" s="10">
        <v>43155.803726851853</v>
      </c>
      <c r="C1160" s="10">
        <v>43155.810636574075</v>
      </c>
      <c r="D1160" s="10">
        <v>43157.87903935185</v>
      </c>
      <c r="E1160" s="10">
        <v>43185.904409722221</v>
      </c>
      <c r="F1160" s="10">
        <v>43186</v>
      </c>
      <c r="G1160" t="s">
        <v>50</v>
      </c>
      <c r="H1160" t="s">
        <v>1778</v>
      </c>
      <c r="I1160" t="s">
        <v>221</v>
      </c>
      <c r="J1160" s="11">
        <v>1</v>
      </c>
      <c r="K1160" s="12">
        <v>179</v>
      </c>
      <c r="L1160" s="12">
        <v>26.53</v>
      </c>
      <c r="M1160" s="13">
        <v>2</v>
      </c>
      <c r="N1160" s="13">
        <f t="shared" si="144"/>
        <v>30.100682870368473</v>
      </c>
      <c r="O1160" s="13">
        <f t="shared" si="145"/>
        <v>0</v>
      </c>
      <c r="P1160" t="str">
        <f t="shared" si="146"/>
        <v>On Time</v>
      </c>
      <c r="Q1160" s="13">
        <f t="shared" si="147"/>
        <v>0.16583333333255723</v>
      </c>
      <c r="R1160" s="13">
        <f t="shared" si="148"/>
        <v>2.0684027777751908</v>
      </c>
      <c r="S1160" s="13">
        <f t="shared" si="149"/>
        <v>28.025370370371093</v>
      </c>
      <c r="T1160" t="str">
        <f t="shared" si="150"/>
        <v>On Time/Early</v>
      </c>
      <c r="U1160" t="str">
        <f t="shared" si="151"/>
        <v>Normal</v>
      </c>
      <c r="V1160" t="s">
        <v>102</v>
      </c>
    </row>
    <row r="1161" spans="1:22">
      <c r="A1161" t="s">
        <v>1779</v>
      </c>
      <c r="B1161" s="10">
        <v>43155.824490740742</v>
      </c>
      <c r="C1161" s="10">
        <v>43155.830393518518</v>
      </c>
      <c r="D1161" s="10">
        <v>43158.739247685182</v>
      </c>
      <c r="E1161" s="10">
        <v>43224.85597222222</v>
      </c>
      <c r="F1161" s="10">
        <v>43182</v>
      </c>
      <c r="G1161" t="s">
        <v>36</v>
      </c>
      <c r="H1161" t="s">
        <v>1490</v>
      </c>
      <c r="I1161" t="s">
        <v>180</v>
      </c>
      <c r="J1161" s="11">
        <v>1</v>
      </c>
      <c r="K1161" s="12">
        <v>135</v>
      </c>
      <c r="L1161" s="12">
        <v>18.2</v>
      </c>
      <c r="M1161" s="13">
        <v>5</v>
      </c>
      <c r="N1161" s="13">
        <f t="shared" si="144"/>
        <v>69.031481481477385</v>
      </c>
      <c r="O1161" s="13">
        <f t="shared" si="145"/>
        <v>42.855972222219862</v>
      </c>
      <c r="P1161" t="str">
        <f t="shared" si="146"/>
        <v>Delayed</v>
      </c>
      <c r="Q1161" s="13">
        <f t="shared" si="147"/>
        <v>0.1416666666045785</v>
      </c>
      <c r="R1161" s="13">
        <f t="shared" si="148"/>
        <v>2.9088541666642413</v>
      </c>
      <c r="S1161" s="13">
        <f t="shared" si="149"/>
        <v>66.116724537037953</v>
      </c>
      <c r="T1161" t="str">
        <f t="shared" si="150"/>
        <v>8+ Days Late</v>
      </c>
      <c r="U1161" t="str">
        <f t="shared" si="151"/>
        <v>Needs Review</v>
      </c>
      <c r="V1161" t="s">
        <v>102</v>
      </c>
    </row>
    <row r="1162" spans="1:22">
      <c r="A1162" t="s">
        <v>1780</v>
      </c>
      <c r="B1162" s="10">
        <v>43155.925370370373</v>
      </c>
      <c r="C1162" s="10">
        <v>43155.937858796293</v>
      </c>
      <c r="D1162" s="10">
        <v>43159.995868055557</v>
      </c>
      <c r="E1162" s="10">
        <v>43167.894050925926</v>
      </c>
      <c r="F1162" s="10">
        <v>43171</v>
      </c>
      <c r="G1162" t="s">
        <v>8</v>
      </c>
      <c r="H1162" t="s">
        <v>140</v>
      </c>
      <c r="I1162" t="s">
        <v>118</v>
      </c>
      <c r="J1162" s="11">
        <v>1</v>
      </c>
      <c r="K1162" s="12">
        <v>39.9</v>
      </c>
      <c r="L1162" s="12">
        <v>7.78</v>
      </c>
      <c r="M1162" s="13">
        <v>5</v>
      </c>
      <c r="N1162" s="13">
        <f t="shared" si="144"/>
        <v>11.968680555553874</v>
      </c>
      <c r="O1162" s="13">
        <f t="shared" si="145"/>
        <v>0</v>
      </c>
      <c r="P1162" t="str">
        <f t="shared" si="146"/>
        <v>On Time</v>
      </c>
      <c r="Q1162" s="13">
        <f t="shared" si="147"/>
        <v>0.29972222208743915</v>
      </c>
      <c r="R1162" s="13">
        <f t="shared" si="148"/>
        <v>4.0580092592645087</v>
      </c>
      <c r="S1162" s="13">
        <f t="shared" si="149"/>
        <v>7.8981828703690553</v>
      </c>
      <c r="T1162" t="str">
        <f t="shared" si="150"/>
        <v>On Time/Early</v>
      </c>
      <c r="U1162" t="str">
        <f t="shared" si="151"/>
        <v>Normal</v>
      </c>
      <c r="V1162" t="s">
        <v>102</v>
      </c>
    </row>
    <row r="1163" spans="1:22">
      <c r="A1163" t="s">
        <v>1781</v>
      </c>
      <c r="B1163" s="10">
        <v>43156.522569444445</v>
      </c>
      <c r="C1163" s="10">
        <v>43156.534120370372</v>
      </c>
      <c r="D1163" s="10">
        <v>43157.820798611108</v>
      </c>
      <c r="E1163" s="10">
        <v>43174.77306712963</v>
      </c>
      <c r="F1163" s="10">
        <v>43194</v>
      </c>
      <c r="G1163" t="s">
        <v>30</v>
      </c>
      <c r="H1163" t="s">
        <v>365</v>
      </c>
      <c r="I1163" t="s">
        <v>34</v>
      </c>
      <c r="J1163" s="11">
        <v>2</v>
      </c>
      <c r="K1163" s="12">
        <v>339.8</v>
      </c>
      <c r="L1163" s="12">
        <v>41</v>
      </c>
      <c r="M1163" s="13">
        <v>5</v>
      </c>
      <c r="N1163" s="13">
        <f t="shared" si="144"/>
        <v>18.25049768518511</v>
      </c>
      <c r="O1163" s="13">
        <f t="shared" si="145"/>
        <v>0</v>
      </c>
      <c r="P1163" t="str">
        <f t="shared" si="146"/>
        <v>On Time</v>
      </c>
      <c r="Q1163" s="13">
        <f t="shared" si="147"/>
        <v>0.27722222224110737</v>
      </c>
      <c r="R1163" s="13">
        <f t="shared" si="148"/>
        <v>1.2866782407363644</v>
      </c>
      <c r="S1163" s="13">
        <f t="shared" si="149"/>
        <v>16.952268518522033</v>
      </c>
      <c r="T1163" t="str">
        <f t="shared" si="150"/>
        <v>On Time/Early</v>
      </c>
      <c r="U1163" t="str">
        <f t="shared" si="151"/>
        <v>Normal</v>
      </c>
      <c r="V1163" t="s">
        <v>102</v>
      </c>
    </row>
    <row r="1164" spans="1:22">
      <c r="A1164" t="s">
        <v>1782</v>
      </c>
      <c r="B1164" s="10">
        <v>43156.727662037039</v>
      </c>
      <c r="C1164" s="10">
        <v>43156.741354166668</v>
      </c>
      <c r="D1164" s="10">
        <v>43158.668634259258</v>
      </c>
      <c r="E1164" s="10">
        <v>43172.890011574076</v>
      </c>
      <c r="F1164" s="10">
        <v>43175</v>
      </c>
      <c r="G1164" t="s">
        <v>8</v>
      </c>
      <c r="H1164" t="s">
        <v>140</v>
      </c>
      <c r="I1164" t="s">
        <v>128</v>
      </c>
      <c r="J1164" s="11">
        <v>2</v>
      </c>
      <c r="K1164" s="12">
        <v>107.8</v>
      </c>
      <c r="L1164" s="12">
        <v>26.8</v>
      </c>
      <c r="M1164" s="13">
        <v>5</v>
      </c>
      <c r="N1164" s="13">
        <f t="shared" si="144"/>
        <v>16.162349537036789</v>
      </c>
      <c r="O1164" s="13">
        <f t="shared" si="145"/>
        <v>0</v>
      </c>
      <c r="P1164" t="str">
        <f t="shared" si="146"/>
        <v>On Time</v>
      </c>
      <c r="Q1164" s="13">
        <f t="shared" si="147"/>
        <v>0.32861111109377816</v>
      </c>
      <c r="R1164" s="13">
        <f t="shared" si="148"/>
        <v>1.927280092590081</v>
      </c>
      <c r="S1164" s="13">
        <f t="shared" si="149"/>
        <v>14.221377314817801</v>
      </c>
      <c r="T1164" t="str">
        <f t="shared" si="150"/>
        <v>On Time/Early</v>
      </c>
      <c r="U1164" t="str">
        <f t="shared" si="151"/>
        <v>Normal</v>
      </c>
      <c r="V1164" t="s">
        <v>102</v>
      </c>
    </row>
    <row r="1165" spans="1:22">
      <c r="A1165" t="s">
        <v>1783</v>
      </c>
      <c r="B1165" s="10">
        <v>43156.788877314815</v>
      </c>
      <c r="C1165" s="10">
        <v>43156.799050925925</v>
      </c>
      <c r="D1165" s="10">
        <v>43157.94908564815</v>
      </c>
      <c r="E1165" s="10">
        <v>43159.595451388886</v>
      </c>
      <c r="F1165" s="10">
        <v>43171</v>
      </c>
      <c r="G1165" t="s">
        <v>8</v>
      </c>
      <c r="H1165" t="s">
        <v>161</v>
      </c>
      <c r="I1165" t="s">
        <v>141</v>
      </c>
      <c r="J1165" s="11">
        <v>1</v>
      </c>
      <c r="K1165" s="12">
        <v>13.6</v>
      </c>
      <c r="L1165" s="12">
        <v>7.78</v>
      </c>
      <c r="M1165" s="13">
        <v>5</v>
      </c>
      <c r="N1165" s="13">
        <f t="shared" si="144"/>
        <v>2.8065740740712499</v>
      </c>
      <c r="O1165" s="13">
        <f t="shared" si="145"/>
        <v>0</v>
      </c>
      <c r="P1165" t="str">
        <f t="shared" si="146"/>
        <v>On Time</v>
      </c>
      <c r="Q1165" s="13">
        <f t="shared" si="147"/>
        <v>0.2441666666418314</v>
      </c>
      <c r="R1165" s="13">
        <f t="shared" si="148"/>
        <v>1.1500347222245182</v>
      </c>
      <c r="S1165" s="13">
        <f t="shared" si="149"/>
        <v>1.6463657407366554</v>
      </c>
      <c r="T1165" t="str">
        <f t="shared" si="150"/>
        <v>On Time/Early</v>
      </c>
      <c r="U1165" t="str">
        <f t="shared" si="151"/>
        <v>Normal</v>
      </c>
      <c r="V1165" t="s">
        <v>102</v>
      </c>
    </row>
    <row r="1166" spans="1:22">
      <c r="A1166" t="s">
        <v>1784</v>
      </c>
      <c r="B1166" s="10">
        <v>43156.800011574072</v>
      </c>
      <c r="C1166" s="10">
        <v>43156.811064814814</v>
      </c>
      <c r="D1166" s="10">
        <v>43160.532407407409</v>
      </c>
      <c r="E1166" s="10">
        <v>43161.593101851853</v>
      </c>
      <c r="F1166" s="10">
        <v>43171</v>
      </c>
      <c r="G1166" t="s">
        <v>8</v>
      </c>
      <c r="H1166" t="s">
        <v>430</v>
      </c>
      <c r="I1166" t="s">
        <v>58</v>
      </c>
      <c r="J1166" s="11">
        <v>1</v>
      </c>
      <c r="K1166" s="12">
        <v>50.7</v>
      </c>
      <c r="L1166" s="12">
        <v>7.78</v>
      </c>
      <c r="M1166" s="13">
        <v>4</v>
      </c>
      <c r="N1166" s="13">
        <f t="shared" si="144"/>
        <v>4.7930902777807205</v>
      </c>
      <c r="O1166" s="13">
        <f t="shared" si="145"/>
        <v>0</v>
      </c>
      <c r="P1166" t="str">
        <f t="shared" si="146"/>
        <v>On Time</v>
      </c>
      <c r="Q1166" s="13">
        <f t="shared" si="147"/>
        <v>0.26527777779847383</v>
      </c>
      <c r="R1166" s="13">
        <f t="shared" si="148"/>
        <v>3.7213425925947377</v>
      </c>
      <c r="S1166" s="13">
        <f t="shared" si="149"/>
        <v>1.0606944444443798</v>
      </c>
      <c r="T1166" t="str">
        <f t="shared" si="150"/>
        <v>On Time/Early</v>
      </c>
      <c r="U1166" t="str">
        <f t="shared" si="151"/>
        <v>Normal</v>
      </c>
      <c r="V1166" t="s">
        <v>102</v>
      </c>
    </row>
    <row r="1167" spans="1:22">
      <c r="A1167" t="s">
        <v>1785</v>
      </c>
      <c r="B1167" s="10">
        <v>43156.953518518516</v>
      </c>
      <c r="C1167" s="10">
        <v>43156.977685185186</v>
      </c>
      <c r="D1167" s="10">
        <v>43158.971770833334</v>
      </c>
      <c r="E1167" s="10">
        <v>43179.992175925923</v>
      </c>
      <c r="F1167" s="10">
        <v>43180</v>
      </c>
      <c r="G1167" t="s">
        <v>16</v>
      </c>
      <c r="H1167" t="s">
        <v>971</v>
      </c>
      <c r="I1167" t="s">
        <v>279</v>
      </c>
      <c r="J1167" s="11">
        <v>1</v>
      </c>
      <c r="K1167" s="12">
        <v>79.900000000000006</v>
      </c>
      <c r="L1167" s="12">
        <v>15.31</v>
      </c>
      <c r="M1167" s="13">
        <v>5</v>
      </c>
      <c r="N1167" s="13">
        <f t="shared" si="144"/>
        <v>23.0386574074073</v>
      </c>
      <c r="O1167" s="13">
        <f t="shared" si="145"/>
        <v>0</v>
      </c>
      <c r="P1167" t="str">
        <f t="shared" si="146"/>
        <v>On Time</v>
      </c>
      <c r="Q1167" s="13">
        <f t="shared" si="147"/>
        <v>0.58000000007450581</v>
      </c>
      <c r="R1167" s="13">
        <f t="shared" si="148"/>
        <v>1.9940856481480296</v>
      </c>
      <c r="S1167" s="13">
        <f t="shared" si="149"/>
        <v>21.020405092589499</v>
      </c>
      <c r="T1167" t="str">
        <f t="shared" si="150"/>
        <v>On Time/Early</v>
      </c>
      <c r="U1167" t="str">
        <f t="shared" si="151"/>
        <v>Normal</v>
      </c>
      <c r="V1167" t="s">
        <v>102</v>
      </c>
    </row>
    <row r="1168" spans="1:22">
      <c r="A1168" t="s">
        <v>1786</v>
      </c>
      <c r="B1168" s="10">
        <v>43157.424942129626</v>
      </c>
      <c r="C1168" s="10">
        <v>43157.439085648148</v>
      </c>
      <c r="D1168" s="10">
        <v>43158.942060185182</v>
      </c>
      <c r="E1168" s="10">
        <v>43160.636840277781</v>
      </c>
      <c r="F1168" s="10">
        <v>43171</v>
      </c>
      <c r="G1168" t="s">
        <v>8</v>
      </c>
      <c r="H1168" t="s">
        <v>140</v>
      </c>
      <c r="I1168" t="s">
        <v>149</v>
      </c>
      <c r="J1168" s="11">
        <v>1</v>
      </c>
      <c r="K1168" s="12">
        <v>55.3</v>
      </c>
      <c r="L1168" s="12">
        <v>8.11</v>
      </c>
      <c r="M1168" s="13">
        <v>5</v>
      </c>
      <c r="N1168" s="13">
        <f t="shared" si="144"/>
        <v>3.2118981481544324</v>
      </c>
      <c r="O1168" s="13">
        <f t="shared" si="145"/>
        <v>0</v>
      </c>
      <c r="P1168" t="str">
        <f t="shared" si="146"/>
        <v>On Time</v>
      </c>
      <c r="Q1168" s="13">
        <f t="shared" si="147"/>
        <v>0.33944444451481104</v>
      </c>
      <c r="R1168" s="13">
        <f t="shared" si="148"/>
        <v>1.5029745370338787</v>
      </c>
      <c r="S1168" s="13">
        <f t="shared" si="149"/>
        <v>1.6947800925991032</v>
      </c>
      <c r="T1168" t="str">
        <f t="shared" si="150"/>
        <v>On Time/Early</v>
      </c>
      <c r="U1168" t="str">
        <f t="shared" si="151"/>
        <v>Normal</v>
      </c>
      <c r="V1168" t="s">
        <v>102</v>
      </c>
    </row>
    <row r="1169" spans="1:22">
      <c r="A1169" t="s">
        <v>1787</v>
      </c>
      <c r="B1169" s="10">
        <v>43157.51353009259</v>
      </c>
      <c r="C1169" s="10">
        <v>43158.188460648147</v>
      </c>
      <c r="D1169" s="10">
        <v>43159.860474537039</v>
      </c>
      <c r="E1169" s="10">
        <v>43168.795069444444</v>
      </c>
      <c r="F1169" s="10">
        <v>43180</v>
      </c>
      <c r="G1169" t="s">
        <v>20</v>
      </c>
      <c r="H1169" t="s">
        <v>1788</v>
      </c>
      <c r="I1169" t="s">
        <v>24</v>
      </c>
      <c r="J1169" s="11">
        <v>1</v>
      </c>
      <c r="K1169" s="12">
        <v>50.41</v>
      </c>
      <c r="L1169" s="12">
        <v>15.1</v>
      </c>
      <c r="M1169" s="13">
        <v>5</v>
      </c>
      <c r="N1169" s="13">
        <f t="shared" si="144"/>
        <v>11.281539351854008</v>
      </c>
      <c r="O1169" s="13">
        <f t="shared" si="145"/>
        <v>0</v>
      </c>
      <c r="P1169" t="str">
        <f t="shared" si="146"/>
        <v>On Time</v>
      </c>
      <c r="Q1169" s="13">
        <f t="shared" si="147"/>
        <v>16.198333333362825</v>
      </c>
      <c r="R1169" s="13">
        <f t="shared" si="148"/>
        <v>1.672013888892252</v>
      </c>
      <c r="S1169" s="13">
        <f t="shared" si="149"/>
        <v>8.9345949074049713</v>
      </c>
      <c r="T1169" t="str">
        <f t="shared" si="150"/>
        <v>On Time/Early</v>
      </c>
      <c r="U1169" t="str">
        <f t="shared" si="151"/>
        <v>Normal</v>
      </c>
      <c r="V1169" t="s">
        <v>102</v>
      </c>
    </row>
    <row r="1170" spans="1:22">
      <c r="A1170" t="s">
        <v>1789</v>
      </c>
      <c r="B1170" s="10">
        <v>43157.623773148145</v>
      </c>
      <c r="C1170" s="10">
        <v>43159.385682870372</v>
      </c>
      <c r="D1170" s="10">
        <v>43161.766261574077</v>
      </c>
      <c r="E1170" s="10">
        <v>43169.644386574073</v>
      </c>
      <c r="F1170" s="10">
        <v>43185</v>
      </c>
      <c r="G1170" t="s">
        <v>20</v>
      </c>
      <c r="H1170" t="s">
        <v>1790</v>
      </c>
      <c r="I1170" t="s">
        <v>120</v>
      </c>
      <c r="J1170" s="11">
        <v>1</v>
      </c>
      <c r="K1170" s="12">
        <v>149.9</v>
      </c>
      <c r="L1170" s="12">
        <v>19.59</v>
      </c>
      <c r="M1170" s="13">
        <v>1</v>
      </c>
      <c r="N1170" s="13">
        <f t="shared" si="144"/>
        <v>12.020613425927877</v>
      </c>
      <c r="O1170" s="13">
        <f t="shared" si="145"/>
        <v>0</v>
      </c>
      <c r="P1170" t="str">
        <f t="shared" si="146"/>
        <v>On Time</v>
      </c>
      <c r="Q1170" s="13">
        <f t="shared" si="147"/>
        <v>42.285833333444316</v>
      </c>
      <c r="R1170" s="13">
        <f t="shared" si="148"/>
        <v>2.380578703705396</v>
      </c>
      <c r="S1170" s="13">
        <f t="shared" si="149"/>
        <v>7.8781249999956344</v>
      </c>
      <c r="T1170" t="str">
        <f t="shared" si="150"/>
        <v>On Time/Early</v>
      </c>
      <c r="U1170" t="str">
        <f t="shared" si="151"/>
        <v>Normal</v>
      </c>
      <c r="V1170" t="s">
        <v>102</v>
      </c>
    </row>
    <row r="1171" spans="1:22">
      <c r="A1171" t="s">
        <v>1791</v>
      </c>
      <c r="B1171" s="10">
        <v>43157.721805555557</v>
      </c>
      <c r="C1171" s="10">
        <v>43157.733368055553</v>
      </c>
      <c r="D1171" s="10">
        <v>43158.994687500002</v>
      </c>
      <c r="E1171" s="10">
        <v>43193.48505787037</v>
      </c>
      <c r="F1171" s="10">
        <v>43179</v>
      </c>
      <c r="G1171" t="s">
        <v>320</v>
      </c>
      <c r="H1171" t="s">
        <v>321</v>
      </c>
      <c r="I1171" t="s">
        <v>136</v>
      </c>
      <c r="J1171" s="11">
        <v>1</v>
      </c>
      <c r="K1171" s="12">
        <v>69</v>
      </c>
      <c r="L1171" s="12">
        <v>16.73</v>
      </c>
      <c r="M1171" s="13">
        <v>1</v>
      </c>
      <c r="N1171" s="13">
        <f t="shared" si="144"/>
        <v>35.763252314813144</v>
      </c>
      <c r="O1171" s="13">
        <f t="shared" si="145"/>
        <v>14.485057870369928</v>
      </c>
      <c r="P1171" t="str">
        <f t="shared" si="146"/>
        <v>Delayed</v>
      </c>
      <c r="Q1171" s="13">
        <f t="shared" si="147"/>
        <v>0.27749999990919605</v>
      </c>
      <c r="R1171" s="13">
        <f t="shared" si="148"/>
        <v>1.2613194444493274</v>
      </c>
      <c r="S1171" s="13">
        <f t="shared" si="149"/>
        <v>34.4903703703676</v>
      </c>
      <c r="T1171" t="str">
        <f t="shared" si="150"/>
        <v>8+ Days Late</v>
      </c>
      <c r="U1171" t="str">
        <f t="shared" si="151"/>
        <v>Needs Review</v>
      </c>
      <c r="V1171" t="s">
        <v>102</v>
      </c>
    </row>
    <row r="1172" spans="1:22">
      <c r="A1172" t="s">
        <v>1792</v>
      </c>
      <c r="B1172" s="10">
        <v>43157.855462962965</v>
      </c>
      <c r="C1172" s="10">
        <v>43158.950115740743</v>
      </c>
      <c r="D1172" s="10">
        <v>43160.824907407405</v>
      </c>
      <c r="E1172" s="10">
        <v>43188.471412037034</v>
      </c>
      <c r="F1172" s="10">
        <v>43178</v>
      </c>
      <c r="G1172" t="s">
        <v>16</v>
      </c>
      <c r="H1172" t="s">
        <v>138</v>
      </c>
      <c r="I1172" t="s">
        <v>180</v>
      </c>
      <c r="J1172" s="11">
        <v>1</v>
      </c>
      <c r="K1172" s="12">
        <v>69.900000000000006</v>
      </c>
      <c r="L1172" s="12">
        <v>16.25</v>
      </c>
      <c r="M1172" s="13">
        <v>1</v>
      </c>
      <c r="N1172" s="13">
        <f t="shared" si="144"/>
        <v>30.61594907406834</v>
      </c>
      <c r="O1172" s="13">
        <f t="shared" si="145"/>
        <v>10.471412037033588</v>
      </c>
      <c r="P1172" t="str">
        <f t="shared" si="146"/>
        <v>Delayed</v>
      </c>
      <c r="Q1172" s="13">
        <f t="shared" si="147"/>
        <v>26.271666666667443</v>
      </c>
      <c r="R1172" s="13">
        <f t="shared" si="148"/>
        <v>1.874791666661622</v>
      </c>
      <c r="S1172" s="13">
        <f t="shared" si="149"/>
        <v>27.646504629628907</v>
      </c>
      <c r="T1172" t="str">
        <f t="shared" si="150"/>
        <v>8+ Days Late</v>
      </c>
      <c r="U1172" t="str">
        <f t="shared" si="151"/>
        <v>Needs Review</v>
      </c>
      <c r="V1172" t="s">
        <v>102</v>
      </c>
    </row>
    <row r="1173" spans="1:22">
      <c r="A1173" t="s">
        <v>1793</v>
      </c>
      <c r="B1173" s="10">
        <v>43157.858148148145</v>
      </c>
      <c r="C1173" s="10">
        <v>43157.88108796296</v>
      </c>
      <c r="D1173" s="10">
        <v>43158.997893518521</v>
      </c>
      <c r="E1173" s="10">
        <v>43161.117407407408</v>
      </c>
      <c r="F1173" s="10">
        <v>43171</v>
      </c>
      <c r="G1173" t="s">
        <v>8</v>
      </c>
      <c r="H1173" t="s">
        <v>140</v>
      </c>
      <c r="I1173" t="s">
        <v>185</v>
      </c>
      <c r="J1173" s="11">
        <v>2</v>
      </c>
      <c r="K1173" s="12">
        <v>358.98</v>
      </c>
      <c r="L1173" s="12">
        <v>18.899999999999999</v>
      </c>
      <c r="M1173" s="13">
        <v>4</v>
      </c>
      <c r="N1173" s="13">
        <f t="shared" si="144"/>
        <v>3.2592592592627625</v>
      </c>
      <c r="O1173" s="13">
        <f t="shared" si="145"/>
        <v>0</v>
      </c>
      <c r="P1173" t="str">
        <f t="shared" si="146"/>
        <v>On Time</v>
      </c>
      <c r="Q1173" s="13">
        <f t="shared" si="147"/>
        <v>0.55055555555736646</v>
      </c>
      <c r="R1173" s="13">
        <f t="shared" si="148"/>
        <v>1.1168055555608589</v>
      </c>
      <c r="S1173" s="13">
        <f t="shared" si="149"/>
        <v>2.1195138888870133</v>
      </c>
      <c r="T1173" t="str">
        <f t="shared" si="150"/>
        <v>On Time/Early</v>
      </c>
      <c r="U1173" t="str">
        <f t="shared" si="151"/>
        <v>Normal</v>
      </c>
      <c r="V1173" t="s">
        <v>102</v>
      </c>
    </row>
    <row r="1174" spans="1:22">
      <c r="A1174" t="s">
        <v>1794</v>
      </c>
      <c r="B1174" s="10">
        <v>43157.96261574074</v>
      </c>
      <c r="C1174" s="10">
        <v>43157.969212962962</v>
      </c>
      <c r="D1174" s="10">
        <v>43159.699803240743</v>
      </c>
      <c r="E1174" s="10">
        <v>43164.763252314813</v>
      </c>
      <c r="F1174" s="10">
        <v>43175</v>
      </c>
      <c r="G1174" t="s">
        <v>8</v>
      </c>
      <c r="H1174" t="s">
        <v>161</v>
      </c>
      <c r="I1174" t="s">
        <v>128</v>
      </c>
      <c r="J1174" s="11">
        <v>1</v>
      </c>
      <c r="K1174" s="12">
        <v>53.9</v>
      </c>
      <c r="L1174" s="12">
        <v>13.4</v>
      </c>
      <c r="M1174" s="13">
        <v>4</v>
      </c>
      <c r="N1174" s="13">
        <f t="shared" si="144"/>
        <v>6.8006365740729962</v>
      </c>
      <c r="O1174" s="13">
        <f t="shared" si="145"/>
        <v>0</v>
      </c>
      <c r="P1174" t="str">
        <f t="shared" si="146"/>
        <v>On Time</v>
      </c>
      <c r="Q1174" s="13">
        <f t="shared" si="147"/>
        <v>0.15833333332557231</v>
      </c>
      <c r="R1174" s="13">
        <f t="shared" si="148"/>
        <v>1.7305902777807205</v>
      </c>
      <c r="S1174" s="13">
        <f t="shared" si="149"/>
        <v>5.0634490740703768</v>
      </c>
      <c r="T1174" t="str">
        <f t="shared" si="150"/>
        <v>On Time/Early</v>
      </c>
      <c r="U1174" t="str">
        <f t="shared" si="151"/>
        <v>Normal</v>
      </c>
      <c r="V1174" t="s">
        <v>102</v>
      </c>
    </row>
    <row r="1175" spans="1:22">
      <c r="A1175" t="s">
        <v>1795</v>
      </c>
      <c r="B1175" s="10">
        <v>43158.317384259259</v>
      </c>
      <c r="C1175" s="10">
        <v>43158.324930555558</v>
      </c>
      <c r="D1175" s="10">
        <v>43160.650682870371</v>
      </c>
      <c r="E1175" s="10">
        <v>43161.716909722221</v>
      </c>
      <c r="F1175" s="10">
        <v>43172</v>
      </c>
      <c r="G1175" t="s">
        <v>36</v>
      </c>
      <c r="H1175" t="s">
        <v>1796</v>
      </c>
      <c r="I1175" t="s">
        <v>37</v>
      </c>
      <c r="J1175" s="11">
        <v>1</v>
      </c>
      <c r="K1175" s="12">
        <v>274</v>
      </c>
      <c r="L1175" s="12">
        <v>31.51</v>
      </c>
      <c r="M1175" s="13">
        <v>5</v>
      </c>
      <c r="N1175" s="13">
        <f t="shared" si="144"/>
        <v>3.3995254629626288</v>
      </c>
      <c r="O1175" s="13">
        <f t="shared" si="145"/>
        <v>0</v>
      </c>
      <c r="P1175" t="str">
        <f t="shared" si="146"/>
        <v>On Time</v>
      </c>
      <c r="Q1175" s="13">
        <f t="shared" si="147"/>
        <v>0.18111111118923873</v>
      </c>
      <c r="R1175" s="13">
        <f t="shared" si="148"/>
        <v>2.325752314813144</v>
      </c>
      <c r="S1175" s="13">
        <f t="shared" si="149"/>
        <v>1.0662268518499332</v>
      </c>
      <c r="T1175" t="str">
        <f t="shared" si="150"/>
        <v>On Time/Early</v>
      </c>
      <c r="U1175" t="str">
        <f t="shared" si="151"/>
        <v>Normal</v>
      </c>
      <c r="V1175" t="s">
        <v>102</v>
      </c>
    </row>
    <row r="1176" spans="1:22">
      <c r="A1176" t="s">
        <v>1797</v>
      </c>
      <c r="B1176" s="10">
        <v>43158.434710648151</v>
      </c>
      <c r="C1176" s="10">
        <v>43158.441388888888</v>
      </c>
      <c r="D1176" s="10">
        <v>43159.98741898148</v>
      </c>
      <c r="E1176" s="10">
        <v>43175.971400462964</v>
      </c>
      <c r="F1176" s="10">
        <v>43186</v>
      </c>
      <c r="G1176" t="s">
        <v>20</v>
      </c>
      <c r="H1176" t="s">
        <v>104</v>
      </c>
      <c r="I1176" t="s">
        <v>141</v>
      </c>
      <c r="J1176" s="11">
        <v>1</v>
      </c>
      <c r="K1176" s="12">
        <v>17</v>
      </c>
      <c r="L1176" s="12">
        <v>15.11</v>
      </c>
      <c r="M1176" s="13">
        <v>5</v>
      </c>
      <c r="N1176" s="13">
        <f t="shared" si="144"/>
        <v>17.536689814813144</v>
      </c>
      <c r="O1176" s="13">
        <f t="shared" si="145"/>
        <v>0</v>
      </c>
      <c r="P1176" t="str">
        <f t="shared" si="146"/>
        <v>On Time</v>
      </c>
      <c r="Q1176" s="13">
        <f t="shared" si="147"/>
        <v>0.16027777770068496</v>
      </c>
      <c r="R1176" s="13">
        <f t="shared" si="148"/>
        <v>1.5460300925915362</v>
      </c>
      <c r="S1176" s="13">
        <f t="shared" si="149"/>
        <v>15.983981481484079</v>
      </c>
      <c r="T1176" t="str">
        <f t="shared" si="150"/>
        <v>On Time/Early</v>
      </c>
      <c r="U1176" t="str">
        <f t="shared" si="151"/>
        <v>Normal</v>
      </c>
      <c r="V1176" t="s">
        <v>102</v>
      </c>
    </row>
    <row r="1177" spans="1:22">
      <c r="A1177" t="s">
        <v>1798</v>
      </c>
      <c r="B1177" s="10">
        <v>43158.558078703703</v>
      </c>
      <c r="C1177" s="10">
        <v>43158.566331018519</v>
      </c>
      <c r="D1177" s="10">
        <v>43160.672962962963</v>
      </c>
      <c r="E1177" s="10">
        <v>43172.878333333334</v>
      </c>
      <c r="F1177" s="10">
        <v>43178</v>
      </c>
      <c r="G1177" t="s">
        <v>8</v>
      </c>
      <c r="H1177" t="s">
        <v>605</v>
      </c>
      <c r="I1177" t="s">
        <v>339</v>
      </c>
      <c r="J1177" s="11">
        <v>1</v>
      </c>
      <c r="K1177" s="12">
        <v>199</v>
      </c>
      <c r="L1177" s="12">
        <v>43.62</v>
      </c>
      <c r="M1177" s="13">
        <v>5</v>
      </c>
      <c r="N1177" s="13">
        <f t="shared" si="144"/>
        <v>14.320254629630654</v>
      </c>
      <c r="O1177" s="13">
        <f t="shared" si="145"/>
        <v>0</v>
      </c>
      <c r="P1177" t="str">
        <f t="shared" si="146"/>
        <v>On Time</v>
      </c>
      <c r="Q1177" s="13">
        <f t="shared" si="147"/>
        <v>0.19805555557832122</v>
      </c>
      <c r="R1177" s="13">
        <f t="shared" si="148"/>
        <v>2.1066319444435067</v>
      </c>
      <c r="S1177" s="13">
        <f t="shared" si="149"/>
        <v>12.205370370371384</v>
      </c>
      <c r="T1177" t="str">
        <f t="shared" si="150"/>
        <v>On Time/Early</v>
      </c>
      <c r="U1177" t="str">
        <f t="shared" si="151"/>
        <v>Normal</v>
      </c>
      <c r="V1177" t="s">
        <v>102</v>
      </c>
    </row>
    <row r="1178" spans="1:22">
      <c r="A1178" t="s">
        <v>1799</v>
      </c>
      <c r="B1178" s="10">
        <v>43158.615972222222</v>
      </c>
      <c r="C1178" s="10">
        <v>43158.621921296297</v>
      </c>
      <c r="D1178" s="10">
        <v>43161.836354166669</v>
      </c>
      <c r="E1178" s="10">
        <v>43166.991064814814</v>
      </c>
      <c r="F1178" s="10">
        <v>43178</v>
      </c>
      <c r="G1178" t="s">
        <v>8</v>
      </c>
      <c r="H1178" t="s">
        <v>1800</v>
      </c>
      <c r="I1178" t="s">
        <v>123</v>
      </c>
      <c r="J1178" s="11">
        <v>1</v>
      </c>
      <c r="K1178" s="12">
        <v>139.99</v>
      </c>
      <c r="L1178" s="12">
        <v>14</v>
      </c>
      <c r="M1178" s="13">
        <v>5</v>
      </c>
      <c r="N1178" s="13">
        <f t="shared" si="144"/>
        <v>8.3750925925924093</v>
      </c>
      <c r="O1178" s="13">
        <f t="shared" si="145"/>
        <v>0</v>
      </c>
      <c r="P1178" t="str">
        <f t="shared" si="146"/>
        <v>On Time</v>
      </c>
      <c r="Q1178" s="13">
        <f t="shared" si="147"/>
        <v>0.14277777780080214</v>
      </c>
      <c r="R1178" s="13">
        <f t="shared" si="148"/>
        <v>3.2144328703725478</v>
      </c>
      <c r="S1178" s="13">
        <f t="shared" si="149"/>
        <v>5.1547106481448282</v>
      </c>
      <c r="T1178" t="str">
        <f t="shared" si="150"/>
        <v>On Time/Early</v>
      </c>
      <c r="U1178" t="str">
        <f t="shared" si="151"/>
        <v>Normal</v>
      </c>
      <c r="V1178" t="s">
        <v>102</v>
      </c>
    </row>
    <row r="1179" spans="1:22">
      <c r="A1179" t="s">
        <v>1801</v>
      </c>
      <c r="B1179" s="10">
        <v>43158.928576388891</v>
      </c>
      <c r="C1179" s="10">
        <v>43160.108113425929</v>
      </c>
      <c r="D1179" s="10">
        <v>43167.006701388891</v>
      </c>
      <c r="E1179" s="10">
        <v>43204.343634259261</v>
      </c>
      <c r="F1179" s="10">
        <v>43187</v>
      </c>
      <c r="G1179" t="s">
        <v>134</v>
      </c>
      <c r="H1179" t="s">
        <v>628</v>
      </c>
      <c r="I1179" t="s">
        <v>118</v>
      </c>
      <c r="J1179" s="11">
        <v>1</v>
      </c>
      <c r="K1179" s="12">
        <v>24.99</v>
      </c>
      <c r="L1179" s="12">
        <v>16.79</v>
      </c>
      <c r="M1179" s="13">
        <v>1</v>
      </c>
      <c r="N1179" s="13">
        <f t="shared" si="144"/>
        <v>45.415057870370219</v>
      </c>
      <c r="O1179" s="13">
        <f t="shared" si="145"/>
        <v>17.343634259261307</v>
      </c>
      <c r="P1179" t="str">
        <f t="shared" si="146"/>
        <v>Delayed</v>
      </c>
      <c r="Q1179" s="13">
        <f t="shared" si="147"/>
        <v>28.308888888917863</v>
      </c>
      <c r="R1179" s="13">
        <f t="shared" si="148"/>
        <v>6.8985879629617557</v>
      </c>
      <c r="S1179" s="13">
        <f t="shared" si="149"/>
        <v>37.336932870370219</v>
      </c>
      <c r="T1179" t="str">
        <f t="shared" si="150"/>
        <v>8+ Days Late</v>
      </c>
      <c r="U1179" t="str">
        <f t="shared" si="151"/>
        <v>Needs Review</v>
      </c>
      <c r="V1179" t="s">
        <v>102</v>
      </c>
    </row>
    <row r="1180" spans="1:22">
      <c r="A1180" t="s">
        <v>1802</v>
      </c>
      <c r="B1180" s="10">
        <v>43159.315763888888</v>
      </c>
      <c r="C1180" s="10">
        <v>43159.325104166666</v>
      </c>
      <c r="D1180" s="10">
        <v>43160.83152777778</v>
      </c>
      <c r="E1180" s="10">
        <v>43197.623425925929</v>
      </c>
      <c r="F1180" s="10">
        <v>43187</v>
      </c>
      <c r="G1180" t="s">
        <v>16</v>
      </c>
      <c r="H1180" t="s">
        <v>852</v>
      </c>
      <c r="I1180" t="s">
        <v>141</v>
      </c>
      <c r="J1180" s="11">
        <v>1</v>
      </c>
      <c r="K1180" s="12">
        <v>26</v>
      </c>
      <c r="L1180" s="12">
        <v>15.11</v>
      </c>
      <c r="M1180" s="13">
        <v>1</v>
      </c>
      <c r="N1180" s="13">
        <f t="shared" si="144"/>
        <v>38.307662037041155</v>
      </c>
      <c r="O1180" s="13">
        <f t="shared" si="145"/>
        <v>10.623425925929041</v>
      </c>
      <c r="P1180" t="str">
        <f t="shared" si="146"/>
        <v>Delayed</v>
      </c>
      <c r="Q1180" s="13">
        <f t="shared" si="147"/>
        <v>0.22416666668141261</v>
      </c>
      <c r="R1180" s="13">
        <f t="shared" si="148"/>
        <v>1.5064236111138598</v>
      </c>
      <c r="S1180" s="13">
        <f t="shared" si="149"/>
        <v>36.791898148148903</v>
      </c>
      <c r="T1180" t="str">
        <f t="shared" si="150"/>
        <v>8+ Days Late</v>
      </c>
      <c r="U1180" t="str">
        <f t="shared" si="151"/>
        <v>Needs Review</v>
      </c>
      <c r="V1180" t="s">
        <v>102</v>
      </c>
    </row>
    <row r="1181" spans="1:22">
      <c r="A1181" t="s">
        <v>1803</v>
      </c>
      <c r="B1181" s="10">
        <v>43159.492395833331</v>
      </c>
      <c r="C1181" s="10">
        <v>43160.118483796294</v>
      </c>
      <c r="D1181" s="10">
        <v>43165.73746527778</v>
      </c>
      <c r="E1181" s="10">
        <v>43204.810925925929</v>
      </c>
      <c r="F1181" s="10">
        <v>43194</v>
      </c>
      <c r="G1181" t="s">
        <v>175</v>
      </c>
      <c r="H1181" t="s">
        <v>1804</v>
      </c>
      <c r="I1181" t="s">
        <v>185</v>
      </c>
      <c r="J1181" s="11">
        <v>1</v>
      </c>
      <c r="K1181" s="12">
        <v>45.9</v>
      </c>
      <c r="L1181" s="12">
        <v>37.49</v>
      </c>
      <c r="M1181" s="13">
        <v>3</v>
      </c>
      <c r="N1181" s="13">
        <f t="shared" si="144"/>
        <v>45.318530092597939</v>
      </c>
      <c r="O1181" s="13">
        <f t="shared" si="145"/>
        <v>10.810925925929041</v>
      </c>
      <c r="P1181" t="str">
        <f t="shared" si="146"/>
        <v>Delayed</v>
      </c>
      <c r="Q1181" s="13">
        <f t="shared" si="147"/>
        <v>15.026111111103091</v>
      </c>
      <c r="R1181" s="13">
        <f t="shared" si="148"/>
        <v>5.6189814814861165</v>
      </c>
      <c r="S1181" s="13">
        <f t="shared" si="149"/>
        <v>39.073460648149194</v>
      </c>
      <c r="T1181" t="str">
        <f t="shared" si="150"/>
        <v>8+ Days Late</v>
      </c>
      <c r="U1181" t="str">
        <f t="shared" si="151"/>
        <v>Needs Review</v>
      </c>
      <c r="V1181" t="s">
        <v>102</v>
      </c>
    </row>
    <row r="1182" spans="1:22">
      <c r="A1182" t="s">
        <v>1805</v>
      </c>
      <c r="B1182" s="10">
        <v>43160.436898148146</v>
      </c>
      <c r="C1182" s="10">
        <v>43160.451724537037</v>
      </c>
      <c r="D1182" s="10">
        <v>43161.932152777779</v>
      </c>
      <c r="E1182" s="10">
        <v>43162.546643518515</v>
      </c>
      <c r="F1182" s="10">
        <v>43172</v>
      </c>
      <c r="G1182" t="s">
        <v>8</v>
      </c>
      <c r="H1182" t="s">
        <v>140</v>
      </c>
      <c r="I1182" t="s">
        <v>58</v>
      </c>
      <c r="J1182" s="11">
        <v>1</v>
      </c>
      <c r="K1182" s="12">
        <v>61.8</v>
      </c>
      <c r="L1182" s="12">
        <v>11.73</v>
      </c>
      <c r="M1182" s="13">
        <v>5</v>
      </c>
      <c r="N1182" s="13">
        <f t="shared" si="144"/>
        <v>2.1097453703696374</v>
      </c>
      <c r="O1182" s="13">
        <f t="shared" si="145"/>
        <v>0</v>
      </c>
      <c r="P1182" t="str">
        <f t="shared" si="146"/>
        <v>On Time</v>
      </c>
      <c r="Q1182" s="13">
        <f t="shared" si="147"/>
        <v>0.3558333333930932</v>
      </c>
      <c r="R1182" s="13">
        <f t="shared" si="148"/>
        <v>1.4804282407421852</v>
      </c>
      <c r="S1182" s="13">
        <f t="shared" si="149"/>
        <v>0.61449074073607335</v>
      </c>
      <c r="T1182" t="str">
        <f t="shared" si="150"/>
        <v>On Time/Early</v>
      </c>
      <c r="U1182" t="str">
        <f t="shared" si="151"/>
        <v>Normal</v>
      </c>
      <c r="V1182" t="s">
        <v>102</v>
      </c>
    </row>
    <row r="1183" spans="1:22">
      <c r="A1183" t="s">
        <v>1806</v>
      </c>
      <c r="B1183" s="10">
        <v>43160.452939814815</v>
      </c>
      <c r="C1183" s="10">
        <v>43160.468460648146</v>
      </c>
      <c r="D1183" s="10">
        <v>43161.818807870368</v>
      </c>
      <c r="E1183" s="10">
        <v>43180.723275462966</v>
      </c>
      <c r="F1183" s="10">
        <v>43181</v>
      </c>
      <c r="G1183" t="s">
        <v>8</v>
      </c>
      <c r="H1183" t="s">
        <v>1807</v>
      </c>
      <c r="I1183" t="s">
        <v>120</v>
      </c>
      <c r="J1183" s="11">
        <v>1</v>
      </c>
      <c r="K1183" s="12">
        <v>39.9</v>
      </c>
      <c r="L1183" s="12">
        <v>16.11</v>
      </c>
      <c r="M1183" s="13">
        <v>3</v>
      </c>
      <c r="N1183" s="13">
        <f t="shared" si="144"/>
        <v>20.270335648150649</v>
      </c>
      <c r="O1183" s="13">
        <f t="shared" si="145"/>
        <v>0</v>
      </c>
      <c r="P1183" t="str">
        <f t="shared" si="146"/>
        <v>On Time</v>
      </c>
      <c r="Q1183" s="13">
        <f t="shared" si="147"/>
        <v>0.37249999993946403</v>
      </c>
      <c r="R1183" s="13">
        <f t="shared" si="148"/>
        <v>1.3503472222218988</v>
      </c>
      <c r="S1183" s="13">
        <f t="shared" si="149"/>
        <v>18.904467592597939</v>
      </c>
      <c r="T1183" t="str">
        <f t="shared" si="150"/>
        <v>On Time/Early</v>
      </c>
      <c r="U1183" t="str">
        <f t="shared" si="151"/>
        <v>Normal</v>
      </c>
      <c r="V1183" t="s">
        <v>102</v>
      </c>
    </row>
    <row r="1184" spans="1:22">
      <c r="A1184" t="s">
        <v>1808</v>
      </c>
      <c r="B1184" s="10">
        <v>43160.477581018517</v>
      </c>
      <c r="C1184" s="10">
        <v>43161.09101851852</v>
      </c>
      <c r="D1184" s="10">
        <v>43164.818749999999</v>
      </c>
      <c r="E1184" s="10">
        <v>43167.66238425926</v>
      </c>
      <c r="F1184" s="10">
        <v>43179</v>
      </c>
      <c r="G1184" t="s">
        <v>8</v>
      </c>
      <c r="H1184" t="s">
        <v>225</v>
      </c>
      <c r="I1184" t="s">
        <v>115</v>
      </c>
      <c r="J1184" s="11">
        <v>1</v>
      </c>
      <c r="K1184" s="12">
        <v>59.99</v>
      </c>
      <c r="L1184" s="12">
        <v>15.17</v>
      </c>
      <c r="M1184" s="13">
        <v>5</v>
      </c>
      <c r="N1184" s="13">
        <f t="shared" si="144"/>
        <v>7.1848032407433493</v>
      </c>
      <c r="O1184" s="13">
        <f t="shared" si="145"/>
        <v>0</v>
      </c>
      <c r="P1184" t="str">
        <f t="shared" si="146"/>
        <v>On Time</v>
      </c>
      <c r="Q1184" s="13">
        <f t="shared" si="147"/>
        <v>14.722500000090804</v>
      </c>
      <c r="R1184" s="13">
        <f t="shared" si="148"/>
        <v>3.7277314814782585</v>
      </c>
      <c r="S1184" s="13">
        <f t="shared" si="149"/>
        <v>2.8436342592613073</v>
      </c>
      <c r="T1184" t="str">
        <f t="shared" si="150"/>
        <v>On Time/Early</v>
      </c>
      <c r="U1184" t="str">
        <f t="shared" si="151"/>
        <v>Normal</v>
      </c>
      <c r="V1184" t="s">
        <v>102</v>
      </c>
    </row>
    <row r="1185" spans="1:22">
      <c r="A1185" t="s">
        <v>1809</v>
      </c>
      <c r="B1185" s="10">
        <v>43160.490960648145</v>
      </c>
      <c r="C1185" s="10">
        <v>43160.507060185184</v>
      </c>
      <c r="D1185" s="10">
        <v>43161.020138888889</v>
      </c>
      <c r="E1185" s="10">
        <v>43173.960590277777</v>
      </c>
      <c r="F1185" s="10">
        <v>43178</v>
      </c>
      <c r="G1185" t="s">
        <v>16</v>
      </c>
      <c r="H1185" t="s">
        <v>138</v>
      </c>
      <c r="I1185" t="s">
        <v>44</v>
      </c>
      <c r="J1185" s="11">
        <v>1</v>
      </c>
      <c r="K1185" s="12">
        <v>59.99</v>
      </c>
      <c r="L1185" s="12">
        <v>14.17</v>
      </c>
      <c r="M1185" s="13">
        <v>4</v>
      </c>
      <c r="N1185" s="13">
        <f t="shared" si="144"/>
        <v>13.469629629631527</v>
      </c>
      <c r="O1185" s="13">
        <f t="shared" si="145"/>
        <v>0</v>
      </c>
      <c r="P1185" t="str">
        <f t="shared" si="146"/>
        <v>On Time</v>
      </c>
      <c r="Q1185" s="13">
        <f t="shared" si="147"/>
        <v>0.38638888893183321</v>
      </c>
      <c r="R1185" s="13">
        <f t="shared" si="148"/>
        <v>0.513078703705105</v>
      </c>
      <c r="S1185" s="13">
        <f t="shared" si="149"/>
        <v>12.940451388887595</v>
      </c>
      <c r="T1185" t="str">
        <f t="shared" si="150"/>
        <v>On Time/Early</v>
      </c>
      <c r="U1185" t="str">
        <f t="shared" si="151"/>
        <v>Normal</v>
      </c>
      <c r="V1185" t="s">
        <v>102</v>
      </c>
    </row>
    <row r="1186" spans="1:22">
      <c r="A1186" t="s">
        <v>1810</v>
      </c>
      <c r="B1186" s="10">
        <v>43160.651990740742</v>
      </c>
      <c r="C1186" s="10">
        <v>43160.66369212963</v>
      </c>
      <c r="D1186" s="10">
        <v>43161.691319444442</v>
      </c>
      <c r="E1186" s="10">
        <v>43164.651238425926</v>
      </c>
      <c r="F1186" s="10">
        <v>43172</v>
      </c>
      <c r="G1186" t="s">
        <v>8</v>
      </c>
      <c r="H1186" t="s">
        <v>161</v>
      </c>
      <c r="I1186" t="s">
        <v>180</v>
      </c>
      <c r="J1186" s="11">
        <v>2</v>
      </c>
      <c r="K1186" s="12">
        <v>253</v>
      </c>
      <c r="L1186" s="12">
        <v>35.56</v>
      </c>
      <c r="M1186" s="13">
        <v>5</v>
      </c>
      <c r="N1186" s="13">
        <f t="shared" si="144"/>
        <v>3.9992476851839456</v>
      </c>
      <c r="O1186" s="13">
        <f t="shared" si="145"/>
        <v>0</v>
      </c>
      <c r="P1186" t="str">
        <f t="shared" si="146"/>
        <v>On Time</v>
      </c>
      <c r="Q1186" s="13">
        <f t="shared" si="147"/>
        <v>0.28083333332324401</v>
      </c>
      <c r="R1186" s="13">
        <f t="shared" si="148"/>
        <v>1.0276273148119799</v>
      </c>
      <c r="S1186" s="13">
        <f t="shared" si="149"/>
        <v>2.9599189814834972</v>
      </c>
      <c r="T1186" t="str">
        <f t="shared" si="150"/>
        <v>On Time/Early</v>
      </c>
      <c r="U1186" t="str">
        <f t="shared" si="151"/>
        <v>Normal</v>
      </c>
      <c r="V1186" t="s">
        <v>102</v>
      </c>
    </row>
    <row r="1187" spans="1:22">
      <c r="A1187" t="s">
        <v>1811</v>
      </c>
      <c r="B1187" s="10">
        <v>43160.685416666667</v>
      </c>
      <c r="C1187" s="10">
        <v>43162.118587962963</v>
      </c>
      <c r="D1187" s="10">
        <v>43164.977013888885</v>
      </c>
      <c r="E1187" s="10">
        <v>43167.869745370372</v>
      </c>
      <c r="F1187" s="10">
        <v>43181</v>
      </c>
      <c r="G1187" t="s">
        <v>30</v>
      </c>
      <c r="H1187" t="s">
        <v>477</v>
      </c>
      <c r="I1187" t="s">
        <v>112</v>
      </c>
      <c r="J1187" s="11">
        <v>1</v>
      </c>
      <c r="K1187" s="12">
        <v>367.9</v>
      </c>
      <c r="L1187" s="12">
        <v>67.67</v>
      </c>
      <c r="M1187" s="13">
        <v>5</v>
      </c>
      <c r="N1187" s="13">
        <f t="shared" si="144"/>
        <v>7.1843287037045229</v>
      </c>
      <c r="O1187" s="13">
        <f t="shared" si="145"/>
        <v>0</v>
      </c>
      <c r="P1187" t="str">
        <f t="shared" si="146"/>
        <v>On Time</v>
      </c>
      <c r="Q1187" s="13">
        <f t="shared" si="147"/>
        <v>34.396111111098435</v>
      </c>
      <c r="R1187" s="13">
        <f t="shared" si="148"/>
        <v>2.8584259259223472</v>
      </c>
      <c r="S1187" s="13">
        <f t="shared" si="149"/>
        <v>2.8927314814864076</v>
      </c>
      <c r="T1187" t="str">
        <f t="shared" si="150"/>
        <v>On Time/Early</v>
      </c>
      <c r="U1187" t="str">
        <f t="shared" si="151"/>
        <v>Normal</v>
      </c>
      <c r="V1187" t="s">
        <v>102</v>
      </c>
    </row>
    <row r="1188" spans="1:22">
      <c r="A1188" t="s">
        <v>1812</v>
      </c>
      <c r="B1188" s="10">
        <v>43160.895219907405</v>
      </c>
      <c r="C1188" s="10">
        <v>43161.700787037036</v>
      </c>
      <c r="D1188" s="10">
        <v>43164.957662037035</v>
      </c>
      <c r="E1188" s="10">
        <v>43185.93204861111</v>
      </c>
      <c r="F1188" s="10">
        <v>43178</v>
      </c>
      <c r="G1188" t="s">
        <v>8</v>
      </c>
      <c r="H1188" t="s">
        <v>140</v>
      </c>
      <c r="I1188" t="s">
        <v>136</v>
      </c>
      <c r="J1188" s="11">
        <v>1</v>
      </c>
      <c r="K1188" s="12">
        <v>159.9</v>
      </c>
      <c r="L1188" s="12">
        <v>14.14</v>
      </c>
      <c r="M1188" s="13">
        <v>1</v>
      </c>
      <c r="N1188" s="13">
        <f t="shared" si="144"/>
        <v>25.036828703705396</v>
      </c>
      <c r="O1188" s="13">
        <f t="shared" si="145"/>
        <v>7.9320486111100763</v>
      </c>
      <c r="P1188" t="str">
        <f t="shared" si="146"/>
        <v>Delayed</v>
      </c>
      <c r="Q1188" s="13">
        <f t="shared" si="147"/>
        <v>19.333611111156642</v>
      </c>
      <c r="R1188" s="13">
        <f t="shared" si="148"/>
        <v>3.2568749999991269</v>
      </c>
      <c r="S1188" s="13">
        <f t="shared" si="149"/>
        <v>20.974386574074742</v>
      </c>
      <c r="T1188" t="str">
        <f t="shared" si="150"/>
        <v>8+ Days Late</v>
      </c>
      <c r="U1188" t="str">
        <f t="shared" si="151"/>
        <v>Needs Review</v>
      </c>
      <c r="V1188" t="s">
        <v>102</v>
      </c>
    </row>
    <row r="1189" spans="1:22">
      <c r="A1189" t="s">
        <v>1813</v>
      </c>
      <c r="B1189" s="10">
        <v>43160.917893518519</v>
      </c>
      <c r="C1189" s="10">
        <v>43161.715856481482</v>
      </c>
      <c r="D1189" s="10">
        <v>43164.981666666667</v>
      </c>
      <c r="E1189" s="10">
        <v>43195.935787037037</v>
      </c>
      <c r="F1189" s="10">
        <v>43187</v>
      </c>
      <c r="G1189" t="s">
        <v>474</v>
      </c>
      <c r="H1189" t="s">
        <v>859</v>
      </c>
      <c r="I1189" t="s">
        <v>136</v>
      </c>
      <c r="J1189" s="11">
        <v>1</v>
      </c>
      <c r="K1189" s="12">
        <v>125</v>
      </c>
      <c r="L1189" s="12">
        <v>38.42</v>
      </c>
      <c r="M1189" s="13">
        <v>2</v>
      </c>
      <c r="N1189" s="13">
        <f t="shared" si="144"/>
        <v>35.017893518517667</v>
      </c>
      <c r="O1189" s="13">
        <f t="shared" si="145"/>
        <v>8.9357870370367891</v>
      </c>
      <c r="P1189" t="str">
        <f t="shared" si="146"/>
        <v>Delayed</v>
      </c>
      <c r="Q1189" s="13">
        <f t="shared" si="147"/>
        <v>19.151111111103091</v>
      </c>
      <c r="R1189" s="13">
        <f t="shared" si="148"/>
        <v>3.2658101851848187</v>
      </c>
      <c r="S1189" s="13">
        <f t="shared" si="149"/>
        <v>30.954120370370219</v>
      </c>
      <c r="T1189" t="str">
        <f t="shared" si="150"/>
        <v>8+ Days Late</v>
      </c>
      <c r="U1189" t="str">
        <f t="shared" si="151"/>
        <v>Needs Review</v>
      </c>
      <c r="V1189" t="s">
        <v>102</v>
      </c>
    </row>
    <row r="1190" spans="1:22">
      <c r="A1190" t="s">
        <v>1814</v>
      </c>
      <c r="B1190" s="10">
        <v>43161.385810185187</v>
      </c>
      <c r="C1190" s="10">
        <v>43161.395694444444</v>
      </c>
      <c r="D1190" s="10">
        <v>43166.923368055555</v>
      </c>
      <c r="E1190" s="10">
        <v>43195.737291666665</v>
      </c>
      <c r="F1190" s="10">
        <v>43187</v>
      </c>
      <c r="G1190" t="s">
        <v>474</v>
      </c>
      <c r="H1190" t="s">
        <v>1815</v>
      </c>
      <c r="I1190" t="s">
        <v>112</v>
      </c>
      <c r="J1190" s="11">
        <v>1</v>
      </c>
      <c r="K1190" s="12">
        <v>44.9</v>
      </c>
      <c r="L1190" s="12">
        <v>34.15</v>
      </c>
      <c r="M1190" s="13">
        <v>1</v>
      </c>
      <c r="N1190" s="13">
        <f t="shared" si="144"/>
        <v>34.351481481477094</v>
      </c>
      <c r="O1190" s="13">
        <f t="shared" si="145"/>
        <v>8.7372916666645324</v>
      </c>
      <c r="P1190" t="str">
        <f t="shared" si="146"/>
        <v>Delayed</v>
      </c>
      <c r="Q1190" s="13">
        <f t="shared" si="147"/>
        <v>0.23722222214564681</v>
      </c>
      <c r="R1190" s="13">
        <f t="shared" si="148"/>
        <v>5.5276736111118225</v>
      </c>
      <c r="S1190" s="13">
        <f t="shared" si="149"/>
        <v>28.813923611109203</v>
      </c>
      <c r="T1190" t="str">
        <f t="shared" si="150"/>
        <v>8+ Days Late</v>
      </c>
      <c r="U1190" t="str">
        <f t="shared" si="151"/>
        <v>Needs Review</v>
      </c>
      <c r="V1190" t="s">
        <v>102</v>
      </c>
    </row>
    <row r="1191" spans="1:22">
      <c r="A1191" t="s">
        <v>1816</v>
      </c>
      <c r="B1191" s="10">
        <v>43161.485405092593</v>
      </c>
      <c r="C1191" s="10">
        <v>43161.497083333335</v>
      </c>
      <c r="D1191" s="10">
        <v>43164.818645833337</v>
      </c>
      <c r="E1191" s="10">
        <v>43165.894293981481</v>
      </c>
      <c r="F1191" s="10">
        <v>43173</v>
      </c>
      <c r="G1191" t="s">
        <v>20</v>
      </c>
      <c r="H1191" t="s">
        <v>104</v>
      </c>
      <c r="I1191" t="s">
        <v>136</v>
      </c>
      <c r="J1191" s="11">
        <v>1</v>
      </c>
      <c r="K1191" s="12">
        <v>23.8</v>
      </c>
      <c r="L1191" s="12">
        <v>8.11</v>
      </c>
      <c r="M1191" s="13">
        <v>5</v>
      </c>
      <c r="N1191" s="13">
        <f t="shared" si="144"/>
        <v>4.4088888888873043</v>
      </c>
      <c r="O1191" s="13">
        <f t="shared" si="145"/>
        <v>0</v>
      </c>
      <c r="P1191" t="str">
        <f t="shared" si="146"/>
        <v>On Time</v>
      </c>
      <c r="Q1191" s="13">
        <f t="shared" si="147"/>
        <v>0.28027777781244367</v>
      </c>
      <c r="R1191" s="13">
        <f t="shared" si="148"/>
        <v>3.3215625000011642</v>
      </c>
      <c r="S1191" s="13">
        <f t="shared" si="149"/>
        <v>1.075648148143955</v>
      </c>
      <c r="T1191" t="str">
        <f t="shared" si="150"/>
        <v>On Time/Early</v>
      </c>
      <c r="U1191" t="str">
        <f t="shared" si="151"/>
        <v>Normal</v>
      </c>
      <c r="V1191" t="s">
        <v>102</v>
      </c>
    </row>
    <row r="1192" spans="1:22">
      <c r="A1192" t="s">
        <v>1817</v>
      </c>
      <c r="B1192" s="10">
        <v>43161.610324074078</v>
      </c>
      <c r="C1192" s="10">
        <v>43161.622152777774</v>
      </c>
      <c r="D1192" s="10">
        <v>43164.931018518517</v>
      </c>
      <c r="E1192" s="10">
        <v>43186.883703703701</v>
      </c>
      <c r="F1192" s="10">
        <v>43185</v>
      </c>
      <c r="G1192" t="s">
        <v>33</v>
      </c>
      <c r="H1192" t="s">
        <v>1765</v>
      </c>
      <c r="I1192" t="s">
        <v>279</v>
      </c>
      <c r="J1192" s="11">
        <v>1</v>
      </c>
      <c r="K1192" s="12">
        <v>269.99</v>
      </c>
      <c r="L1192" s="12">
        <v>15.64</v>
      </c>
      <c r="M1192" s="13">
        <v>2</v>
      </c>
      <c r="N1192" s="13">
        <f t="shared" si="144"/>
        <v>25.273379629623378</v>
      </c>
      <c r="O1192" s="13">
        <f t="shared" si="145"/>
        <v>1.8837037037010305</v>
      </c>
      <c r="P1192" t="str">
        <f t="shared" si="146"/>
        <v>Delayed</v>
      </c>
      <c r="Q1192" s="13">
        <f t="shared" si="147"/>
        <v>0.28388888871995732</v>
      </c>
      <c r="R1192" s="13">
        <f t="shared" si="148"/>
        <v>3.3088657407424762</v>
      </c>
      <c r="S1192" s="13">
        <f t="shared" si="149"/>
        <v>21.952685185184237</v>
      </c>
      <c r="T1192" t="str">
        <f t="shared" si="150"/>
        <v>1-3 Days Late</v>
      </c>
      <c r="U1192" t="str">
        <f t="shared" si="151"/>
        <v>Needs Review</v>
      </c>
      <c r="V1192" t="s">
        <v>102</v>
      </c>
    </row>
    <row r="1193" spans="1:22">
      <c r="A1193" t="s">
        <v>1818</v>
      </c>
      <c r="B1193" s="10">
        <v>43161.739861111113</v>
      </c>
      <c r="C1193" s="10">
        <v>43161.760821759257</v>
      </c>
      <c r="D1193" s="10">
        <v>43165.647615740738</v>
      </c>
      <c r="E1193" s="10">
        <v>43201.744814814818</v>
      </c>
      <c r="F1193" s="10">
        <v>43192</v>
      </c>
      <c r="G1193" t="s">
        <v>175</v>
      </c>
      <c r="H1193" t="s">
        <v>338</v>
      </c>
      <c r="I1193" t="s">
        <v>118</v>
      </c>
      <c r="J1193" s="11">
        <v>1</v>
      </c>
      <c r="K1193" s="12">
        <v>24.99</v>
      </c>
      <c r="L1193" s="12">
        <v>17.63</v>
      </c>
      <c r="M1193" s="13">
        <v>3</v>
      </c>
      <c r="N1193" s="13">
        <f t="shared" si="144"/>
        <v>40.004953703704814</v>
      </c>
      <c r="O1193" s="13">
        <f t="shared" si="145"/>
        <v>9.7448148148178007</v>
      </c>
      <c r="P1193" t="str">
        <f t="shared" si="146"/>
        <v>Delayed</v>
      </c>
      <c r="Q1193" s="13">
        <f t="shared" si="147"/>
        <v>0.50305555545492098</v>
      </c>
      <c r="R1193" s="13">
        <f t="shared" si="148"/>
        <v>3.8867939814808778</v>
      </c>
      <c r="S1193" s="13">
        <f t="shared" si="149"/>
        <v>36.097199074079981</v>
      </c>
      <c r="T1193" t="str">
        <f t="shared" si="150"/>
        <v>8+ Days Late</v>
      </c>
      <c r="U1193" t="str">
        <f t="shared" si="151"/>
        <v>Needs Review</v>
      </c>
      <c r="V1193" t="s">
        <v>102</v>
      </c>
    </row>
    <row r="1194" spans="1:22">
      <c r="A1194" t="s">
        <v>1819</v>
      </c>
      <c r="B1194" s="10">
        <v>43161.756666666668</v>
      </c>
      <c r="C1194" s="10">
        <v>43161.773217592592</v>
      </c>
      <c r="D1194" s="10">
        <v>43165.70076388889</v>
      </c>
      <c r="E1194" s="10">
        <v>43227.631921296299</v>
      </c>
      <c r="F1194" s="10">
        <v>43186</v>
      </c>
      <c r="G1194" t="s">
        <v>20</v>
      </c>
      <c r="H1194" t="s">
        <v>878</v>
      </c>
      <c r="I1194" t="s">
        <v>58</v>
      </c>
      <c r="J1194" s="11">
        <v>1</v>
      </c>
      <c r="K1194" s="12">
        <v>119.9</v>
      </c>
      <c r="L1194" s="12">
        <v>16.600000000000001</v>
      </c>
      <c r="M1194" s="13">
        <v>1</v>
      </c>
      <c r="N1194" s="13">
        <f t="shared" si="144"/>
        <v>65.875254629630945</v>
      </c>
      <c r="O1194" s="13">
        <f t="shared" si="145"/>
        <v>41.63192129629897</v>
      </c>
      <c r="P1194" t="str">
        <f t="shared" si="146"/>
        <v>Delayed</v>
      </c>
      <c r="Q1194" s="13">
        <f t="shared" si="147"/>
        <v>0.3972222221782431</v>
      </c>
      <c r="R1194" s="13">
        <f t="shared" si="148"/>
        <v>3.9275462962978054</v>
      </c>
      <c r="S1194" s="13">
        <f t="shared" si="149"/>
        <v>61.931157407409046</v>
      </c>
      <c r="T1194" t="str">
        <f t="shared" si="150"/>
        <v>8+ Days Late</v>
      </c>
      <c r="U1194" t="str">
        <f t="shared" si="151"/>
        <v>Needs Review</v>
      </c>
      <c r="V1194" t="s">
        <v>102</v>
      </c>
    </row>
    <row r="1195" spans="1:22">
      <c r="A1195" t="s">
        <v>1820</v>
      </c>
      <c r="B1195" s="10">
        <v>43162.388379629629</v>
      </c>
      <c r="C1195" s="10">
        <v>43162.396134259259</v>
      </c>
      <c r="D1195" s="10">
        <v>43166.698182870372</v>
      </c>
      <c r="E1195" s="10">
        <v>43186.782430555555</v>
      </c>
      <c r="F1195" s="10">
        <v>43185</v>
      </c>
      <c r="G1195" t="s">
        <v>33</v>
      </c>
      <c r="H1195" t="s">
        <v>1821</v>
      </c>
      <c r="I1195" t="s">
        <v>180</v>
      </c>
      <c r="J1195" s="11">
        <v>1</v>
      </c>
      <c r="K1195" s="12">
        <v>64.900000000000006</v>
      </c>
      <c r="L1195" s="12">
        <v>28.85</v>
      </c>
      <c r="M1195" s="13">
        <v>4</v>
      </c>
      <c r="N1195" s="13">
        <f t="shared" si="144"/>
        <v>24.394050925926422</v>
      </c>
      <c r="O1195" s="13">
        <f t="shared" si="145"/>
        <v>1.7824305555550382</v>
      </c>
      <c r="P1195" t="str">
        <f t="shared" si="146"/>
        <v>Delayed</v>
      </c>
      <c r="Q1195" s="13">
        <f t="shared" si="147"/>
        <v>0.18611111113568768</v>
      </c>
      <c r="R1195" s="13">
        <f t="shared" si="148"/>
        <v>4.3020486111126957</v>
      </c>
      <c r="S1195" s="13">
        <f t="shared" si="149"/>
        <v>20.084247685183072</v>
      </c>
      <c r="T1195" t="str">
        <f t="shared" si="150"/>
        <v>1-3 Days Late</v>
      </c>
      <c r="U1195" t="str">
        <f t="shared" si="151"/>
        <v>Needs Review</v>
      </c>
      <c r="V1195" t="s">
        <v>102</v>
      </c>
    </row>
    <row r="1196" spans="1:22">
      <c r="A1196" t="s">
        <v>1822</v>
      </c>
      <c r="B1196" s="10">
        <v>43162.560115740744</v>
      </c>
      <c r="C1196" s="10">
        <v>43162.566331018519</v>
      </c>
      <c r="D1196" s="10">
        <v>43164.679930555554</v>
      </c>
      <c r="E1196" s="10">
        <v>43171.832395833335</v>
      </c>
      <c r="F1196" s="10">
        <v>43180</v>
      </c>
      <c r="G1196" t="s">
        <v>8</v>
      </c>
      <c r="H1196" t="s">
        <v>225</v>
      </c>
      <c r="I1196" t="s">
        <v>118</v>
      </c>
      <c r="J1196" s="11">
        <v>1</v>
      </c>
      <c r="K1196" s="12">
        <v>69.900000000000006</v>
      </c>
      <c r="L1196" s="12">
        <v>11.99</v>
      </c>
      <c r="M1196" s="13">
        <v>5</v>
      </c>
      <c r="N1196" s="13">
        <f t="shared" si="144"/>
        <v>9.2722800925912452</v>
      </c>
      <c r="O1196" s="13">
        <f t="shared" si="145"/>
        <v>0</v>
      </c>
      <c r="P1196" t="str">
        <f t="shared" si="146"/>
        <v>On Time</v>
      </c>
      <c r="Q1196" s="13">
        <f t="shared" si="147"/>
        <v>0.14916666661156341</v>
      </c>
      <c r="R1196" s="13">
        <f t="shared" si="148"/>
        <v>2.1135995370350429</v>
      </c>
      <c r="S1196" s="13">
        <f t="shared" si="149"/>
        <v>7.1524652777807205</v>
      </c>
      <c r="T1196" t="str">
        <f t="shared" si="150"/>
        <v>On Time/Early</v>
      </c>
      <c r="U1196" t="str">
        <f t="shared" si="151"/>
        <v>Normal</v>
      </c>
      <c r="V1196" t="s">
        <v>102</v>
      </c>
    </row>
    <row r="1197" spans="1:22">
      <c r="A1197" t="s">
        <v>1823</v>
      </c>
      <c r="B1197" s="10">
        <v>43162.583749999998</v>
      </c>
      <c r="C1197" s="10">
        <v>43162.5940625</v>
      </c>
      <c r="D1197" s="10">
        <v>43165.975011574075</v>
      </c>
      <c r="E1197" s="10">
        <v>43187.122002314813</v>
      </c>
      <c r="F1197" s="10">
        <v>43203</v>
      </c>
      <c r="G1197" t="s">
        <v>16</v>
      </c>
      <c r="H1197" t="s">
        <v>138</v>
      </c>
      <c r="I1197" t="s">
        <v>123</v>
      </c>
      <c r="J1197" s="11">
        <v>1</v>
      </c>
      <c r="K1197" s="12">
        <v>238</v>
      </c>
      <c r="L1197" s="12">
        <v>19.91</v>
      </c>
      <c r="M1197" s="13">
        <v>3</v>
      </c>
      <c r="N1197" s="13">
        <f t="shared" si="144"/>
        <v>24.538252314814599</v>
      </c>
      <c r="O1197" s="13">
        <f t="shared" si="145"/>
        <v>0</v>
      </c>
      <c r="P1197" t="str">
        <f t="shared" si="146"/>
        <v>On Time</v>
      </c>
      <c r="Q1197" s="13">
        <f t="shared" si="147"/>
        <v>0.24750000005587935</v>
      </c>
      <c r="R1197" s="13">
        <f t="shared" si="148"/>
        <v>3.3809490740750334</v>
      </c>
      <c r="S1197" s="13">
        <f t="shared" si="149"/>
        <v>21.146990740737238</v>
      </c>
      <c r="T1197" t="str">
        <f t="shared" si="150"/>
        <v>On Time/Early</v>
      </c>
      <c r="U1197" t="str">
        <f t="shared" si="151"/>
        <v>Normal</v>
      </c>
      <c r="V1197" t="s">
        <v>102</v>
      </c>
    </row>
    <row r="1198" spans="1:22">
      <c r="A1198" t="s">
        <v>1824</v>
      </c>
      <c r="B1198" s="10">
        <v>43162.70685185185</v>
      </c>
      <c r="C1198" s="10">
        <v>43165.160162037035</v>
      </c>
      <c r="D1198" s="10">
        <v>43171.794004629628</v>
      </c>
      <c r="E1198" s="10">
        <v>43178.909363425926</v>
      </c>
      <c r="F1198" s="10">
        <v>43186</v>
      </c>
      <c r="G1198" t="s">
        <v>8</v>
      </c>
      <c r="H1198" t="s">
        <v>161</v>
      </c>
      <c r="I1198" t="s">
        <v>120</v>
      </c>
      <c r="J1198" s="11">
        <v>1</v>
      </c>
      <c r="K1198" s="12">
        <v>76.25</v>
      </c>
      <c r="L1198" s="12">
        <v>12.66</v>
      </c>
      <c r="M1198" s="13">
        <v>4</v>
      </c>
      <c r="N1198" s="13">
        <f t="shared" si="144"/>
        <v>16.202511574076198</v>
      </c>
      <c r="O1198" s="13">
        <f t="shared" si="145"/>
        <v>0</v>
      </c>
      <c r="P1198" t="str">
        <f t="shared" si="146"/>
        <v>On Time</v>
      </c>
      <c r="Q1198" s="13">
        <f t="shared" si="147"/>
        <v>58.879444444435649</v>
      </c>
      <c r="R1198" s="13">
        <f t="shared" si="148"/>
        <v>6.6338425925932825</v>
      </c>
      <c r="S1198" s="13">
        <f t="shared" si="149"/>
        <v>7.1153587962980964</v>
      </c>
      <c r="T1198" t="str">
        <f t="shared" si="150"/>
        <v>On Time/Early</v>
      </c>
      <c r="U1198" t="str">
        <f t="shared" si="151"/>
        <v>Normal</v>
      </c>
      <c r="V1198" t="s">
        <v>102</v>
      </c>
    </row>
    <row r="1199" spans="1:22">
      <c r="A1199" t="s">
        <v>1825</v>
      </c>
      <c r="B1199" s="10">
        <v>43162.735844907409</v>
      </c>
      <c r="C1199" s="10">
        <v>43162.743344907409</v>
      </c>
      <c r="D1199" s="10">
        <v>43164.713055555556</v>
      </c>
      <c r="E1199" s="10">
        <v>43165.776863425926</v>
      </c>
      <c r="F1199" s="10">
        <v>43174</v>
      </c>
      <c r="G1199" t="s">
        <v>33</v>
      </c>
      <c r="H1199" t="s">
        <v>341</v>
      </c>
      <c r="I1199" t="s">
        <v>58</v>
      </c>
      <c r="J1199" s="11">
        <v>1</v>
      </c>
      <c r="K1199" s="12">
        <v>39.9</v>
      </c>
      <c r="L1199" s="12">
        <v>9.27</v>
      </c>
      <c r="M1199" s="13">
        <v>5</v>
      </c>
      <c r="N1199" s="13">
        <f t="shared" si="144"/>
        <v>3.0410185185173759</v>
      </c>
      <c r="O1199" s="13">
        <f t="shared" si="145"/>
        <v>0</v>
      </c>
      <c r="P1199" t="str">
        <f t="shared" si="146"/>
        <v>On Time</v>
      </c>
      <c r="Q1199" s="13">
        <f t="shared" si="147"/>
        <v>0.17999999999301508</v>
      </c>
      <c r="R1199" s="13">
        <f t="shared" si="148"/>
        <v>1.9697106481471565</v>
      </c>
      <c r="S1199" s="13">
        <f t="shared" si="149"/>
        <v>1.0638078703705105</v>
      </c>
      <c r="T1199" t="str">
        <f t="shared" si="150"/>
        <v>On Time/Early</v>
      </c>
      <c r="U1199" t="str">
        <f t="shared" si="151"/>
        <v>Normal</v>
      </c>
      <c r="V1199" t="s">
        <v>102</v>
      </c>
    </row>
    <row r="1200" spans="1:22">
      <c r="A1200" t="s">
        <v>1826</v>
      </c>
      <c r="B1200" s="10">
        <v>43162.916307870371</v>
      </c>
      <c r="C1200" s="10">
        <v>43162.938310185185</v>
      </c>
      <c r="D1200" s="10">
        <v>43165.98510416667</v>
      </c>
      <c r="E1200" s="10">
        <v>43167.817002314812</v>
      </c>
      <c r="F1200" s="10">
        <v>43174</v>
      </c>
      <c r="G1200" t="s">
        <v>8</v>
      </c>
      <c r="H1200" t="s">
        <v>140</v>
      </c>
      <c r="I1200" t="s">
        <v>118</v>
      </c>
      <c r="J1200" s="11">
        <v>1</v>
      </c>
      <c r="K1200" s="12">
        <v>29.98</v>
      </c>
      <c r="L1200" s="12">
        <v>7.78</v>
      </c>
      <c r="M1200" s="13">
        <v>5</v>
      </c>
      <c r="N1200" s="13">
        <f t="shared" si="144"/>
        <v>4.9006944444408873</v>
      </c>
      <c r="O1200" s="13">
        <f t="shared" si="145"/>
        <v>0</v>
      </c>
      <c r="P1200" t="str">
        <f t="shared" si="146"/>
        <v>On Time</v>
      </c>
      <c r="Q1200" s="13">
        <f t="shared" si="147"/>
        <v>0.5280555555364117</v>
      </c>
      <c r="R1200" s="13">
        <f t="shared" si="148"/>
        <v>3.0467939814843703</v>
      </c>
      <c r="S1200" s="13">
        <f t="shared" si="149"/>
        <v>1.8318981481424998</v>
      </c>
      <c r="T1200" t="str">
        <f t="shared" si="150"/>
        <v>On Time/Early</v>
      </c>
      <c r="U1200" t="str">
        <f t="shared" si="151"/>
        <v>Normal</v>
      </c>
      <c r="V1200" t="s">
        <v>102</v>
      </c>
    </row>
    <row r="1201" spans="1:22">
      <c r="A1201" t="s">
        <v>1827</v>
      </c>
      <c r="B1201" s="10">
        <v>43163.651400462964</v>
      </c>
      <c r="C1201" s="10">
        <v>43163.660104166665</v>
      </c>
      <c r="D1201" s="10">
        <v>43165.952581018515</v>
      </c>
      <c r="E1201" s="10">
        <v>43186.096331018518</v>
      </c>
      <c r="F1201" s="10">
        <v>43187</v>
      </c>
      <c r="G1201" t="s">
        <v>20</v>
      </c>
      <c r="H1201" t="s">
        <v>470</v>
      </c>
      <c r="I1201" t="s">
        <v>221</v>
      </c>
      <c r="J1201" s="11">
        <v>1</v>
      </c>
      <c r="K1201" s="12">
        <v>149.9</v>
      </c>
      <c r="L1201" s="12">
        <v>15.8</v>
      </c>
      <c r="M1201" s="13">
        <v>2</v>
      </c>
      <c r="N1201" s="13">
        <f t="shared" si="144"/>
        <v>22.444930555553583</v>
      </c>
      <c r="O1201" s="13">
        <f t="shared" si="145"/>
        <v>0</v>
      </c>
      <c r="P1201" t="str">
        <f t="shared" si="146"/>
        <v>On Time</v>
      </c>
      <c r="Q1201" s="13">
        <f t="shared" si="147"/>
        <v>0.20888888882473111</v>
      </c>
      <c r="R1201" s="13">
        <f t="shared" si="148"/>
        <v>2.2924768518496421</v>
      </c>
      <c r="S1201" s="13">
        <f t="shared" si="149"/>
        <v>20.14375000000291</v>
      </c>
      <c r="T1201" t="str">
        <f t="shared" si="150"/>
        <v>On Time/Early</v>
      </c>
      <c r="U1201" t="str">
        <f t="shared" si="151"/>
        <v>Normal</v>
      </c>
      <c r="V1201" t="s">
        <v>102</v>
      </c>
    </row>
    <row r="1202" spans="1:22">
      <c r="A1202" t="s">
        <v>1828</v>
      </c>
      <c r="B1202" s="10">
        <v>43163.75304398148</v>
      </c>
      <c r="C1202" s="10">
        <v>43163.778067129628</v>
      </c>
      <c r="D1202" s="10">
        <v>43164.624432870369</v>
      </c>
      <c r="E1202" s="10">
        <v>43175.172824074078</v>
      </c>
      <c r="F1202" s="10">
        <v>43187</v>
      </c>
      <c r="G1202" t="s">
        <v>8</v>
      </c>
      <c r="H1202" t="s">
        <v>540</v>
      </c>
      <c r="I1202" t="s">
        <v>141</v>
      </c>
      <c r="J1202" s="11">
        <v>1</v>
      </c>
      <c r="K1202" s="12">
        <v>63.72</v>
      </c>
      <c r="L1202" s="12">
        <v>17.7</v>
      </c>
      <c r="M1202" s="13">
        <v>4</v>
      </c>
      <c r="N1202" s="13">
        <f t="shared" si="144"/>
        <v>11.419780092597648</v>
      </c>
      <c r="O1202" s="13">
        <f t="shared" si="145"/>
        <v>0</v>
      </c>
      <c r="P1202" t="str">
        <f t="shared" si="146"/>
        <v>On Time</v>
      </c>
      <c r="Q1202" s="13">
        <f t="shared" si="147"/>
        <v>0.60055555554572493</v>
      </c>
      <c r="R1202" s="13">
        <f t="shared" si="148"/>
        <v>0.846365740741021</v>
      </c>
      <c r="S1202" s="13">
        <f t="shared" si="149"/>
        <v>10.548391203708888</v>
      </c>
      <c r="T1202" t="str">
        <f t="shared" si="150"/>
        <v>On Time/Early</v>
      </c>
      <c r="U1202" t="str">
        <f t="shared" si="151"/>
        <v>Normal</v>
      </c>
      <c r="V1202" t="s">
        <v>102</v>
      </c>
    </row>
    <row r="1203" spans="1:22">
      <c r="A1203" t="s">
        <v>1829</v>
      </c>
      <c r="B1203" s="10">
        <v>43163.835034722222</v>
      </c>
      <c r="C1203" s="10">
        <v>43163.85355324074</v>
      </c>
      <c r="D1203" s="10">
        <v>43165.127592592595</v>
      </c>
      <c r="E1203" s="10">
        <v>43174.036307870374</v>
      </c>
      <c r="F1203" s="10">
        <v>43181</v>
      </c>
      <c r="G1203" t="s">
        <v>20</v>
      </c>
      <c r="H1203" t="s">
        <v>104</v>
      </c>
      <c r="I1203" t="s">
        <v>58</v>
      </c>
      <c r="J1203" s="11">
        <v>1</v>
      </c>
      <c r="K1203" s="12">
        <v>25.26</v>
      </c>
      <c r="L1203" s="12">
        <v>14.1</v>
      </c>
      <c r="M1203" s="13">
        <v>5</v>
      </c>
      <c r="N1203" s="13">
        <f t="shared" si="144"/>
        <v>10.201273148151813</v>
      </c>
      <c r="O1203" s="13">
        <f t="shared" si="145"/>
        <v>0</v>
      </c>
      <c r="P1203" t="str">
        <f t="shared" si="146"/>
        <v>On Time</v>
      </c>
      <c r="Q1203" s="13">
        <f t="shared" si="147"/>
        <v>0.44444444443797693</v>
      </c>
      <c r="R1203" s="13">
        <f t="shared" si="148"/>
        <v>1.2740393518542987</v>
      </c>
      <c r="S1203" s="13">
        <f t="shared" si="149"/>
        <v>8.9087152777792653</v>
      </c>
      <c r="T1203" t="str">
        <f t="shared" si="150"/>
        <v>On Time/Early</v>
      </c>
      <c r="U1203" t="str">
        <f t="shared" si="151"/>
        <v>Normal</v>
      </c>
      <c r="V1203" t="s">
        <v>102</v>
      </c>
    </row>
    <row r="1204" spans="1:22">
      <c r="A1204" t="s">
        <v>1830</v>
      </c>
      <c r="B1204" s="10">
        <v>43164.549490740741</v>
      </c>
      <c r="C1204" s="10">
        <v>43166.090752314813</v>
      </c>
      <c r="D1204" s="10">
        <v>43166.912002314813</v>
      </c>
      <c r="E1204" s="10">
        <v>43192.803900462961</v>
      </c>
      <c r="F1204" s="10">
        <v>43187</v>
      </c>
      <c r="G1204" t="s">
        <v>33</v>
      </c>
      <c r="H1204" t="s">
        <v>1831</v>
      </c>
      <c r="I1204" t="s">
        <v>136</v>
      </c>
      <c r="J1204" s="11">
        <v>1</v>
      </c>
      <c r="K1204" s="12">
        <v>86.99</v>
      </c>
      <c r="L1204" s="12">
        <v>17.86</v>
      </c>
      <c r="M1204" s="13">
        <v>3</v>
      </c>
      <c r="N1204" s="13">
        <f t="shared" si="144"/>
        <v>28.254409722219862</v>
      </c>
      <c r="O1204" s="13">
        <f t="shared" si="145"/>
        <v>5.8039004629608826</v>
      </c>
      <c r="P1204" t="str">
        <f t="shared" si="146"/>
        <v>Delayed</v>
      </c>
      <c r="Q1204" s="13">
        <f t="shared" si="147"/>
        <v>36.990277777716983</v>
      </c>
      <c r="R1204" s="13">
        <f t="shared" si="148"/>
        <v>0.82125000000087311</v>
      </c>
      <c r="S1204" s="13">
        <f t="shared" si="149"/>
        <v>25.891898148147448</v>
      </c>
      <c r="T1204" t="str">
        <f t="shared" si="150"/>
        <v>4-7 Days Late</v>
      </c>
      <c r="U1204" t="str">
        <f t="shared" si="151"/>
        <v>Needs Review</v>
      </c>
      <c r="V1204" t="s">
        <v>102</v>
      </c>
    </row>
    <row r="1205" spans="1:22">
      <c r="A1205" t="s">
        <v>1832</v>
      </c>
      <c r="B1205" s="10">
        <v>43164.583680555559</v>
      </c>
      <c r="C1205" s="10">
        <v>43164.594039351854</v>
      </c>
      <c r="D1205" s="10">
        <v>43166.090127314812</v>
      </c>
      <c r="E1205" s="10">
        <v>43196.835185185184</v>
      </c>
      <c r="F1205" s="10">
        <v>43185</v>
      </c>
      <c r="G1205" t="s">
        <v>36</v>
      </c>
      <c r="H1205" t="s">
        <v>1833</v>
      </c>
      <c r="I1205" t="s">
        <v>101</v>
      </c>
      <c r="J1205" s="11">
        <v>1</v>
      </c>
      <c r="K1205" s="12">
        <v>31.8</v>
      </c>
      <c r="L1205" s="12">
        <v>48.88</v>
      </c>
      <c r="M1205" s="13">
        <v>1</v>
      </c>
      <c r="N1205" s="13">
        <f t="shared" si="144"/>
        <v>32.251504629624833</v>
      </c>
      <c r="O1205" s="13">
        <f t="shared" si="145"/>
        <v>11.835185185183946</v>
      </c>
      <c r="P1205" t="str">
        <f t="shared" si="146"/>
        <v>Delayed</v>
      </c>
      <c r="Q1205" s="13">
        <f t="shared" si="147"/>
        <v>0.24861111107748002</v>
      </c>
      <c r="R1205" s="13">
        <f t="shared" si="148"/>
        <v>1.4960879629579722</v>
      </c>
      <c r="S1205" s="13">
        <f t="shared" si="149"/>
        <v>30.745057870371966</v>
      </c>
      <c r="T1205" t="str">
        <f t="shared" si="150"/>
        <v>8+ Days Late</v>
      </c>
      <c r="U1205" t="str">
        <f t="shared" si="151"/>
        <v>Needs Review</v>
      </c>
      <c r="V1205" t="s">
        <v>102</v>
      </c>
    </row>
    <row r="1206" spans="1:22">
      <c r="A1206" t="s">
        <v>1834</v>
      </c>
      <c r="B1206" s="10">
        <v>43164.67728009259</v>
      </c>
      <c r="C1206" s="10">
        <v>43164.687222222223</v>
      </c>
      <c r="D1206" s="10">
        <v>43165.798020833332</v>
      </c>
      <c r="E1206" s="10">
        <v>43179.67664351852</v>
      </c>
      <c r="F1206" s="10">
        <v>43193</v>
      </c>
      <c r="G1206" t="s">
        <v>8</v>
      </c>
      <c r="H1206" t="s">
        <v>408</v>
      </c>
      <c r="I1206" t="s">
        <v>185</v>
      </c>
      <c r="J1206" s="11">
        <v>1</v>
      </c>
      <c r="K1206" s="12">
        <v>589</v>
      </c>
      <c r="L1206" s="12">
        <v>37.479999999999997</v>
      </c>
      <c r="M1206" s="13">
        <v>4</v>
      </c>
      <c r="N1206" s="13">
        <f t="shared" si="144"/>
        <v>14.999363425929914</v>
      </c>
      <c r="O1206" s="13">
        <f t="shared" si="145"/>
        <v>0</v>
      </c>
      <c r="P1206" t="str">
        <f t="shared" si="146"/>
        <v>On Time</v>
      </c>
      <c r="Q1206" s="13">
        <f t="shared" si="147"/>
        <v>0.23861111118458211</v>
      </c>
      <c r="R1206" s="13">
        <f t="shared" si="148"/>
        <v>1.1107986111092032</v>
      </c>
      <c r="S1206" s="13">
        <f t="shared" si="149"/>
        <v>13.87862268518802</v>
      </c>
      <c r="T1206" t="str">
        <f t="shared" si="150"/>
        <v>On Time/Early</v>
      </c>
      <c r="U1206" t="str">
        <f t="shared" si="151"/>
        <v>Normal</v>
      </c>
      <c r="V1206" t="s">
        <v>102</v>
      </c>
    </row>
    <row r="1207" spans="1:22">
      <c r="A1207" t="s">
        <v>1835</v>
      </c>
      <c r="B1207" s="10">
        <v>43164.758090277777</v>
      </c>
      <c r="C1207" s="10">
        <v>43165.228263888886</v>
      </c>
      <c r="D1207" s="10">
        <v>43165.882060185184</v>
      </c>
      <c r="E1207" s="10">
        <v>43210.652002314811</v>
      </c>
      <c r="F1207" s="10">
        <v>43196</v>
      </c>
      <c r="G1207" t="s">
        <v>16</v>
      </c>
      <c r="H1207" t="s">
        <v>138</v>
      </c>
      <c r="I1207" t="s">
        <v>120</v>
      </c>
      <c r="J1207" s="11">
        <v>1</v>
      </c>
      <c r="K1207" s="12">
        <v>18.899999999999999</v>
      </c>
      <c r="L1207" s="12">
        <v>18.23</v>
      </c>
      <c r="M1207" s="13">
        <v>1</v>
      </c>
      <c r="N1207" s="13">
        <f t="shared" si="144"/>
        <v>45.89391203703417</v>
      </c>
      <c r="O1207" s="13">
        <f t="shared" si="145"/>
        <v>14.652002314811398</v>
      </c>
      <c r="P1207" t="str">
        <f t="shared" si="146"/>
        <v>Delayed</v>
      </c>
      <c r="Q1207" s="13">
        <f t="shared" si="147"/>
        <v>11.284166666620877</v>
      </c>
      <c r="R1207" s="13">
        <f t="shared" si="148"/>
        <v>0.65379629629751435</v>
      </c>
      <c r="S1207" s="13">
        <f t="shared" si="149"/>
        <v>44.769942129627452</v>
      </c>
      <c r="T1207" t="str">
        <f t="shared" si="150"/>
        <v>8+ Days Late</v>
      </c>
      <c r="U1207" t="str">
        <f t="shared" si="151"/>
        <v>Needs Review</v>
      </c>
      <c r="V1207" t="s">
        <v>102</v>
      </c>
    </row>
    <row r="1208" spans="1:22">
      <c r="A1208" t="s">
        <v>1836</v>
      </c>
      <c r="B1208" s="10">
        <v>43164.760613425926</v>
      </c>
      <c r="C1208" s="10">
        <v>43164.77138888889</v>
      </c>
      <c r="D1208" s="10">
        <v>43166.772905092592</v>
      </c>
      <c r="E1208" s="10">
        <v>43188.675335648149</v>
      </c>
      <c r="F1208" s="10">
        <v>43182</v>
      </c>
      <c r="G1208" t="s">
        <v>36</v>
      </c>
      <c r="H1208" t="s">
        <v>485</v>
      </c>
      <c r="I1208" t="s">
        <v>136</v>
      </c>
      <c r="J1208" s="11">
        <v>1</v>
      </c>
      <c r="K1208" s="12">
        <v>99.9</v>
      </c>
      <c r="L1208" s="12">
        <v>26.78</v>
      </c>
      <c r="M1208" s="13">
        <v>1</v>
      </c>
      <c r="N1208" s="13">
        <f t="shared" si="144"/>
        <v>23.914722222223645</v>
      </c>
      <c r="O1208" s="13">
        <f t="shared" si="145"/>
        <v>6.6753356481494848</v>
      </c>
      <c r="P1208" t="str">
        <f t="shared" si="146"/>
        <v>Delayed</v>
      </c>
      <c r="Q1208" s="13">
        <f t="shared" si="147"/>
        <v>0.2586111111450009</v>
      </c>
      <c r="R1208" s="13">
        <f t="shared" si="148"/>
        <v>2.0015162037016125</v>
      </c>
      <c r="S1208" s="13">
        <f t="shared" si="149"/>
        <v>21.902430555557657</v>
      </c>
      <c r="T1208" t="str">
        <f t="shared" si="150"/>
        <v>4-7 Days Late</v>
      </c>
      <c r="U1208" t="str">
        <f t="shared" si="151"/>
        <v>Needs Review</v>
      </c>
      <c r="V1208" t="s">
        <v>102</v>
      </c>
    </row>
    <row r="1209" spans="1:22">
      <c r="A1209" t="s">
        <v>1837</v>
      </c>
      <c r="B1209" s="10">
        <v>43165.387048611112</v>
      </c>
      <c r="C1209" s="10">
        <v>43166.436863425923</v>
      </c>
      <c r="D1209" s="10">
        <v>43172.981388888889</v>
      </c>
      <c r="E1209" s="10">
        <v>43178.675046296295</v>
      </c>
      <c r="F1209" s="10">
        <v>43188</v>
      </c>
      <c r="G1209" t="s">
        <v>36</v>
      </c>
      <c r="H1209" t="s">
        <v>1838</v>
      </c>
      <c r="I1209" t="s">
        <v>120</v>
      </c>
      <c r="J1209" s="11">
        <v>1</v>
      </c>
      <c r="K1209" s="12">
        <v>699.9</v>
      </c>
      <c r="L1209" s="12">
        <v>20.87</v>
      </c>
      <c r="M1209" s="13">
        <v>4</v>
      </c>
      <c r="N1209" s="13">
        <f t="shared" si="144"/>
        <v>13.287997685183655</v>
      </c>
      <c r="O1209" s="13">
        <f t="shared" si="145"/>
        <v>0</v>
      </c>
      <c r="P1209" t="str">
        <f t="shared" si="146"/>
        <v>On Time</v>
      </c>
      <c r="Q1209" s="13">
        <f t="shared" si="147"/>
        <v>25.195555555459578</v>
      </c>
      <c r="R1209" s="13">
        <f t="shared" si="148"/>
        <v>6.5445254629667033</v>
      </c>
      <c r="S1209" s="13">
        <f t="shared" si="149"/>
        <v>5.6936574074061355</v>
      </c>
      <c r="T1209" t="str">
        <f t="shared" si="150"/>
        <v>On Time/Early</v>
      </c>
      <c r="U1209" t="str">
        <f t="shared" si="151"/>
        <v>Normal</v>
      </c>
      <c r="V1209" t="s">
        <v>102</v>
      </c>
    </row>
    <row r="1210" spans="1:22">
      <c r="A1210" t="s">
        <v>1839</v>
      </c>
      <c r="B1210" s="10">
        <v>43165.466319444444</v>
      </c>
      <c r="C1210" s="10">
        <v>43166.090567129628</v>
      </c>
      <c r="D1210" s="10">
        <v>43168.0312962963</v>
      </c>
      <c r="E1210" s="10">
        <v>43179.689872685187</v>
      </c>
      <c r="F1210" s="10">
        <v>43181</v>
      </c>
      <c r="G1210" t="s">
        <v>8</v>
      </c>
      <c r="H1210" t="s">
        <v>140</v>
      </c>
      <c r="I1210" t="s">
        <v>180</v>
      </c>
      <c r="J1210" s="11">
        <v>1</v>
      </c>
      <c r="K1210" s="12">
        <v>48</v>
      </c>
      <c r="L1210" s="12">
        <v>12.79</v>
      </c>
      <c r="M1210" s="13">
        <v>5</v>
      </c>
      <c r="N1210" s="13">
        <f t="shared" si="144"/>
        <v>14.223553240743058</v>
      </c>
      <c r="O1210" s="13">
        <f t="shared" si="145"/>
        <v>0</v>
      </c>
      <c r="P1210" t="str">
        <f t="shared" si="146"/>
        <v>On Time</v>
      </c>
      <c r="Q1210" s="13">
        <f t="shared" si="147"/>
        <v>14.981944444414694</v>
      </c>
      <c r="R1210" s="13">
        <f t="shared" si="148"/>
        <v>1.9407291666720994</v>
      </c>
      <c r="S1210" s="13">
        <f t="shared" si="149"/>
        <v>11.658576388887013</v>
      </c>
      <c r="T1210" t="str">
        <f t="shared" si="150"/>
        <v>On Time/Early</v>
      </c>
      <c r="U1210" t="str">
        <f t="shared" si="151"/>
        <v>Normal</v>
      </c>
      <c r="V1210" t="s">
        <v>102</v>
      </c>
    </row>
    <row r="1211" spans="1:22">
      <c r="A1211" t="s">
        <v>1840</v>
      </c>
      <c r="B1211" s="10">
        <v>43165.672175925924</v>
      </c>
      <c r="C1211" s="10">
        <v>43165.687557870369</v>
      </c>
      <c r="D1211" s="10">
        <v>43166.870300925926</v>
      </c>
      <c r="E1211" s="10">
        <v>43167.928761574076</v>
      </c>
      <c r="F1211" s="10">
        <v>43196</v>
      </c>
      <c r="G1211" t="s">
        <v>8</v>
      </c>
      <c r="H1211" t="s">
        <v>140</v>
      </c>
      <c r="I1211" t="s">
        <v>368</v>
      </c>
      <c r="J1211" s="11">
        <v>1</v>
      </c>
      <c r="K1211" s="12">
        <v>24.9</v>
      </c>
      <c r="L1211" s="12">
        <v>19.95</v>
      </c>
      <c r="M1211" s="13">
        <v>1</v>
      </c>
      <c r="N1211" s="13">
        <f t="shared" si="144"/>
        <v>2.2565856481523952</v>
      </c>
      <c r="O1211" s="13">
        <f t="shared" si="145"/>
        <v>0</v>
      </c>
      <c r="P1211" t="str">
        <f t="shared" si="146"/>
        <v>On Time</v>
      </c>
      <c r="Q1211" s="13">
        <f t="shared" si="147"/>
        <v>0.36916666670003906</v>
      </c>
      <c r="R1211" s="13">
        <f t="shared" si="148"/>
        <v>1.1827430555567844</v>
      </c>
      <c r="S1211" s="13">
        <f t="shared" si="149"/>
        <v>1.0584606481497758</v>
      </c>
      <c r="T1211" t="str">
        <f t="shared" si="150"/>
        <v>On Time/Early</v>
      </c>
      <c r="U1211" t="str">
        <f t="shared" si="151"/>
        <v>Normal</v>
      </c>
      <c r="V1211" t="s">
        <v>102</v>
      </c>
    </row>
    <row r="1212" spans="1:22">
      <c r="A1212" t="s">
        <v>1841</v>
      </c>
      <c r="B1212" s="10">
        <v>43166.478043981479</v>
      </c>
      <c r="C1212" s="10">
        <v>43168.094224537039</v>
      </c>
      <c r="D1212" s="10">
        <v>43168.938842592594</v>
      </c>
      <c r="E1212" s="10">
        <v>43174.950416666667</v>
      </c>
      <c r="F1212" s="10">
        <v>43185</v>
      </c>
      <c r="G1212" t="s">
        <v>36</v>
      </c>
      <c r="H1212" t="s">
        <v>467</v>
      </c>
      <c r="I1212" t="s">
        <v>118</v>
      </c>
      <c r="J1212" s="11">
        <v>1</v>
      </c>
      <c r="K1212" s="12">
        <v>49</v>
      </c>
      <c r="L1212" s="12">
        <v>18.23</v>
      </c>
      <c r="M1212" s="13">
        <v>5</v>
      </c>
      <c r="N1212" s="13">
        <f t="shared" si="144"/>
        <v>8.4723726851880201</v>
      </c>
      <c r="O1212" s="13">
        <f t="shared" si="145"/>
        <v>0</v>
      </c>
      <c r="P1212" t="str">
        <f t="shared" si="146"/>
        <v>On Time</v>
      </c>
      <c r="Q1212" s="13">
        <f t="shared" si="147"/>
        <v>38.788333333446644</v>
      </c>
      <c r="R1212" s="13">
        <f t="shared" si="148"/>
        <v>0.84461805555474712</v>
      </c>
      <c r="S1212" s="13">
        <f t="shared" si="149"/>
        <v>6.0115740740729962</v>
      </c>
      <c r="T1212" t="str">
        <f t="shared" si="150"/>
        <v>On Time/Early</v>
      </c>
      <c r="U1212" t="str">
        <f t="shared" si="151"/>
        <v>Normal</v>
      </c>
      <c r="V1212" t="s">
        <v>102</v>
      </c>
    </row>
    <row r="1213" spans="1:22">
      <c r="A1213" t="s">
        <v>1842</v>
      </c>
      <c r="B1213" s="10">
        <v>43166.586354166669</v>
      </c>
      <c r="C1213" s="10">
        <v>43167.580266203702</v>
      </c>
      <c r="D1213" s="10">
        <v>43167.983668981484</v>
      </c>
      <c r="E1213" s="10">
        <v>43186.717395833337</v>
      </c>
      <c r="F1213" s="10">
        <v>43193</v>
      </c>
      <c r="G1213" t="s">
        <v>8</v>
      </c>
      <c r="H1213" t="s">
        <v>767</v>
      </c>
      <c r="I1213" t="s">
        <v>136</v>
      </c>
      <c r="J1213" s="11">
        <v>1</v>
      </c>
      <c r="K1213" s="12">
        <v>93.6</v>
      </c>
      <c r="L1213" s="12">
        <v>19.63</v>
      </c>
      <c r="M1213" s="13">
        <v>5</v>
      </c>
      <c r="N1213" s="13">
        <f t="shared" si="144"/>
        <v>20.131041666667443</v>
      </c>
      <c r="O1213" s="13">
        <f t="shared" si="145"/>
        <v>0</v>
      </c>
      <c r="P1213" t="str">
        <f t="shared" si="146"/>
        <v>On Time</v>
      </c>
      <c r="Q1213" s="13">
        <f t="shared" si="147"/>
        <v>23.85388888878515</v>
      </c>
      <c r="R1213" s="13">
        <f t="shared" si="148"/>
        <v>0.40340277778159361</v>
      </c>
      <c r="S1213" s="13">
        <f t="shared" si="149"/>
        <v>18.733726851853135</v>
      </c>
      <c r="T1213" t="str">
        <f t="shared" si="150"/>
        <v>On Time/Early</v>
      </c>
      <c r="U1213" t="str">
        <f t="shared" si="151"/>
        <v>Normal</v>
      </c>
      <c r="V1213" t="s">
        <v>102</v>
      </c>
    </row>
    <row r="1214" spans="1:22">
      <c r="A1214" t="s">
        <v>1843</v>
      </c>
      <c r="B1214" s="10">
        <v>43166.65960648148</v>
      </c>
      <c r="C1214" s="10">
        <v>43167.108055555553</v>
      </c>
      <c r="D1214" s="10">
        <v>43167.925381944442</v>
      </c>
      <c r="E1214" s="10">
        <v>43174.577569444446</v>
      </c>
      <c r="F1214" s="10">
        <v>43187</v>
      </c>
      <c r="G1214" t="s">
        <v>36</v>
      </c>
      <c r="H1214" t="s">
        <v>1844</v>
      </c>
      <c r="I1214" t="s">
        <v>17</v>
      </c>
      <c r="J1214" s="11">
        <v>1</v>
      </c>
      <c r="K1214" s="12">
        <v>26</v>
      </c>
      <c r="L1214" s="12">
        <v>18.23</v>
      </c>
      <c r="M1214" s="13">
        <v>5</v>
      </c>
      <c r="N1214" s="13">
        <f t="shared" si="144"/>
        <v>7.9179629629652482</v>
      </c>
      <c r="O1214" s="13">
        <f t="shared" si="145"/>
        <v>0</v>
      </c>
      <c r="P1214" t="str">
        <f t="shared" si="146"/>
        <v>On Time</v>
      </c>
      <c r="Q1214" s="13">
        <f t="shared" si="147"/>
        <v>10.762777777737938</v>
      </c>
      <c r="R1214" s="13">
        <f t="shared" si="148"/>
        <v>0.81732638888934162</v>
      </c>
      <c r="S1214" s="13">
        <f t="shared" si="149"/>
        <v>6.6521875000034925</v>
      </c>
      <c r="T1214" t="str">
        <f t="shared" si="150"/>
        <v>On Time/Early</v>
      </c>
      <c r="U1214" t="str">
        <f t="shared" si="151"/>
        <v>Normal</v>
      </c>
      <c r="V1214" t="s">
        <v>102</v>
      </c>
    </row>
    <row r="1215" spans="1:22">
      <c r="A1215" t="s">
        <v>1845</v>
      </c>
      <c r="B1215" s="10">
        <v>43166.737569444442</v>
      </c>
      <c r="C1215" s="10">
        <v>43166.746944444443</v>
      </c>
      <c r="D1215" s="10">
        <v>43167.840046296296</v>
      </c>
      <c r="E1215" s="10">
        <v>43174.920011574075</v>
      </c>
      <c r="F1215" s="10">
        <v>43192</v>
      </c>
      <c r="G1215" t="s">
        <v>8</v>
      </c>
      <c r="H1215" t="s">
        <v>140</v>
      </c>
      <c r="I1215" t="s">
        <v>1846</v>
      </c>
      <c r="J1215" s="11">
        <v>2</v>
      </c>
      <c r="K1215" s="12">
        <v>79.98</v>
      </c>
      <c r="L1215" s="12">
        <v>30.46</v>
      </c>
      <c r="M1215" s="13">
        <v>5</v>
      </c>
      <c r="N1215" s="13">
        <f t="shared" si="144"/>
        <v>8.182442129633273</v>
      </c>
      <c r="O1215" s="13">
        <f t="shared" si="145"/>
        <v>0</v>
      </c>
      <c r="P1215" t="str">
        <f t="shared" si="146"/>
        <v>On Time</v>
      </c>
      <c r="Q1215" s="13">
        <f t="shared" si="147"/>
        <v>0.2250000000349246</v>
      </c>
      <c r="R1215" s="13">
        <f t="shared" si="148"/>
        <v>1.0931018518531346</v>
      </c>
      <c r="S1215" s="13">
        <f t="shared" si="149"/>
        <v>7.0799652777786832</v>
      </c>
      <c r="T1215" t="str">
        <f t="shared" si="150"/>
        <v>On Time/Early</v>
      </c>
      <c r="U1215" t="str">
        <f t="shared" si="151"/>
        <v>Normal</v>
      </c>
      <c r="V1215" t="s">
        <v>102</v>
      </c>
    </row>
    <row r="1216" spans="1:22">
      <c r="A1216" t="s">
        <v>1847</v>
      </c>
      <c r="B1216" s="10">
        <v>43166.758263888885</v>
      </c>
      <c r="C1216" s="10">
        <v>43166.78392361111</v>
      </c>
      <c r="D1216" s="10">
        <v>43168.98673611111</v>
      </c>
      <c r="E1216" s="10">
        <v>43169.618622685186</v>
      </c>
      <c r="F1216" s="10">
        <v>43179</v>
      </c>
      <c r="G1216" t="s">
        <v>30</v>
      </c>
      <c r="H1216" t="s">
        <v>549</v>
      </c>
      <c r="I1216" t="s">
        <v>339</v>
      </c>
      <c r="J1216" s="11">
        <v>1</v>
      </c>
      <c r="K1216" s="12">
        <v>1449</v>
      </c>
      <c r="L1216" s="12">
        <v>29.45</v>
      </c>
      <c r="M1216" s="13">
        <v>5</v>
      </c>
      <c r="N1216" s="13">
        <f t="shared" si="144"/>
        <v>2.8603587963007158</v>
      </c>
      <c r="O1216" s="13">
        <f t="shared" si="145"/>
        <v>0</v>
      </c>
      <c r="P1216" t="str">
        <f t="shared" si="146"/>
        <v>On Time</v>
      </c>
      <c r="Q1216" s="13">
        <f t="shared" si="147"/>
        <v>0.61583333340240642</v>
      </c>
      <c r="R1216" s="13">
        <f t="shared" si="148"/>
        <v>2.202812499999709</v>
      </c>
      <c r="S1216" s="13">
        <f t="shared" si="149"/>
        <v>0.63188657407590654</v>
      </c>
      <c r="T1216" t="str">
        <f t="shared" si="150"/>
        <v>On Time/Early</v>
      </c>
      <c r="U1216" t="str">
        <f t="shared" si="151"/>
        <v>Normal</v>
      </c>
      <c r="V1216" t="s">
        <v>102</v>
      </c>
    </row>
    <row r="1217" spans="1:22">
      <c r="A1217" t="s">
        <v>1848</v>
      </c>
      <c r="B1217" s="10">
        <v>43166.941840277781</v>
      </c>
      <c r="C1217" s="10">
        <v>43167.604490740741</v>
      </c>
      <c r="D1217" s="10">
        <v>43168.908113425925</v>
      </c>
      <c r="E1217" s="10">
        <v>43188.049756944441</v>
      </c>
      <c r="F1217" s="10">
        <v>43188</v>
      </c>
      <c r="G1217" t="s">
        <v>50</v>
      </c>
      <c r="H1217" t="s">
        <v>414</v>
      </c>
      <c r="I1217" t="s">
        <v>180</v>
      </c>
      <c r="J1217" s="11">
        <v>2</v>
      </c>
      <c r="K1217" s="12">
        <v>266</v>
      </c>
      <c r="L1217" s="12">
        <v>45.98</v>
      </c>
      <c r="M1217" s="13">
        <v>1</v>
      </c>
      <c r="N1217" s="13">
        <f t="shared" si="144"/>
        <v>21.107916666660458</v>
      </c>
      <c r="O1217" s="13">
        <f t="shared" si="145"/>
        <v>4.9756944441469386E-2</v>
      </c>
      <c r="P1217" t="str">
        <f t="shared" si="146"/>
        <v>Delayed</v>
      </c>
      <c r="Q1217" s="13">
        <f t="shared" si="147"/>
        <v>15.903611111047212</v>
      </c>
      <c r="R1217" s="13">
        <f t="shared" si="148"/>
        <v>1.3036226851836545</v>
      </c>
      <c r="S1217" s="13">
        <f t="shared" si="149"/>
        <v>19.141643518516503</v>
      </c>
      <c r="T1217" t="str">
        <f t="shared" si="150"/>
        <v>1-3 Days Late</v>
      </c>
      <c r="U1217" t="str">
        <f t="shared" si="151"/>
        <v>Needs Review</v>
      </c>
      <c r="V1217" t="s">
        <v>102</v>
      </c>
    </row>
    <row r="1218" spans="1:22">
      <c r="A1218" t="s">
        <v>1849</v>
      </c>
      <c r="B1218" s="10">
        <v>43167.393368055556</v>
      </c>
      <c r="C1218" s="10">
        <v>43167.422777777778</v>
      </c>
      <c r="D1218" s="10">
        <v>43172.769965277781</v>
      </c>
      <c r="E1218" s="10">
        <v>43196.739918981482</v>
      </c>
      <c r="F1218" s="10">
        <v>43187</v>
      </c>
      <c r="G1218" t="s">
        <v>8</v>
      </c>
      <c r="H1218" t="s">
        <v>677</v>
      </c>
      <c r="I1218" t="s">
        <v>136</v>
      </c>
      <c r="J1218" s="11">
        <v>1</v>
      </c>
      <c r="K1218" s="12">
        <v>159</v>
      </c>
      <c r="L1218" s="12">
        <v>18.02</v>
      </c>
      <c r="M1218" s="13">
        <v>1</v>
      </c>
      <c r="N1218" s="13">
        <f t="shared" ref="N1218:N1281" si="152">IFERROR(E1218-B1218,"")</f>
        <v>29.34655092592584</v>
      </c>
      <c r="O1218" s="13">
        <f t="shared" ref="O1218:O1281" si="153">IFERROR(MAX(0,E1218-F1218),"")</f>
        <v>9.739918981482333</v>
      </c>
      <c r="P1218" t="str">
        <f t="shared" ref="P1218:P1281" si="154">IF(O1218&gt;0,"Delayed","On Time")</f>
        <v>Delayed</v>
      </c>
      <c r="Q1218" s="13">
        <f t="shared" ref="Q1218:Q1281" si="155">IFERROR((C1218-B1218)*24,"")</f>
        <v>0.70583333331160247</v>
      </c>
      <c r="R1218" s="13">
        <f t="shared" ref="R1218:R1281" si="156">IFERROR(D1218-C1218,"")</f>
        <v>5.3471875000032014</v>
      </c>
      <c r="S1218" s="13">
        <f t="shared" ref="S1218:S1281" si="157">IFERROR(E1218-D1218,"")</f>
        <v>23.969953703701322</v>
      </c>
      <c r="T1218" t="str">
        <f t="shared" ref="T1218:T1281" si="158">IF(O1218=0,"On Time/Early",IF(O1218&lt;=3,"1-3 Days Late",IF(O1218&lt;=7,"4-7 Days Late","8+ Days Late")))</f>
        <v>8+ Days Late</v>
      </c>
      <c r="U1218" t="str">
        <f t="shared" ref="U1218:U1281" si="159">IF(P1218="Delayed","Needs Review","Normal")</f>
        <v>Needs Review</v>
      </c>
      <c r="V1218" t="s">
        <v>102</v>
      </c>
    </row>
    <row r="1219" spans="1:22">
      <c r="A1219" t="s">
        <v>1850</v>
      </c>
      <c r="B1219" s="10">
        <v>43167.666226851848</v>
      </c>
      <c r="C1219" s="10">
        <v>43168.094293981485</v>
      </c>
      <c r="D1219" s="10">
        <v>43168.73364583333</v>
      </c>
      <c r="E1219" s="10">
        <v>43182.554907407408</v>
      </c>
      <c r="F1219" s="10">
        <v>43192</v>
      </c>
      <c r="G1219" t="s">
        <v>8</v>
      </c>
      <c r="H1219" t="s">
        <v>1851</v>
      </c>
      <c r="I1219" t="s">
        <v>120</v>
      </c>
      <c r="J1219" s="11">
        <v>1</v>
      </c>
      <c r="K1219" s="12">
        <v>149.9</v>
      </c>
      <c r="L1219" s="12">
        <v>53.18</v>
      </c>
      <c r="M1219" s="13">
        <v>5</v>
      </c>
      <c r="N1219" s="13">
        <f t="shared" si="152"/>
        <v>14.888680555559404</v>
      </c>
      <c r="O1219" s="13">
        <f t="shared" si="153"/>
        <v>0</v>
      </c>
      <c r="P1219" t="str">
        <f t="shared" si="154"/>
        <v>On Time</v>
      </c>
      <c r="Q1219" s="13">
        <f t="shared" si="155"/>
        <v>10.273611111275386</v>
      </c>
      <c r="R1219" s="13">
        <f t="shared" si="156"/>
        <v>0.63935185184527654</v>
      </c>
      <c r="S1219" s="13">
        <f t="shared" si="157"/>
        <v>13.821261574077653</v>
      </c>
      <c r="T1219" t="str">
        <f t="shared" si="158"/>
        <v>On Time/Early</v>
      </c>
      <c r="U1219" t="str">
        <f t="shared" si="159"/>
        <v>Normal</v>
      </c>
      <c r="V1219" t="s">
        <v>102</v>
      </c>
    </row>
    <row r="1220" spans="1:22">
      <c r="A1220" t="s">
        <v>1852</v>
      </c>
      <c r="B1220" s="10">
        <v>43167.668043981481</v>
      </c>
      <c r="C1220" s="10">
        <v>43168.105150462965</v>
      </c>
      <c r="D1220" s="10">
        <v>43172.154236111113</v>
      </c>
      <c r="E1220" s="10">
        <v>43179.935763888891</v>
      </c>
      <c r="F1220" s="10">
        <v>43185</v>
      </c>
      <c r="G1220" t="s">
        <v>8</v>
      </c>
      <c r="H1220" t="s">
        <v>140</v>
      </c>
      <c r="I1220" t="s">
        <v>221</v>
      </c>
      <c r="J1220" s="11">
        <v>1</v>
      </c>
      <c r="K1220" s="12">
        <v>540</v>
      </c>
      <c r="L1220" s="12">
        <v>16.22</v>
      </c>
      <c r="M1220" s="13">
        <v>5</v>
      </c>
      <c r="N1220" s="13">
        <f t="shared" si="152"/>
        <v>12.267719907409628</v>
      </c>
      <c r="O1220" s="13">
        <f t="shared" si="153"/>
        <v>0</v>
      </c>
      <c r="P1220" t="str">
        <f t="shared" si="154"/>
        <v>On Time</v>
      </c>
      <c r="Q1220" s="13">
        <f t="shared" si="155"/>
        <v>10.490555555617902</v>
      </c>
      <c r="R1220" s="13">
        <f t="shared" si="156"/>
        <v>4.0490856481483206</v>
      </c>
      <c r="S1220" s="13">
        <f t="shared" si="157"/>
        <v>7.781527777777228</v>
      </c>
      <c r="T1220" t="str">
        <f t="shared" si="158"/>
        <v>On Time/Early</v>
      </c>
      <c r="U1220" t="str">
        <f t="shared" si="159"/>
        <v>Normal</v>
      </c>
      <c r="V1220" t="s">
        <v>102</v>
      </c>
    </row>
    <row r="1221" spans="1:22">
      <c r="A1221" t="s">
        <v>1853</v>
      </c>
      <c r="B1221" s="10">
        <v>43167.78769675926</v>
      </c>
      <c r="C1221" s="10">
        <v>43167.79892361111</v>
      </c>
      <c r="D1221" s="10">
        <v>43168.796111111114</v>
      </c>
      <c r="E1221" s="10">
        <v>43183.697615740741</v>
      </c>
      <c r="F1221" s="10">
        <v>43187</v>
      </c>
      <c r="G1221" t="s">
        <v>320</v>
      </c>
      <c r="H1221" t="s">
        <v>321</v>
      </c>
      <c r="I1221" t="s">
        <v>34</v>
      </c>
      <c r="J1221" s="11">
        <v>1</v>
      </c>
      <c r="K1221" s="12">
        <v>48.9</v>
      </c>
      <c r="L1221" s="12">
        <v>19.32</v>
      </c>
      <c r="M1221" s="13">
        <v>4</v>
      </c>
      <c r="N1221" s="13">
        <f t="shared" si="152"/>
        <v>15.909918981480587</v>
      </c>
      <c r="O1221" s="13">
        <f t="shared" si="153"/>
        <v>0</v>
      </c>
      <c r="P1221" t="str">
        <f t="shared" si="154"/>
        <v>On Time</v>
      </c>
      <c r="Q1221" s="13">
        <f t="shared" si="155"/>
        <v>0.2694444443914108</v>
      </c>
      <c r="R1221" s="13">
        <f t="shared" si="156"/>
        <v>0.99718750000465661</v>
      </c>
      <c r="S1221" s="13">
        <f t="shared" si="157"/>
        <v>14.901504629626288</v>
      </c>
      <c r="T1221" t="str">
        <f t="shared" si="158"/>
        <v>On Time/Early</v>
      </c>
      <c r="U1221" t="str">
        <f t="shared" si="159"/>
        <v>Normal</v>
      </c>
      <c r="V1221" t="s">
        <v>102</v>
      </c>
    </row>
    <row r="1222" spans="1:22">
      <c r="A1222" t="s">
        <v>1854</v>
      </c>
      <c r="B1222" s="10">
        <v>43168.111331018517</v>
      </c>
      <c r="C1222" s="10">
        <v>43168.118437500001</v>
      </c>
      <c r="D1222" s="10">
        <v>43169.723495370374</v>
      </c>
      <c r="E1222" s="10">
        <v>43178.654548611114</v>
      </c>
      <c r="F1222" s="10">
        <v>43186</v>
      </c>
      <c r="G1222" t="s">
        <v>8</v>
      </c>
      <c r="H1222" t="s">
        <v>140</v>
      </c>
      <c r="I1222" t="s">
        <v>136</v>
      </c>
      <c r="J1222" s="11">
        <v>1</v>
      </c>
      <c r="K1222" s="12">
        <v>159</v>
      </c>
      <c r="L1222" s="12">
        <v>13.55</v>
      </c>
      <c r="M1222" s="13">
        <v>5</v>
      </c>
      <c r="N1222" s="13">
        <f t="shared" si="152"/>
        <v>10.543217592596193</v>
      </c>
      <c r="O1222" s="13">
        <f t="shared" si="153"/>
        <v>0</v>
      </c>
      <c r="P1222" t="str">
        <f t="shared" si="154"/>
        <v>On Time</v>
      </c>
      <c r="Q1222" s="13">
        <f t="shared" si="155"/>
        <v>0.17055555561091751</v>
      </c>
      <c r="R1222" s="13">
        <f t="shared" si="156"/>
        <v>1.6050578703725478</v>
      </c>
      <c r="S1222" s="13">
        <f t="shared" si="157"/>
        <v>8.9310532407398568</v>
      </c>
      <c r="T1222" t="str">
        <f t="shared" si="158"/>
        <v>On Time/Early</v>
      </c>
      <c r="U1222" t="str">
        <f t="shared" si="159"/>
        <v>Normal</v>
      </c>
      <c r="V1222" t="s">
        <v>102</v>
      </c>
    </row>
    <row r="1223" spans="1:22">
      <c r="A1223" t="s">
        <v>1855</v>
      </c>
      <c r="B1223" s="10">
        <v>43168.37</v>
      </c>
      <c r="C1223" s="10">
        <v>43168.394837962966</v>
      </c>
      <c r="D1223" s="10">
        <v>43168.777430555558</v>
      </c>
      <c r="E1223" s="10">
        <v>43173.755879629629</v>
      </c>
      <c r="F1223" s="10">
        <v>43186</v>
      </c>
      <c r="G1223" t="s">
        <v>8</v>
      </c>
      <c r="H1223" t="s">
        <v>1856</v>
      </c>
      <c r="I1223" t="s">
        <v>58</v>
      </c>
      <c r="J1223" s="11">
        <v>1</v>
      </c>
      <c r="K1223" s="12">
        <v>109</v>
      </c>
      <c r="L1223" s="12">
        <v>14.85</v>
      </c>
      <c r="M1223" s="13">
        <v>4</v>
      </c>
      <c r="N1223" s="13">
        <f t="shared" si="152"/>
        <v>5.3858796296262881</v>
      </c>
      <c r="O1223" s="13">
        <f t="shared" si="153"/>
        <v>0</v>
      </c>
      <c r="P1223" t="str">
        <f t="shared" si="154"/>
        <v>On Time</v>
      </c>
      <c r="Q1223" s="13">
        <f t="shared" si="155"/>
        <v>0.59611111111007631</v>
      </c>
      <c r="R1223" s="13">
        <f t="shared" si="156"/>
        <v>0.38259259259211831</v>
      </c>
      <c r="S1223" s="13">
        <f t="shared" si="157"/>
        <v>4.9784490740712499</v>
      </c>
      <c r="T1223" t="str">
        <f t="shared" si="158"/>
        <v>On Time/Early</v>
      </c>
      <c r="U1223" t="str">
        <f t="shared" si="159"/>
        <v>Normal</v>
      </c>
      <c r="V1223" t="s">
        <v>102</v>
      </c>
    </row>
    <row r="1224" spans="1:22">
      <c r="A1224" t="s">
        <v>1857</v>
      </c>
      <c r="B1224" s="10">
        <v>43168.600462962961</v>
      </c>
      <c r="C1224" s="10">
        <v>43168.60796296296</v>
      </c>
      <c r="D1224" s="10">
        <v>43171.865613425929</v>
      </c>
      <c r="E1224" s="10">
        <v>43194.919189814813</v>
      </c>
      <c r="F1224" s="10">
        <v>43195</v>
      </c>
      <c r="G1224" t="s">
        <v>20</v>
      </c>
      <c r="H1224" t="s">
        <v>1115</v>
      </c>
      <c r="I1224" t="s">
        <v>136</v>
      </c>
      <c r="J1224" s="11">
        <v>1</v>
      </c>
      <c r="K1224" s="12">
        <v>45</v>
      </c>
      <c r="L1224" s="12">
        <v>22.06</v>
      </c>
      <c r="M1224" s="13">
        <v>5</v>
      </c>
      <c r="N1224" s="13">
        <f t="shared" si="152"/>
        <v>26.318726851852261</v>
      </c>
      <c r="O1224" s="13">
        <f t="shared" si="153"/>
        <v>0</v>
      </c>
      <c r="P1224" t="str">
        <f t="shared" si="154"/>
        <v>On Time</v>
      </c>
      <c r="Q1224" s="13">
        <f t="shared" si="155"/>
        <v>0.17999999999301508</v>
      </c>
      <c r="R1224" s="13">
        <f t="shared" si="156"/>
        <v>3.2576504629687406</v>
      </c>
      <c r="S1224" s="13">
        <f t="shared" si="157"/>
        <v>23.053576388883812</v>
      </c>
      <c r="T1224" t="str">
        <f t="shared" si="158"/>
        <v>On Time/Early</v>
      </c>
      <c r="U1224" t="str">
        <f t="shared" si="159"/>
        <v>Normal</v>
      </c>
      <c r="V1224" t="s">
        <v>102</v>
      </c>
    </row>
    <row r="1225" spans="1:22">
      <c r="A1225" t="s">
        <v>1858</v>
      </c>
      <c r="B1225" s="10">
        <v>43168.755474537036</v>
      </c>
      <c r="C1225" s="10">
        <v>43168.770312499997</v>
      </c>
      <c r="D1225" s="10">
        <v>43171.575428240743</v>
      </c>
      <c r="E1225" s="10">
        <v>43176.682175925926</v>
      </c>
      <c r="F1225" s="10">
        <v>43194</v>
      </c>
      <c r="G1225" t="s">
        <v>8</v>
      </c>
      <c r="H1225" t="s">
        <v>108</v>
      </c>
      <c r="I1225" t="s">
        <v>221</v>
      </c>
      <c r="J1225" s="11">
        <v>1</v>
      </c>
      <c r="K1225" s="12">
        <v>105</v>
      </c>
      <c r="L1225" s="12">
        <v>23.31</v>
      </c>
      <c r="M1225" s="13">
        <v>5</v>
      </c>
      <c r="N1225" s="13">
        <f t="shared" si="152"/>
        <v>7.9267013888893416</v>
      </c>
      <c r="O1225" s="13">
        <f t="shared" si="153"/>
        <v>0</v>
      </c>
      <c r="P1225" t="str">
        <f t="shared" si="154"/>
        <v>On Time</v>
      </c>
      <c r="Q1225" s="13">
        <f t="shared" si="155"/>
        <v>0.35611111106118187</v>
      </c>
      <c r="R1225" s="13">
        <f t="shared" si="156"/>
        <v>2.8051157407462597</v>
      </c>
      <c r="S1225" s="13">
        <f t="shared" si="157"/>
        <v>5.1067476851821993</v>
      </c>
      <c r="T1225" t="str">
        <f t="shared" si="158"/>
        <v>On Time/Early</v>
      </c>
      <c r="U1225" t="str">
        <f t="shared" si="159"/>
        <v>Normal</v>
      </c>
      <c r="V1225" t="s">
        <v>102</v>
      </c>
    </row>
    <row r="1226" spans="1:22">
      <c r="A1226" t="s">
        <v>1859</v>
      </c>
      <c r="B1226" s="10">
        <v>43168.809814814813</v>
      </c>
      <c r="C1226" s="10">
        <v>43168.866828703707</v>
      </c>
      <c r="D1226" s="10">
        <v>43173.73982638889</v>
      </c>
      <c r="E1226" s="10">
        <v>43195.030243055553</v>
      </c>
      <c r="F1226" s="10">
        <v>43209</v>
      </c>
      <c r="G1226" t="s">
        <v>16</v>
      </c>
      <c r="H1226" t="s">
        <v>138</v>
      </c>
      <c r="I1226" t="s">
        <v>141</v>
      </c>
      <c r="J1226" s="11">
        <v>1</v>
      </c>
      <c r="K1226" s="12">
        <v>47.2</v>
      </c>
      <c r="L1226" s="12">
        <v>17.93</v>
      </c>
      <c r="M1226" s="13">
        <v>3</v>
      </c>
      <c r="N1226" s="13">
        <f t="shared" si="152"/>
        <v>26.220428240740148</v>
      </c>
      <c r="O1226" s="13">
        <f t="shared" si="153"/>
        <v>0</v>
      </c>
      <c r="P1226" t="str">
        <f t="shared" si="154"/>
        <v>On Time</v>
      </c>
      <c r="Q1226" s="13">
        <f t="shared" si="155"/>
        <v>1.3683333334629424</v>
      </c>
      <c r="R1226" s="13">
        <f t="shared" si="156"/>
        <v>4.8729976851827814</v>
      </c>
      <c r="S1226" s="13">
        <f t="shared" si="157"/>
        <v>21.290416666663077</v>
      </c>
      <c r="T1226" t="str">
        <f t="shared" si="158"/>
        <v>On Time/Early</v>
      </c>
      <c r="U1226" t="str">
        <f t="shared" si="159"/>
        <v>Normal</v>
      </c>
      <c r="V1226" t="s">
        <v>102</v>
      </c>
    </row>
    <row r="1227" spans="1:22">
      <c r="A1227" t="s">
        <v>1860</v>
      </c>
      <c r="B1227" s="10">
        <v>43169.709189814814</v>
      </c>
      <c r="C1227" s="10">
        <v>43169.715613425928</v>
      </c>
      <c r="D1227" s="10">
        <v>43171.963472222225</v>
      </c>
      <c r="E1227" s="10">
        <v>43187.818437499998</v>
      </c>
      <c r="F1227" s="10">
        <v>43202</v>
      </c>
      <c r="G1227" t="s">
        <v>16</v>
      </c>
      <c r="H1227" t="s">
        <v>138</v>
      </c>
      <c r="I1227" t="s">
        <v>31</v>
      </c>
      <c r="J1227" s="11">
        <v>1</v>
      </c>
      <c r="K1227" s="12">
        <v>13.65</v>
      </c>
      <c r="L1227" s="12">
        <v>15.23</v>
      </c>
      <c r="M1227" s="13">
        <v>3</v>
      </c>
      <c r="N1227" s="13">
        <f t="shared" si="152"/>
        <v>18.109247685184528</v>
      </c>
      <c r="O1227" s="13">
        <f t="shared" si="153"/>
        <v>0</v>
      </c>
      <c r="P1227" t="str">
        <f t="shared" si="154"/>
        <v>On Time</v>
      </c>
      <c r="Q1227" s="13">
        <f t="shared" si="155"/>
        <v>0.15416666673263535</v>
      </c>
      <c r="R1227" s="13">
        <f t="shared" si="156"/>
        <v>2.2478587962978054</v>
      </c>
      <c r="S1227" s="13">
        <f t="shared" si="157"/>
        <v>15.854965277772862</v>
      </c>
      <c r="T1227" t="str">
        <f t="shared" si="158"/>
        <v>On Time/Early</v>
      </c>
      <c r="U1227" t="str">
        <f t="shared" si="159"/>
        <v>Normal</v>
      </c>
      <c r="V1227" t="s">
        <v>102</v>
      </c>
    </row>
    <row r="1228" spans="1:22">
      <c r="A1228" t="s">
        <v>1861</v>
      </c>
      <c r="B1228" s="10">
        <v>43170.826238425929</v>
      </c>
      <c r="C1228" s="10">
        <v>43170.852719907409</v>
      </c>
      <c r="D1228" s="10">
        <v>43171.929826388892</v>
      </c>
      <c r="E1228" s="10">
        <v>43176.714328703703</v>
      </c>
      <c r="F1228" s="10">
        <v>43181</v>
      </c>
      <c r="G1228" t="s">
        <v>8</v>
      </c>
      <c r="H1228" t="s">
        <v>161</v>
      </c>
      <c r="I1228" t="s">
        <v>221</v>
      </c>
      <c r="J1228" s="11">
        <v>1</v>
      </c>
      <c r="K1228" s="12">
        <v>39</v>
      </c>
      <c r="L1228" s="12">
        <v>7.39</v>
      </c>
      <c r="M1228" s="13">
        <v>5</v>
      </c>
      <c r="N1228" s="13">
        <f t="shared" si="152"/>
        <v>5.8880902777746087</v>
      </c>
      <c r="O1228" s="13">
        <f t="shared" si="153"/>
        <v>0</v>
      </c>
      <c r="P1228" t="str">
        <f t="shared" si="154"/>
        <v>On Time</v>
      </c>
      <c r="Q1228" s="13">
        <f t="shared" si="155"/>
        <v>0.63555555552011356</v>
      </c>
      <c r="R1228" s="13">
        <f t="shared" si="156"/>
        <v>1.0771064814834972</v>
      </c>
      <c r="S1228" s="13">
        <f t="shared" si="157"/>
        <v>4.7845023148111068</v>
      </c>
      <c r="T1228" t="str">
        <f t="shared" si="158"/>
        <v>On Time/Early</v>
      </c>
      <c r="U1228" t="str">
        <f t="shared" si="159"/>
        <v>Normal</v>
      </c>
      <c r="V1228" t="s">
        <v>102</v>
      </c>
    </row>
    <row r="1229" spans="1:22">
      <c r="A1229" t="s">
        <v>1862</v>
      </c>
      <c r="B1229" s="10">
        <v>43170.864444444444</v>
      </c>
      <c r="C1229" s="10">
        <v>43170.872384259259</v>
      </c>
      <c r="D1229" s="10">
        <v>43172.106087962966</v>
      </c>
      <c r="E1229" s="10">
        <v>43173.849641203706</v>
      </c>
      <c r="F1229" s="10">
        <v>43187</v>
      </c>
      <c r="G1229" t="s">
        <v>8</v>
      </c>
      <c r="H1229" t="s">
        <v>1163</v>
      </c>
      <c r="I1229" t="s">
        <v>118</v>
      </c>
      <c r="J1229" s="11">
        <v>1</v>
      </c>
      <c r="K1229" s="12">
        <v>314.89999999999998</v>
      </c>
      <c r="L1229" s="12">
        <v>14.64</v>
      </c>
      <c r="M1229" s="13">
        <v>4</v>
      </c>
      <c r="N1229" s="13">
        <f t="shared" si="152"/>
        <v>2.9851967592621804</v>
      </c>
      <c r="O1229" s="13">
        <f t="shared" si="153"/>
        <v>0</v>
      </c>
      <c r="P1229" t="str">
        <f t="shared" si="154"/>
        <v>On Time</v>
      </c>
      <c r="Q1229" s="13">
        <f t="shared" si="155"/>
        <v>0.1905555555713363</v>
      </c>
      <c r="R1229" s="13">
        <f t="shared" si="156"/>
        <v>1.2337037037068512</v>
      </c>
      <c r="S1229" s="13">
        <f t="shared" si="157"/>
        <v>1.7435532407398568</v>
      </c>
      <c r="T1229" t="str">
        <f t="shared" si="158"/>
        <v>On Time/Early</v>
      </c>
      <c r="U1229" t="str">
        <f t="shared" si="159"/>
        <v>Normal</v>
      </c>
      <c r="V1229" t="s">
        <v>102</v>
      </c>
    </row>
    <row r="1230" spans="1:22">
      <c r="A1230" t="s">
        <v>1863</v>
      </c>
      <c r="B1230" s="10">
        <v>43171.460694444446</v>
      </c>
      <c r="C1230" s="10">
        <v>43172.160219907404</v>
      </c>
      <c r="D1230" s="10">
        <v>43175.894675925927</v>
      </c>
      <c r="E1230" s="10">
        <v>43193.755972222221</v>
      </c>
      <c r="F1230" s="10">
        <v>43192</v>
      </c>
      <c r="G1230" t="s">
        <v>36</v>
      </c>
      <c r="H1230" t="s">
        <v>1170</v>
      </c>
      <c r="I1230" t="s">
        <v>136</v>
      </c>
      <c r="J1230" s="11">
        <v>1</v>
      </c>
      <c r="K1230" s="12">
        <v>59.9</v>
      </c>
      <c r="L1230" s="12">
        <v>18.3</v>
      </c>
      <c r="M1230" s="13">
        <v>5</v>
      </c>
      <c r="N1230" s="13">
        <f t="shared" si="152"/>
        <v>22.295277777775482</v>
      </c>
      <c r="O1230" s="13">
        <f t="shared" si="153"/>
        <v>1.7559722222213168</v>
      </c>
      <c r="P1230" t="str">
        <f t="shared" si="154"/>
        <v>Delayed</v>
      </c>
      <c r="Q1230" s="13">
        <f t="shared" si="155"/>
        <v>16.788611110998318</v>
      </c>
      <c r="R1230" s="13">
        <f t="shared" si="156"/>
        <v>3.7344560185229057</v>
      </c>
      <c r="S1230" s="13">
        <f t="shared" si="157"/>
        <v>17.861296296294313</v>
      </c>
      <c r="T1230" t="str">
        <f t="shared" si="158"/>
        <v>1-3 Days Late</v>
      </c>
      <c r="U1230" t="str">
        <f t="shared" si="159"/>
        <v>Needs Review</v>
      </c>
      <c r="V1230" t="s">
        <v>102</v>
      </c>
    </row>
    <row r="1231" spans="1:22">
      <c r="A1231" t="s">
        <v>1864</v>
      </c>
      <c r="B1231" s="10">
        <v>43171.811319444445</v>
      </c>
      <c r="C1231" s="10">
        <v>43173.153171296297</v>
      </c>
      <c r="D1231" s="10">
        <v>43173.815162037034</v>
      </c>
      <c r="E1231" s="10">
        <v>43199.663148148145</v>
      </c>
      <c r="F1231" s="10">
        <v>43196</v>
      </c>
      <c r="G1231" t="s">
        <v>30</v>
      </c>
      <c r="H1231" t="s">
        <v>729</v>
      </c>
      <c r="I1231" t="s">
        <v>120</v>
      </c>
      <c r="J1231" s="11">
        <v>1</v>
      </c>
      <c r="K1231" s="12">
        <v>127.9</v>
      </c>
      <c r="L1231" s="12">
        <v>18.78</v>
      </c>
      <c r="M1231" s="13">
        <v>5</v>
      </c>
      <c r="N1231" s="13">
        <f t="shared" si="152"/>
        <v>27.851828703700448</v>
      </c>
      <c r="O1231" s="13">
        <f t="shared" si="153"/>
        <v>3.6631481481454102</v>
      </c>
      <c r="P1231" t="str">
        <f t="shared" si="154"/>
        <v>Delayed</v>
      </c>
      <c r="Q1231" s="13">
        <f t="shared" si="155"/>
        <v>32.20444444444729</v>
      </c>
      <c r="R1231" s="13">
        <f t="shared" si="156"/>
        <v>0.66199074073665543</v>
      </c>
      <c r="S1231" s="13">
        <f t="shared" si="157"/>
        <v>25.847986111111823</v>
      </c>
      <c r="T1231" t="str">
        <f t="shared" si="158"/>
        <v>4-7 Days Late</v>
      </c>
      <c r="U1231" t="str">
        <f t="shared" si="159"/>
        <v>Needs Review</v>
      </c>
      <c r="V1231" t="s">
        <v>102</v>
      </c>
    </row>
    <row r="1232" spans="1:22">
      <c r="A1232" t="s">
        <v>1865</v>
      </c>
      <c r="B1232" s="10">
        <v>43171.831157407411</v>
      </c>
      <c r="C1232" s="10">
        <v>43173.130833333336</v>
      </c>
      <c r="D1232" s="10">
        <v>43179.011388888888</v>
      </c>
      <c r="E1232" s="10">
        <v>43187.837083333332</v>
      </c>
      <c r="F1232" s="10">
        <v>43182</v>
      </c>
      <c r="G1232" t="s">
        <v>8</v>
      </c>
      <c r="H1232" t="s">
        <v>1866</v>
      </c>
      <c r="I1232" t="s">
        <v>31</v>
      </c>
      <c r="J1232" s="11">
        <v>1</v>
      </c>
      <c r="K1232" s="12">
        <v>39.9</v>
      </c>
      <c r="L1232" s="12">
        <v>8.8800000000000008</v>
      </c>
      <c r="M1232" s="13">
        <v>5</v>
      </c>
      <c r="N1232" s="13">
        <f t="shared" si="152"/>
        <v>16.005925925921474</v>
      </c>
      <c r="O1232" s="13">
        <f t="shared" si="153"/>
        <v>5.8370833333319752</v>
      </c>
      <c r="P1232" t="str">
        <f t="shared" si="154"/>
        <v>Delayed</v>
      </c>
      <c r="Q1232" s="13">
        <f t="shared" si="155"/>
        <v>31.192222222220153</v>
      </c>
      <c r="R1232" s="13">
        <f t="shared" si="156"/>
        <v>5.8805555555518367</v>
      </c>
      <c r="S1232" s="13">
        <f t="shared" si="157"/>
        <v>8.8256944444437977</v>
      </c>
      <c r="T1232" t="str">
        <f t="shared" si="158"/>
        <v>4-7 Days Late</v>
      </c>
      <c r="U1232" t="str">
        <f t="shared" si="159"/>
        <v>Needs Review</v>
      </c>
      <c r="V1232" t="s">
        <v>102</v>
      </c>
    </row>
    <row r="1233" spans="1:22">
      <c r="A1233" t="s">
        <v>1867</v>
      </c>
      <c r="B1233" s="10">
        <v>43171.907488425924</v>
      </c>
      <c r="C1233" s="10">
        <v>43172.187847222223</v>
      </c>
      <c r="D1233" s="10">
        <v>43173.059479166666</v>
      </c>
      <c r="E1233" s="10">
        <v>43183.031574074077</v>
      </c>
      <c r="F1233" s="10">
        <v>43199</v>
      </c>
      <c r="G1233" t="s">
        <v>36</v>
      </c>
      <c r="H1233" t="s">
        <v>1868</v>
      </c>
      <c r="I1233" t="s">
        <v>149</v>
      </c>
      <c r="J1233" s="11">
        <v>1</v>
      </c>
      <c r="K1233" s="12">
        <v>157.77000000000001</v>
      </c>
      <c r="L1233" s="12">
        <v>18.98</v>
      </c>
      <c r="M1233" s="13">
        <v>5</v>
      </c>
      <c r="N1233" s="13">
        <f t="shared" si="152"/>
        <v>11.124085648152686</v>
      </c>
      <c r="O1233" s="13">
        <f t="shared" si="153"/>
        <v>0</v>
      </c>
      <c r="P1233" t="str">
        <f t="shared" si="154"/>
        <v>On Time</v>
      </c>
      <c r="Q1233" s="13">
        <f t="shared" si="155"/>
        <v>6.7286111111752689</v>
      </c>
      <c r="R1233" s="13">
        <f t="shared" si="156"/>
        <v>0.87163194444292458</v>
      </c>
      <c r="S1233" s="13">
        <f t="shared" si="157"/>
        <v>9.9720949074107921</v>
      </c>
      <c r="T1233" t="str">
        <f t="shared" si="158"/>
        <v>On Time/Early</v>
      </c>
      <c r="U1233" t="str">
        <f t="shared" si="159"/>
        <v>Normal</v>
      </c>
      <c r="V1233" t="s">
        <v>102</v>
      </c>
    </row>
    <row r="1234" spans="1:22">
      <c r="A1234" t="s">
        <v>1869</v>
      </c>
      <c r="B1234" s="10">
        <v>43171.907743055555</v>
      </c>
      <c r="C1234" s="10">
        <v>43172.649733796294</v>
      </c>
      <c r="D1234" s="10">
        <v>43173.769212962965</v>
      </c>
      <c r="E1234" s="10">
        <v>43196.746192129627</v>
      </c>
      <c r="F1234" s="10">
        <v>43187</v>
      </c>
      <c r="G1234" t="s">
        <v>8</v>
      </c>
      <c r="H1234" t="s">
        <v>1870</v>
      </c>
      <c r="I1234" t="s">
        <v>101</v>
      </c>
      <c r="J1234" s="11">
        <v>1</v>
      </c>
      <c r="K1234" s="12">
        <v>29.99</v>
      </c>
      <c r="L1234" s="12">
        <v>12.79</v>
      </c>
      <c r="M1234" s="13">
        <v>2</v>
      </c>
      <c r="N1234" s="13">
        <f t="shared" si="152"/>
        <v>24.838449074071832</v>
      </c>
      <c r="O1234" s="13">
        <f t="shared" si="153"/>
        <v>9.7461921296271612</v>
      </c>
      <c r="P1234" t="str">
        <f t="shared" si="154"/>
        <v>Delayed</v>
      </c>
      <c r="Q1234" s="13">
        <f t="shared" si="155"/>
        <v>17.80777777772164</v>
      </c>
      <c r="R1234" s="13">
        <f t="shared" si="156"/>
        <v>1.1194791666712263</v>
      </c>
      <c r="S1234" s="13">
        <f t="shared" si="157"/>
        <v>22.976979166662204</v>
      </c>
      <c r="T1234" t="str">
        <f t="shared" si="158"/>
        <v>8+ Days Late</v>
      </c>
      <c r="U1234" t="str">
        <f t="shared" si="159"/>
        <v>Needs Review</v>
      </c>
      <c r="V1234" t="s">
        <v>102</v>
      </c>
    </row>
    <row r="1235" spans="1:22">
      <c r="A1235" t="s">
        <v>1871</v>
      </c>
      <c r="B1235" s="10">
        <v>43172.546087962961</v>
      </c>
      <c r="C1235" s="10">
        <v>43172.589745370373</v>
      </c>
      <c r="D1235" s="10">
        <v>43174.961712962962</v>
      </c>
      <c r="E1235" s="10">
        <v>43182.089305555557</v>
      </c>
      <c r="F1235" s="10">
        <v>43203</v>
      </c>
      <c r="G1235" t="s">
        <v>8</v>
      </c>
      <c r="H1235" t="s">
        <v>620</v>
      </c>
      <c r="I1235" t="s">
        <v>120</v>
      </c>
      <c r="J1235" s="11">
        <v>1</v>
      </c>
      <c r="K1235" s="12">
        <v>95</v>
      </c>
      <c r="L1235" s="12">
        <v>13.79</v>
      </c>
      <c r="M1235" s="13">
        <v>5</v>
      </c>
      <c r="N1235" s="13">
        <f t="shared" si="152"/>
        <v>9.5432175925961928</v>
      </c>
      <c r="O1235" s="13">
        <f t="shared" si="153"/>
        <v>0</v>
      </c>
      <c r="P1235" t="str">
        <f t="shared" si="154"/>
        <v>On Time</v>
      </c>
      <c r="Q1235" s="13">
        <f t="shared" si="155"/>
        <v>1.0477777778869495</v>
      </c>
      <c r="R1235" s="13">
        <f t="shared" si="156"/>
        <v>2.371967592589499</v>
      </c>
      <c r="S1235" s="13">
        <f t="shared" si="157"/>
        <v>7.1275925925947377</v>
      </c>
      <c r="T1235" t="str">
        <f t="shared" si="158"/>
        <v>On Time/Early</v>
      </c>
      <c r="U1235" t="str">
        <f t="shared" si="159"/>
        <v>Normal</v>
      </c>
      <c r="V1235" t="s">
        <v>102</v>
      </c>
    </row>
    <row r="1236" spans="1:22">
      <c r="A1236" t="s">
        <v>1872</v>
      </c>
      <c r="B1236" s="10">
        <v>43172.555706018517</v>
      </c>
      <c r="C1236" s="10">
        <v>43172.56287037037</v>
      </c>
      <c r="D1236" s="10">
        <v>43174.721493055556</v>
      </c>
      <c r="E1236" s="10">
        <v>43187.735324074078</v>
      </c>
      <c r="F1236" s="10">
        <v>43193</v>
      </c>
      <c r="G1236" t="s">
        <v>36</v>
      </c>
      <c r="H1236" t="s">
        <v>467</v>
      </c>
      <c r="I1236" t="s">
        <v>101</v>
      </c>
      <c r="J1236" s="11">
        <v>1</v>
      </c>
      <c r="K1236" s="12">
        <v>35</v>
      </c>
      <c r="L1236" s="12">
        <v>16.32</v>
      </c>
      <c r="M1236" s="13">
        <v>5</v>
      </c>
      <c r="N1236" s="13">
        <f t="shared" si="152"/>
        <v>15.17961805556115</v>
      </c>
      <c r="O1236" s="13">
        <f t="shared" si="153"/>
        <v>0</v>
      </c>
      <c r="P1236" t="str">
        <f t="shared" si="154"/>
        <v>On Time</v>
      </c>
      <c r="Q1236" s="13">
        <f t="shared" si="155"/>
        <v>0.17194444447522983</v>
      </c>
      <c r="R1236" s="13">
        <f t="shared" si="156"/>
        <v>2.158622685186856</v>
      </c>
      <c r="S1236" s="13">
        <f t="shared" si="157"/>
        <v>13.013831018521159</v>
      </c>
      <c r="T1236" t="str">
        <f t="shared" si="158"/>
        <v>On Time/Early</v>
      </c>
      <c r="U1236" t="str">
        <f t="shared" si="159"/>
        <v>Normal</v>
      </c>
      <c r="V1236" t="s">
        <v>102</v>
      </c>
    </row>
    <row r="1237" spans="1:22">
      <c r="A1237" t="s">
        <v>1873</v>
      </c>
      <c r="B1237" s="10">
        <v>43172.571400462963</v>
      </c>
      <c r="C1237" s="10">
        <v>43172.602997685186</v>
      </c>
      <c r="D1237" s="10">
        <v>43175.02621527778</v>
      </c>
      <c r="E1237" s="10">
        <v>43195.901701388888</v>
      </c>
      <c r="F1237" s="10">
        <v>43200</v>
      </c>
      <c r="G1237" t="s">
        <v>20</v>
      </c>
      <c r="H1237" t="s">
        <v>260</v>
      </c>
      <c r="I1237" t="s">
        <v>136</v>
      </c>
      <c r="J1237" s="11">
        <v>1</v>
      </c>
      <c r="K1237" s="12">
        <v>159.99</v>
      </c>
      <c r="L1237" s="12">
        <v>24.05</v>
      </c>
      <c r="M1237" s="13">
        <v>4</v>
      </c>
      <c r="N1237" s="13">
        <f t="shared" si="152"/>
        <v>23.330300925925258</v>
      </c>
      <c r="O1237" s="13">
        <f t="shared" si="153"/>
        <v>0</v>
      </c>
      <c r="P1237" t="str">
        <f t="shared" si="154"/>
        <v>On Time</v>
      </c>
      <c r="Q1237" s="13">
        <f t="shared" si="155"/>
        <v>0.75833333336049691</v>
      </c>
      <c r="R1237" s="13">
        <f t="shared" si="156"/>
        <v>2.4232175925935735</v>
      </c>
      <c r="S1237" s="13">
        <f t="shared" si="157"/>
        <v>20.87548611110833</v>
      </c>
      <c r="T1237" t="str">
        <f t="shared" si="158"/>
        <v>On Time/Early</v>
      </c>
      <c r="U1237" t="str">
        <f t="shared" si="159"/>
        <v>Normal</v>
      </c>
      <c r="V1237" t="s">
        <v>102</v>
      </c>
    </row>
    <row r="1238" spans="1:22">
      <c r="A1238" t="s">
        <v>1874</v>
      </c>
      <c r="B1238" s="10">
        <v>43172.864074074074</v>
      </c>
      <c r="C1238" s="10">
        <v>43172.872488425928</v>
      </c>
      <c r="D1238" s="10">
        <v>43173.996111111112</v>
      </c>
      <c r="E1238" s="10">
        <v>43180.006076388891</v>
      </c>
      <c r="F1238" s="10">
        <v>43206</v>
      </c>
      <c r="G1238" t="s">
        <v>8</v>
      </c>
      <c r="H1238" t="s">
        <v>1875</v>
      </c>
      <c r="I1238" t="s">
        <v>143</v>
      </c>
      <c r="J1238" s="11">
        <v>1</v>
      </c>
      <c r="K1238" s="12">
        <v>44.99</v>
      </c>
      <c r="L1238" s="12">
        <v>19.95</v>
      </c>
      <c r="M1238" s="13">
        <v>5</v>
      </c>
      <c r="N1238" s="13">
        <f t="shared" si="152"/>
        <v>7.1420023148166365</v>
      </c>
      <c r="O1238" s="13">
        <f t="shared" si="153"/>
        <v>0</v>
      </c>
      <c r="P1238" t="str">
        <f t="shared" si="154"/>
        <v>On Time</v>
      </c>
      <c r="Q1238" s="13">
        <f t="shared" si="155"/>
        <v>0.20194444450316951</v>
      </c>
      <c r="R1238" s="13">
        <f t="shared" si="156"/>
        <v>1.1236226851833635</v>
      </c>
      <c r="S1238" s="13">
        <f t="shared" si="157"/>
        <v>6.0099652777789743</v>
      </c>
      <c r="T1238" t="str">
        <f t="shared" si="158"/>
        <v>On Time/Early</v>
      </c>
      <c r="U1238" t="str">
        <f t="shared" si="159"/>
        <v>Normal</v>
      </c>
      <c r="V1238" t="s">
        <v>102</v>
      </c>
    </row>
    <row r="1239" spans="1:22">
      <c r="A1239" t="s">
        <v>1876</v>
      </c>
      <c r="B1239" s="10">
        <v>43172.961493055554</v>
      </c>
      <c r="C1239" s="10">
        <v>43172.969131944446</v>
      </c>
      <c r="D1239" s="10">
        <v>43173.856053240743</v>
      </c>
      <c r="E1239" s="10">
        <v>43179.861608796295</v>
      </c>
      <c r="F1239" s="10">
        <v>43188</v>
      </c>
      <c r="G1239" t="s">
        <v>8</v>
      </c>
      <c r="H1239" t="s">
        <v>140</v>
      </c>
      <c r="I1239" t="s">
        <v>180</v>
      </c>
      <c r="J1239" s="11">
        <v>1</v>
      </c>
      <c r="K1239" s="12">
        <v>199</v>
      </c>
      <c r="L1239" s="12">
        <v>13.83</v>
      </c>
      <c r="M1239" s="13">
        <v>2</v>
      </c>
      <c r="N1239" s="13">
        <f t="shared" si="152"/>
        <v>6.9001157407401479</v>
      </c>
      <c r="O1239" s="13">
        <f t="shared" si="153"/>
        <v>0</v>
      </c>
      <c r="P1239" t="str">
        <f t="shared" si="154"/>
        <v>On Time</v>
      </c>
      <c r="Q1239" s="13">
        <f t="shared" si="155"/>
        <v>0.18333333340706304</v>
      </c>
      <c r="R1239" s="13">
        <f t="shared" si="156"/>
        <v>0.88692129629635019</v>
      </c>
      <c r="S1239" s="13">
        <f t="shared" si="157"/>
        <v>6.0055555555518367</v>
      </c>
      <c r="T1239" t="str">
        <f t="shared" si="158"/>
        <v>On Time/Early</v>
      </c>
      <c r="U1239" t="str">
        <f t="shared" si="159"/>
        <v>Normal</v>
      </c>
      <c r="V1239" t="s">
        <v>102</v>
      </c>
    </row>
    <row r="1240" spans="1:22">
      <c r="A1240" t="s">
        <v>1877</v>
      </c>
      <c r="B1240" s="10">
        <v>43173.357708333337</v>
      </c>
      <c r="C1240" s="10">
        <v>43173.380729166667</v>
      </c>
      <c r="D1240" s="10">
        <v>43174.96</v>
      </c>
      <c r="E1240" s="10">
        <v>43182.790763888886</v>
      </c>
      <c r="F1240" s="10">
        <v>43202</v>
      </c>
      <c r="G1240" t="s">
        <v>8</v>
      </c>
      <c r="H1240" t="s">
        <v>140</v>
      </c>
      <c r="I1240" t="s">
        <v>120</v>
      </c>
      <c r="J1240" s="11">
        <v>1</v>
      </c>
      <c r="K1240" s="12">
        <v>70</v>
      </c>
      <c r="L1240" s="12">
        <v>13.61</v>
      </c>
      <c r="M1240" s="13">
        <v>4</v>
      </c>
      <c r="N1240" s="13">
        <f t="shared" si="152"/>
        <v>9.4330555555497995</v>
      </c>
      <c r="O1240" s="13">
        <f t="shared" si="153"/>
        <v>0</v>
      </c>
      <c r="P1240" t="str">
        <f t="shared" si="154"/>
        <v>On Time</v>
      </c>
      <c r="Q1240" s="13">
        <f t="shared" si="155"/>
        <v>0.55249999993247911</v>
      </c>
      <c r="R1240" s="13">
        <f t="shared" si="156"/>
        <v>1.5792708333319752</v>
      </c>
      <c r="S1240" s="13">
        <f t="shared" si="157"/>
        <v>7.8307638888873043</v>
      </c>
      <c r="T1240" t="str">
        <f t="shared" si="158"/>
        <v>On Time/Early</v>
      </c>
      <c r="U1240" t="str">
        <f t="shared" si="159"/>
        <v>Normal</v>
      </c>
      <c r="V1240" t="s">
        <v>102</v>
      </c>
    </row>
    <row r="1241" spans="1:22">
      <c r="A1241" t="s">
        <v>1878</v>
      </c>
      <c r="B1241" s="10">
        <v>43173.411157407405</v>
      </c>
      <c r="C1241" s="10">
        <v>43173.422569444447</v>
      </c>
      <c r="D1241" s="10">
        <v>43175.969270833331</v>
      </c>
      <c r="E1241" s="10">
        <v>43201.921388888892</v>
      </c>
      <c r="F1241" s="10">
        <v>43196</v>
      </c>
      <c r="G1241" t="s">
        <v>277</v>
      </c>
      <c r="H1241" t="s">
        <v>335</v>
      </c>
      <c r="I1241" t="s">
        <v>180</v>
      </c>
      <c r="J1241" s="11">
        <v>1</v>
      </c>
      <c r="K1241" s="12">
        <v>288.89999999999998</v>
      </c>
      <c r="L1241" s="12">
        <v>63.82</v>
      </c>
      <c r="M1241" s="13"/>
      <c r="N1241" s="13">
        <f t="shared" si="152"/>
        <v>28.510231481486699</v>
      </c>
      <c r="O1241" s="13">
        <f t="shared" si="153"/>
        <v>5.9213888888916699</v>
      </c>
      <c r="P1241" t="str">
        <f t="shared" si="154"/>
        <v>Delayed</v>
      </c>
      <c r="Q1241" s="13">
        <f t="shared" si="155"/>
        <v>0.2738888890016824</v>
      </c>
      <c r="R1241" s="13">
        <f t="shared" si="156"/>
        <v>2.546701388884685</v>
      </c>
      <c r="S1241" s="13">
        <f t="shared" si="157"/>
        <v>25.952118055560277</v>
      </c>
      <c r="T1241" t="str">
        <f t="shared" si="158"/>
        <v>4-7 Days Late</v>
      </c>
      <c r="U1241" t="str">
        <f t="shared" si="159"/>
        <v>Needs Review</v>
      </c>
      <c r="V1241" t="s">
        <v>102</v>
      </c>
    </row>
    <row r="1242" spans="1:22">
      <c r="A1242" t="s">
        <v>1879</v>
      </c>
      <c r="B1242" s="10">
        <v>43173.600532407407</v>
      </c>
      <c r="C1242" s="10">
        <v>43173.607997685183</v>
      </c>
      <c r="D1242" s="10">
        <v>43174.75854166667</v>
      </c>
      <c r="E1242" s="10">
        <v>43193.987534722219</v>
      </c>
      <c r="F1242" s="10">
        <v>43222</v>
      </c>
      <c r="G1242" t="s">
        <v>16</v>
      </c>
      <c r="H1242" t="s">
        <v>138</v>
      </c>
      <c r="I1242" t="s">
        <v>120</v>
      </c>
      <c r="J1242" s="11">
        <v>1</v>
      </c>
      <c r="K1242" s="12">
        <v>81.99</v>
      </c>
      <c r="L1242" s="12">
        <v>18.45</v>
      </c>
      <c r="M1242" s="13">
        <v>5</v>
      </c>
      <c r="N1242" s="13">
        <f t="shared" si="152"/>
        <v>20.38700231481198</v>
      </c>
      <c r="O1242" s="13">
        <f t="shared" si="153"/>
        <v>0</v>
      </c>
      <c r="P1242" t="str">
        <f t="shared" si="154"/>
        <v>On Time</v>
      </c>
      <c r="Q1242" s="13">
        <f t="shared" si="155"/>
        <v>0.17916666663950309</v>
      </c>
      <c r="R1242" s="13">
        <f t="shared" si="156"/>
        <v>1.1505439814864076</v>
      </c>
      <c r="S1242" s="13">
        <f t="shared" si="157"/>
        <v>19.228993055548926</v>
      </c>
      <c r="T1242" t="str">
        <f t="shared" si="158"/>
        <v>On Time/Early</v>
      </c>
      <c r="U1242" t="str">
        <f t="shared" si="159"/>
        <v>Normal</v>
      </c>
      <c r="V1242" t="s">
        <v>102</v>
      </c>
    </row>
    <row r="1243" spans="1:22">
      <c r="A1243" t="s">
        <v>1880</v>
      </c>
      <c r="B1243" s="10">
        <v>43173.922685185185</v>
      </c>
      <c r="C1243" s="10">
        <v>43175.156631944446</v>
      </c>
      <c r="D1243" s="10">
        <v>43179.011481481481</v>
      </c>
      <c r="E1243" s="10">
        <v>43187.414502314816</v>
      </c>
      <c r="F1243" s="10">
        <v>43203</v>
      </c>
      <c r="G1243" t="s">
        <v>30</v>
      </c>
      <c r="H1243" t="s">
        <v>353</v>
      </c>
      <c r="I1243" t="s">
        <v>120</v>
      </c>
      <c r="J1243" s="11">
        <v>2</v>
      </c>
      <c r="K1243" s="12">
        <v>141.80000000000001</v>
      </c>
      <c r="L1243" s="12">
        <v>36.76</v>
      </c>
      <c r="M1243" s="13">
        <v>4.5</v>
      </c>
      <c r="N1243" s="13">
        <f t="shared" si="152"/>
        <v>13.491817129630363</v>
      </c>
      <c r="O1243" s="13">
        <f t="shared" si="153"/>
        <v>0</v>
      </c>
      <c r="P1243" t="str">
        <f t="shared" si="154"/>
        <v>On Time</v>
      </c>
      <c r="Q1243" s="13">
        <f t="shared" si="155"/>
        <v>29.61472222226439</v>
      </c>
      <c r="R1243" s="13">
        <f t="shared" si="156"/>
        <v>3.8548495370341698</v>
      </c>
      <c r="S1243" s="13">
        <f t="shared" si="157"/>
        <v>8.4030208333351766</v>
      </c>
      <c r="T1243" t="str">
        <f t="shared" si="158"/>
        <v>On Time/Early</v>
      </c>
      <c r="U1243" t="str">
        <f t="shared" si="159"/>
        <v>Normal</v>
      </c>
      <c r="V1243" t="s">
        <v>102</v>
      </c>
    </row>
    <row r="1244" spans="1:22">
      <c r="A1244" t="s">
        <v>1881</v>
      </c>
      <c r="B1244" s="10">
        <v>43173.947152777779</v>
      </c>
      <c r="C1244" s="10">
        <v>43173.955254629633</v>
      </c>
      <c r="D1244" s="10">
        <v>43175.874201388891</v>
      </c>
      <c r="E1244" s="10">
        <v>43186.8672337963</v>
      </c>
      <c r="F1244" s="10">
        <v>43192</v>
      </c>
      <c r="G1244" t="s">
        <v>8</v>
      </c>
      <c r="H1244" t="s">
        <v>522</v>
      </c>
      <c r="I1244" t="s">
        <v>58</v>
      </c>
      <c r="J1244" s="11">
        <v>1</v>
      </c>
      <c r="K1244" s="12">
        <v>61.9</v>
      </c>
      <c r="L1244" s="12">
        <v>13.79</v>
      </c>
      <c r="M1244" s="13">
        <v>3</v>
      </c>
      <c r="N1244" s="13">
        <f t="shared" si="152"/>
        <v>12.920081018521159</v>
      </c>
      <c r="O1244" s="13">
        <f t="shared" si="153"/>
        <v>0</v>
      </c>
      <c r="P1244" t="str">
        <f t="shared" si="154"/>
        <v>On Time</v>
      </c>
      <c r="Q1244" s="13">
        <f t="shared" si="155"/>
        <v>0.19444444449618459</v>
      </c>
      <c r="R1244" s="13">
        <f t="shared" si="156"/>
        <v>1.918946759258688</v>
      </c>
      <c r="S1244" s="13">
        <f t="shared" si="157"/>
        <v>10.993032407408464</v>
      </c>
      <c r="T1244" t="str">
        <f t="shared" si="158"/>
        <v>On Time/Early</v>
      </c>
      <c r="U1244" t="str">
        <f t="shared" si="159"/>
        <v>Normal</v>
      </c>
      <c r="V1244" t="s">
        <v>102</v>
      </c>
    </row>
    <row r="1245" spans="1:22">
      <c r="A1245" t="s">
        <v>1882</v>
      </c>
      <c r="B1245" s="10">
        <v>43174.390115740738</v>
      </c>
      <c r="C1245" s="10">
        <v>43174.396215277775</v>
      </c>
      <c r="D1245" s="10">
        <v>43175.711238425924</v>
      </c>
      <c r="E1245" s="10">
        <v>43192.688564814816</v>
      </c>
      <c r="F1245" s="10">
        <v>43194</v>
      </c>
      <c r="G1245" t="s">
        <v>16</v>
      </c>
      <c r="H1245" t="s">
        <v>559</v>
      </c>
      <c r="I1245" t="s">
        <v>31</v>
      </c>
      <c r="J1245" s="11">
        <v>1</v>
      </c>
      <c r="K1245" s="12">
        <v>23.7</v>
      </c>
      <c r="L1245" s="12">
        <v>15.23</v>
      </c>
      <c r="M1245" s="13">
        <v>5</v>
      </c>
      <c r="N1245" s="13">
        <f t="shared" si="152"/>
        <v>18.298449074078235</v>
      </c>
      <c r="O1245" s="13">
        <f t="shared" si="153"/>
        <v>0</v>
      </c>
      <c r="P1245" t="str">
        <f t="shared" si="154"/>
        <v>On Time</v>
      </c>
      <c r="Q1245" s="13">
        <f t="shared" si="155"/>
        <v>0.14638888888293877</v>
      </c>
      <c r="R1245" s="13">
        <f t="shared" si="156"/>
        <v>1.3150231481486117</v>
      </c>
      <c r="S1245" s="13">
        <f t="shared" si="157"/>
        <v>16.977326388892834</v>
      </c>
      <c r="T1245" t="str">
        <f t="shared" si="158"/>
        <v>On Time/Early</v>
      </c>
      <c r="U1245" t="str">
        <f t="shared" si="159"/>
        <v>Normal</v>
      </c>
      <c r="V1245" t="s">
        <v>102</v>
      </c>
    </row>
    <row r="1246" spans="1:22">
      <c r="A1246" t="s">
        <v>1883</v>
      </c>
      <c r="B1246" s="10">
        <v>43174.816458333335</v>
      </c>
      <c r="C1246" s="10">
        <v>43174.826770833337</v>
      </c>
      <c r="D1246" s="10">
        <v>43179.880069444444</v>
      </c>
      <c r="E1246" s="10">
        <v>43194.807106481479</v>
      </c>
      <c r="F1246" s="10">
        <v>43201</v>
      </c>
      <c r="G1246" t="s">
        <v>110</v>
      </c>
      <c r="H1246" t="s">
        <v>1884</v>
      </c>
      <c r="I1246" t="s">
        <v>58</v>
      </c>
      <c r="J1246" s="11">
        <v>1</v>
      </c>
      <c r="K1246" s="12">
        <v>119.9</v>
      </c>
      <c r="L1246" s="12">
        <v>22.55</v>
      </c>
      <c r="M1246" s="13">
        <v>4</v>
      </c>
      <c r="N1246" s="13">
        <f t="shared" si="152"/>
        <v>19.990648148144828</v>
      </c>
      <c r="O1246" s="13">
        <f t="shared" si="153"/>
        <v>0</v>
      </c>
      <c r="P1246" t="str">
        <f t="shared" si="154"/>
        <v>On Time</v>
      </c>
      <c r="Q1246" s="13">
        <f t="shared" si="155"/>
        <v>0.24750000005587935</v>
      </c>
      <c r="R1246" s="13">
        <f t="shared" si="156"/>
        <v>5.0532986111065838</v>
      </c>
      <c r="S1246" s="13">
        <f t="shared" si="157"/>
        <v>14.927037037035916</v>
      </c>
      <c r="T1246" t="str">
        <f t="shared" si="158"/>
        <v>On Time/Early</v>
      </c>
      <c r="U1246" t="str">
        <f t="shared" si="159"/>
        <v>Normal</v>
      </c>
      <c r="V1246" t="s">
        <v>102</v>
      </c>
    </row>
    <row r="1247" spans="1:22">
      <c r="A1247" t="s">
        <v>1885</v>
      </c>
      <c r="B1247" s="10">
        <v>43174.940300925926</v>
      </c>
      <c r="C1247" s="10">
        <v>43174.951851851853</v>
      </c>
      <c r="D1247" s="10">
        <v>43182.036099537036</v>
      </c>
      <c r="E1247" s="10">
        <v>43194.105879629627</v>
      </c>
      <c r="F1247" s="10">
        <v>43214</v>
      </c>
      <c r="G1247" t="s">
        <v>16</v>
      </c>
      <c r="H1247" t="s">
        <v>138</v>
      </c>
      <c r="I1247" t="s">
        <v>58</v>
      </c>
      <c r="J1247" s="11">
        <v>1</v>
      </c>
      <c r="K1247" s="12">
        <v>529.9</v>
      </c>
      <c r="L1247" s="12">
        <v>25.42</v>
      </c>
      <c r="M1247" s="13">
        <v>2</v>
      </c>
      <c r="N1247" s="13">
        <f t="shared" si="152"/>
        <v>19.165578703701613</v>
      </c>
      <c r="O1247" s="13">
        <f t="shared" si="153"/>
        <v>0</v>
      </c>
      <c r="P1247" t="str">
        <f t="shared" si="154"/>
        <v>On Time</v>
      </c>
      <c r="Q1247" s="13">
        <f t="shared" si="155"/>
        <v>0.27722222224110737</v>
      </c>
      <c r="R1247" s="13">
        <f t="shared" si="156"/>
        <v>7.0842476851830725</v>
      </c>
      <c r="S1247" s="13">
        <f t="shared" si="157"/>
        <v>12.069780092591827</v>
      </c>
      <c r="T1247" t="str">
        <f t="shared" si="158"/>
        <v>On Time/Early</v>
      </c>
      <c r="U1247" t="str">
        <f t="shared" si="159"/>
        <v>Normal</v>
      </c>
      <c r="V1247" t="s">
        <v>102</v>
      </c>
    </row>
    <row r="1248" spans="1:22">
      <c r="A1248" t="s">
        <v>1886</v>
      </c>
      <c r="B1248" s="10">
        <v>43175.378796296296</v>
      </c>
      <c r="C1248" s="10">
        <v>43175.385972222219</v>
      </c>
      <c r="D1248" s="10">
        <v>43180.591817129629</v>
      </c>
      <c r="E1248" s="10">
        <v>43199.797800925924</v>
      </c>
      <c r="F1248" s="10">
        <v>43200</v>
      </c>
      <c r="G1248" t="s">
        <v>20</v>
      </c>
      <c r="H1248" t="s">
        <v>1887</v>
      </c>
      <c r="I1248" t="s">
        <v>58</v>
      </c>
      <c r="J1248" s="11">
        <v>1</v>
      </c>
      <c r="K1248" s="12">
        <v>59.9</v>
      </c>
      <c r="L1248" s="12">
        <v>18.3</v>
      </c>
      <c r="M1248" s="13">
        <v>2</v>
      </c>
      <c r="N1248" s="13">
        <f t="shared" si="152"/>
        <v>24.419004629628034</v>
      </c>
      <c r="O1248" s="13">
        <f t="shared" si="153"/>
        <v>0</v>
      </c>
      <c r="P1248" t="str">
        <f t="shared" si="154"/>
        <v>On Time</v>
      </c>
      <c r="Q1248" s="13">
        <f t="shared" si="155"/>
        <v>0.1722222221433185</v>
      </c>
      <c r="R1248" s="13">
        <f t="shared" si="156"/>
        <v>5.20584490741021</v>
      </c>
      <c r="S1248" s="13">
        <f t="shared" si="157"/>
        <v>19.205983796295186</v>
      </c>
      <c r="T1248" t="str">
        <f t="shared" si="158"/>
        <v>On Time/Early</v>
      </c>
      <c r="U1248" t="str">
        <f t="shared" si="159"/>
        <v>Normal</v>
      </c>
      <c r="V1248" t="s">
        <v>102</v>
      </c>
    </row>
    <row r="1249" spans="1:22">
      <c r="A1249" t="s">
        <v>1888</v>
      </c>
      <c r="B1249" s="10">
        <v>43175.385520833333</v>
      </c>
      <c r="C1249" s="10">
        <v>43176.121886574074</v>
      </c>
      <c r="D1249" s="10">
        <v>43178.991990740738</v>
      </c>
      <c r="E1249" s="10">
        <v>43183.582245370373</v>
      </c>
      <c r="F1249" s="10">
        <v>43187</v>
      </c>
      <c r="G1249" t="s">
        <v>8</v>
      </c>
      <c r="H1249" t="s">
        <v>1889</v>
      </c>
      <c r="I1249" t="s">
        <v>58</v>
      </c>
      <c r="J1249" s="11">
        <v>1</v>
      </c>
      <c r="K1249" s="12">
        <v>29.9</v>
      </c>
      <c r="L1249" s="12">
        <v>7.71</v>
      </c>
      <c r="M1249" s="13">
        <v>3</v>
      </c>
      <c r="N1249" s="13">
        <f t="shared" si="152"/>
        <v>8.1967245370396995</v>
      </c>
      <c r="O1249" s="13">
        <f t="shared" si="153"/>
        <v>0</v>
      </c>
      <c r="P1249" t="str">
        <f t="shared" si="154"/>
        <v>On Time</v>
      </c>
      <c r="Q1249" s="13">
        <f t="shared" si="155"/>
        <v>17.672777777770534</v>
      </c>
      <c r="R1249" s="13">
        <f t="shared" si="156"/>
        <v>2.8701041666645324</v>
      </c>
      <c r="S1249" s="13">
        <f t="shared" si="157"/>
        <v>4.5902546296347282</v>
      </c>
      <c r="T1249" t="str">
        <f t="shared" si="158"/>
        <v>On Time/Early</v>
      </c>
      <c r="U1249" t="str">
        <f t="shared" si="159"/>
        <v>Normal</v>
      </c>
      <c r="V1249" t="s">
        <v>102</v>
      </c>
    </row>
    <row r="1250" spans="1:22">
      <c r="A1250" t="s">
        <v>1890</v>
      </c>
      <c r="B1250" s="10">
        <v>43175.38790509259</v>
      </c>
      <c r="C1250" s="10">
        <v>43176.11146990741</v>
      </c>
      <c r="D1250" s="10">
        <v>43178.999224537038</v>
      </c>
      <c r="E1250" s="10">
        <v>43182.913055555553</v>
      </c>
      <c r="F1250" s="10">
        <v>43194</v>
      </c>
      <c r="G1250" t="s">
        <v>8</v>
      </c>
      <c r="H1250" t="s">
        <v>132</v>
      </c>
      <c r="I1250" t="s">
        <v>180</v>
      </c>
      <c r="J1250" s="11">
        <v>6</v>
      </c>
      <c r="K1250" s="12">
        <v>131.94</v>
      </c>
      <c r="L1250" s="12">
        <v>76.739999999999995</v>
      </c>
      <c r="M1250" s="13">
        <v>1</v>
      </c>
      <c r="N1250" s="13">
        <f t="shared" si="152"/>
        <v>7.5251504629632109</v>
      </c>
      <c r="O1250" s="13">
        <f t="shared" si="153"/>
        <v>0</v>
      </c>
      <c r="P1250" t="str">
        <f t="shared" si="154"/>
        <v>On Time</v>
      </c>
      <c r="Q1250" s="13">
        <f t="shared" si="155"/>
        <v>17.36555555567611</v>
      </c>
      <c r="R1250" s="13">
        <f t="shared" si="156"/>
        <v>2.8877546296280343</v>
      </c>
      <c r="S1250" s="13">
        <f t="shared" si="157"/>
        <v>3.9138310185153387</v>
      </c>
      <c r="T1250" t="str">
        <f t="shared" si="158"/>
        <v>On Time/Early</v>
      </c>
      <c r="U1250" t="str">
        <f t="shared" si="159"/>
        <v>Normal</v>
      </c>
      <c r="V1250" t="s">
        <v>102</v>
      </c>
    </row>
    <row r="1251" spans="1:22">
      <c r="A1251" t="s">
        <v>1891</v>
      </c>
      <c r="B1251" s="10">
        <v>43175.402037037034</v>
      </c>
      <c r="C1251" s="10">
        <v>43175.413460648146</v>
      </c>
      <c r="D1251" s="10">
        <v>43178.839513888888</v>
      </c>
      <c r="E1251" s="10">
        <v>43179.866909722223</v>
      </c>
      <c r="F1251" s="10">
        <v>43187</v>
      </c>
      <c r="G1251" t="s">
        <v>8</v>
      </c>
      <c r="H1251" t="s">
        <v>182</v>
      </c>
      <c r="I1251" t="s">
        <v>34</v>
      </c>
      <c r="J1251" s="11">
        <v>1</v>
      </c>
      <c r="K1251" s="12">
        <v>52</v>
      </c>
      <c r="L1251" s="12">
        <v>11.15</v>
      </c>
      <c r="M1251" s="13">
        <v>5</v>
      </c>
      <c r="N1251" s="13">
        <f t="shared" si="152"/>
        <v>4.4648726851883112</v>
      </c>
      <c r="O1251" s="13">
        <f t="shared" si="153"/>
        <v>0</v>
      </c>
      <c r="P1251" t="str">
        <f t="shared" si="154"/>
        <v>On Time</v>
      </c>
      <c r="Q1251" s="13">
        <f t="shared" si="155"/>
        <v>0.27416666666977108</v>
      </c>
      <c r="R1251" s="13">
        <f t="shared" si="156"/>
        <v>3.4260532407424762</v>
      </c>
      <c r="S1251" s="13">
        <f t="shared" si="157"/>
        <v>1.0273958333345945</v>
      </c>
      <c r="T1251" t="str">
        <f t="shared" si="158"/>
        <v>On Time/Early</v>
      </c>
      <c r="U1251" t="str">
        <f t="shared" si="159"/>
        <v>Normal</v>
      </c>
      <c r="V1251" t="s">
        <v>102</v>
      </c>
    </row>
    <row r="1252" spans="1:22">
      <c r="A1252" t="s">
        <v>1892</v>
      </c>
      <c r="B1252" s="10">
        <v>43175.862199074072</v>
      </c>
      <c r="C1252" s="10">
        <v>43175.872094907405</v>
      </c>
      <c r="D1252" s="10">
        <v>43179.742349537039</v>
      </c>
      <c r="E1252" s="10">
        <v>43192.890972222223</v>
      </c>
      <c r="F1252" s="10">
        <v>43214</v>
      </c>
      <c r="G1252" t="s">
        <v>16</v>
      </c>
      <c r="H1252" t="s">
        <v>138</v>
      </c>
      <c r="I1252" t="s">
        <v>180</v>
      </c>
      <c r="J1252" s="11">
        <v>1</v>
      </c>
      <c r="K1252" s="12">
        <v>39.99</v>
      </c>
      <c r="L1252" s="12">
        <v>16.95</v>
      </c>
      <c r="M1252" s="13">
        <v>3</v>
      </c>
      <c r="N1252" s="13">
        <f t="shared" si="152"/>
        <v>17.028773148151231</v>
      </c>
      <c r="O1252" s="13">
        <f t="shared" si="153"/>
        <v>0</v>
      </c>
      <c r="P1252" t="str">
        <f t="shared" si="154"/>
        <v>On Time</v>
      </c>
      <c r="Q1252" s="13">
        <f t="shared" si="155"/>
        <v>0.23749999998835847</v>
      </c>
      <c r="R1252" s="13">
        <f t="shared" si="156"/>
        <v>3.870254629633564</v>
      </c>
      <c r="S1252" s="13">
        <f t="shared" si="157"/>
        <v>13.148622685184819</v>
      </c>
      <c r="T1252" t="str">
        <f t="shared" si="158"/>
        <v>On Time/Early</v>
      </c>
      <c r="U1252" t="str">
        <f t="shared" si="159"/>
        <v>Normal</v>
      </c>
      <c r="V1252" t="s">
        <v>102</v>
      </c>
    </row>
    <row r="1253" spans="1:22">
      <c r="A1253" t="s">
        <v>1893</v>
      </c>
      <c r="B1253" s="10">
        <v>43177.515659722223</v>
      </c>
      <c r="C1253" s="10">
        <v>43179.158738425926</v>
      </c>
      <c r="D1253" s="10">
        <v>43180.765706018516</v>
      </c>
      <c r="E1253" s="10">
        <v>43185.635196759256</v>
      </c>
      <c r="F1253" s="10">
        <v>43195</v>
      </c>
      <c r="G1253" t="s">
        <v>8</v>
      </c>
      <c r="H1253" t="s">
        <v>314</v>
      </c>
      <c r="I1253" t="s">
        <v>101</v>
      </c>
      <c r="J1253" s="11">
        <v>1</v>
      </c>
      <c r="K1253" s="12">
        <v>19.899999999999999</v>
      </c>
      <c r="L1253" s="12">
        <v>12.79</v>
      </c>
      <c r="M1253" s="13">
        <v>4</v>
      </c>
      <c r="N1253" s="13">
        <f t="shared" si="152"/>
        <v>8.1195370370332967</v>
      </c>
      <c r="O1253" s="13">
        <f t="shared" si="153"/>
        <v>0</v>
      </c>
      <c r="P1253" t="str">
        <f t="shared" si="154"/>
        <v>On Time</v>
      </c>
      <c r="Q1253" s="13">
        <f t="shared" si="155"/>
        <v>39.433888888859656</v>
      </c>
      <c r="R1253" s="13">
        <f t="shared" si="156"/>
        <v>1.606967592590081</v>
      </c>
      <c r="S1253" s="13">
        <f t="shared" si="157"/>
        <v>4.86949074074073</v>
      </c>
      <c r="T1253" t="str">
        <f t="shared" si="158"/>
        <v>On Time/Early</v>
      </c>
      <c r="U1253" t="str">
        <f t="shared" si="159"/>
        <v>Normal</v>
      </c>
      <c r="V1253" t="s">
        <v>102</v>
      </c>
    </row>
    <row r="1254" spans="1:22">
      <c r="A1254" t="s">
        <v>1894</v>
      </c>
      <c r="B1254" s="10">
        <v>43177.727523148147</v>
      </c>
      <c r="C1254" s="10">
        <v>43177.743483796294</v>
      </c>
      <c r="D1254" s="10">
        <v>43180.950578703705</v>
      </c>
      <c r="E1254" s="10">
        <v>43207.811562499999</v>
      </c>
      <c r="F1254" s="10">
        <v>43206</v>
      </c>
      <c r="G1254" t="s">
        <v>16</v>
      </c>
      <c r="H1254" t="s">
        <v>1895</v>
      </c>
      <c r="I1254" t="s">
        <v>143</v>
      </c>
      <c r="J1254" s="11">
        <v>1</v>
      </c>
      <c r="K1254" s="12">
        <v>49.99</v>
      </c>
      <c r="L1254" s="12">
        <v>15.23</v>
      </c>
      <c r="M1254" s="13">
        <v>2</v>
      </c>
      <c r="N1254" s="13">
        <f t="shared" si="152"/>
        <v>30.08403935185197</v>
      </c>
      <c r="O1254" s="13">
        <f t="shared" si="153"/>
        <v>1.8115624999991269</v>
      </c>
      <c r="P1254" t="str">
        <f t="shared" si="154"/>
        <v>Delayed</v>
      </c>
      <c r="Q1254" s="13">
        <f t="shared" si="155"/>
        <v>0.38305555551778525</v>
      </c>
      <c r="R1254" s="13">
        <f t="shared" si="156"/>
        <v>3.2070949074113742</v>
      </c>
      <c r="S1254" s="13">
        <f t="shared" si="157"/>
        <v>26.860983796294022</v>
      </c>
      <c r="T1254" t="str">
        <f t="shared" si="158"/>
        <v>1-3 Days Late</v>
      </c>
      <c r="U1254" t="str">
        <f t="shared" si="159"/>
        <v>Needs Review</v>
      </c>
      <c r="V1254" t="s">
        <v>102</v>
      </c>
    </row>
    <row r="1255" spans="1:22">
      <c r="A1255" t="s">
        <v>1896</v>
      </c>
      <c r="B1255" s="10">
        <v>43177.777789351851</v>
      </c>
      <c r="C1255" s="10">
        <v>43177.785046296296</v>
      </c>
      <c r="D1255" s="10">
        <v>43178.852395833332</v>
      </c>
      <c r="E1255" s="10">
        <v>43190.654583333337</v>
      </c>
      <c r="F1255" s="10">
        <v>43199</v>
      </c>
      <c r="G1255" t="s">
        <v>23</v>
      </c>
      <c r="H1255" t="s">
        <v>275</v>
      </c>
      <c r="I1255" t="s">
        <v>141</v>
      </c>
      <c r="J1255" s="11">
        <v>1</v>
      </c>
      <c r="K1255" s="12">
        <v>119</v>
      </c>
      <c r="L1255" s="12">
        <v>63.98</v>
      </c>
      <c r="M1255" s="13">
        <v>5</v>
      </c>
      <c r="N1255" s="13">
        <f t="shared" si="152"/>
        <v>12.876793981486117</v>
      </c>
      <c r="O1255" s="13">
        <f t="shared" si="153"/>
        <v>0</v>
      </c>
      <c r="P1255" t="str">
        <f t="shared" si="154"/>
        <v>On Time</v>
      </c>
      <c r="Q1255" s="13">
        <f t="shared" si="155"/>
        <v>0.17416666669305414</v>
      </c>
      <c r="R1255" s="13">
        <f t="shared" si="156"/>
        <v>1.067349537035625</v>
      </c>
      <c r="S1255" s="13">
        <f t="shared" si="157"/>
        <v>11.802187500004948</v>
      </c>
      <c r="T1255" t="str">
        <f t="shared" si="158"/>
        <v>On Time/Early</v>
      </c>
      <c r="U1255" t="str">
        <f t="shared" si="159"/>
        <v>Normal</v>
      </c>
      <c r="V1255" t="s">
        <v>102</v>
      </c>
    </row>
    <row r="1256" spans="1:22">
      <c r="A1256" t="s">
        <v>1897</v>
      </c>
      <c r="B1256" s="10">
        <v>43177.905763888892</v>
      </c>
      <c r="C1256" s="10">
        <v>43177.922002314815</v>
      </c>
      <c r="D1256" s="10">
        <v>43178.811481481483</v>
      </c>
      <c r="E1256" s="10">
        <v>43187.961331018516</v>
      </c>
      <c r="F1256" s="10">
        <v>43195</v>
      </c>
      <c r="G1256" t="s">
        <v>8</v>
      </c>
      <c r="H1256" t="s">
        <v>1898</v>
      </c>
      <c r="I1256" t="s">
        <v>180</v>
      </c>
      <c r="J1256" s="11">
        <v>1</v>
      </c>
      <c r="K1256" s="12">
        <v>199.9</v>
      </c>
      <c r="L1256" s="12">
        <v>17.03</v>
      </c>
      <c r="M1256" s="13">
        <v>5</v>
      </c>
      <c r="N1256" s="13">
        <f t="shared" si="152"/>
        <v>10.055567129624251</v>
      </c>
      <c r="O1256" s="13">
        <f t="shared" si="153"/>
        <v>0</v>
      </c>
      <c r="P1256" t="str">
        <f t="shared" si="154"/>
        <v>On Time</v>
      </c>
      <c r="Q1256" s="13">
        <f t="shared" si="155"/>
        <v>0.38972222217125818</v>
      </c>
      <c r="R1256" s="13">
        <f t="shared" si="156"/>
        <v>0.88947916666802485</v>
      </c>
      <c r="S1256" s="13">
        <f t="shared" si="157"/>
        <v>9.1498495370324235</v>
      </c>
      <c r="T1256" t="str">
        <f t="shared" si="158"/>
        <v>On Time/Early</v>
      </c>
      <c r="U1256" t="str">
        <f t="shared" si="159"/>
        <v>Normal</v>
      </c>
      <c r="V1256" t="s">
        <v>102</v>
      </c>
    </row>
    <row r="1257" spans="1:22">
      <c r="A1257" t="s">
        <v>1899</v>
      </c>
      <c r="B1257" s="10">
        <v>43177.99119212963</v>
      </c>
      <c r="C1257" s="10">
        <v>43178.03496527778</v>
      </c>
      <c r="D1257" s="10">
        <v>43181.797997685186</v>
      </c>
      <c r="E1257" s="10">
        <v>43185.983958333331</v>
      </c>
      <c r="F1257" s="10">
        <v>43188</v>
      </c>
      <c r="G1257" t="s">
        <v>8</v>
      </c>
      <c r="H1257" t="s">
        <v>907</v>
      </c>
      <c r="I1257" t="s">
        <v>123</v>
      </c>
      <c r="J1257" s="11">
        <v>1</v>
      </c>
      <c r="K1257" s="12">
        <v>66.89</v>
      </c>
      <c r="L1257" s="12">
        <v>7.39</v>
      </c>
      <c r="M1257" s="13">
        <v>5</v>
      </c>
      <c r="N1257" s="13">
        <f t="shared" si="152"/>
        <v>7.9927662037007394</v>
      </c>
      <c r="O1257" s="13">
        <f t="shared" si="153"/>
        <v>0</v>
      </c>
      <c r="P1257" t="str">
        <f t="shared" si="154"/>
        <v>On Time</v>
      </c>
      <c r="Q1257" s="13">
        <f t="shared" si="155"/>
        <v>1.0505555556155741</v>
      </c>
      <c r="R1257" s="13">
        <f t="shared" si="156"/>
        <v>3.7630324074052623</v>
      </c>
      <c r="S1257" s="13">
        <f t="shared" si="157"/>
        <v>4.1859606481448282</v>
      </c>
      <c r="T1257" t="str">
        <f t="shared" si="158"/>
        <v>On Time/Early</v>
      </c>
      <c r="U1257" t="str">
        <f t="shared" si="159"/>
        <v>Normal</v>
      </c>
      <c r="V1257" t="s">
        <v>102</v>
      </c>
    </row>
    <row r="1258" spans="1:22">
      <c r="A1258" t="s">
        <v>1900</v>
      </c>
      <c r="B1258" s="10">
        <v>43178.243622685186</v>
      </c>
      <c r="C1258" s="10">
        <v>43178.256516203706</v>
      </c>
      <c r="D1258" s="10">
        <v>43179.832569444443</v>
      </c>
      <c r="E1258" s="10">
        <v>43200.789189814815</v>
      </c>
      <c r="F1258" s="10">
        <v>43200</v>
      </c>
      <c r="G1258" t="s">
        <v>33</v>
      </c>
      <c r="H1258" t="s">
        <v>1647</v>
      </c>
      <c r="I1258" t="s">
        <v>101</v>
      </c>
      <c r="J1258" s="11">
        <v>1</v>
      </c>
      <c r="K1258" s="12">
        <v>99.9</v>
      </c>
      <c r="L1258" s="12">
        <v>23.28</v>
      </c>
      <c r="M1258" s="13">
        <v>4</v>
      </c>
      <c r="N1258" s="13">
        <f t="shared" si="152"/>
        <v>22.54556712962949</v>
      </c>
      <c r="O1258" s="13">
        <f t="shared" si="153"/>
        <v>0.78918981481547235</v>
      </c>
      <c r="P1258" t="str">
        <f t="shared" si="154"/>
        <v>Delayed</v>
      </c>
      <c r="Q1258" s="13">
        <f t="shared" si="155"/>
        <v>0.30944444448687136</v>
      </c>
      <c r="R1258" s="13">
        <f t="shared" si="156"/>
        <v>1.5760532407366554</v>
      </c>
      <c r="S1258" s="13">
        <f t="shared" si="157"/>
        <v>20.956620370372548</v>
      </c>
      <c r="T1258" t="str">
        <f t="shared" si="158"/>
        <v>1-3 Days Late</v>
      </c>
      <c r="U1258" t="str">
        <f t="shared" si="159"/>
        <v>Needs Review</v>
      </c>
      <c r="V1258" t="s">
        <v>102</v>
      </c>
    </row>
    <row r="1259" spans="1:22">
      <c r="A1259" t="s">
        <v>1901</v>
      </c>
      <c r="B1259" s="10">
        <v>43178.284016203703</v>
      </c>
      <c r="C1259" s="10">
        <v>43180.122141203705</v>
      </c>
      <c r="D1259" s="10">
        <v>43185.817569444444</v>
      </c>
      <c r="E1259" s="10">
        <v>43190.671284722222</v>
      </c>
      <c r="F1259" s="10">
        <v>43188</v>
      </c>
      <c r="G1259" t="s">
        <v>8</v>
      </c>
      <c r="H1259" t="s">
        <v>1693</v>
      </c>
      <c r="I1259" t="s">
        <v>120</v>
      </c>
      <c r="J1259" s="11">
        <v>1</v>
      </c>
      <c r="K1259" s="12">
        <v>89.8</v>
      </c>
      <c r="L1259" s="12">
        <v>7.97</v>
      </c>
      <c r="M1259" s="13">
        <v>5</v>
      </c>
      <c r="N1259" s="13">
        <f t="shared" si="152"/>
        <v>12.387268518519704</v>
      </c>
      <c r="O1259" s="13">
        <f t="shared" si="153"/>
        <v>2.6712847222224809</v>
      </c>
      <c r="P1259" t="str">
        <f t="shared" si="154"/>
        <v>Delayed</v>
      </c>
      <c r="Q1259" s="13">
        <f t="shared" si="155"/>
        <v>44.115000000048894</v>
      </c>
      <c r="R1259" s="13">
        <f t="shared" si="156"/>
        <v>5.6954282407386927</v>
      </c>
      <c r="S1259" s="13">
        <f t="shared" si="157"/>
        <v>4.8537152777789743</v>
      </c>
      <c r="T1259" t="str">
        <f t="shared" si="158"/>
        <v>1-3 Days Late</v>
      </c>
      <c r="U1259" t="str">
        <f t="shared" si="159"/>
        <v>Needs Review</v>
      </c>
      <c r="V1259" t="s">
        <v>102</v>
      </c>
    </row>
    <row r="1260" spans="1:22">
      <c r="A1260" t="s">
        <v>1902</v>
      </c>
      <c r="B1260" s="10">
        <v>43178.423750000002</v>
      </c>
      <c r="C1260" s="10">
        <v>43178.435601851852</v>
      </c>
      <c r="D1260" s="10">
        <v>43178.978136574071</v>
      </c>
      <c r="E1260" s="10">
        <v>43179.684687499997</v>
      </c>
      <c r="F1260" s="10">
        <v>43188</v>
      </c>
      <c r="G1260" t="s">
        <v>8</v>
      </c>
      <c r="H1260" t="s">
        <v>309</v>
      </c>
      <c r="I1260" t="s">
        <v>120</v>
      </c>
      <c r="J1260" s="11">
        <v>1</v>
      </c>
      <c r="K1260" s="12">
        <v>29.99</v>
      </c>
      <c r="L1260" s="12">
        <v>8.2899999999999991</v>
      </c>
      <c r="M1260" s="13">
        <v>5</v>
      </c>
      <c r="N1260" s="13">
        <f t="shared" si="152"/>
        <v>1.2609374999956344</v>
      </c>
      <c r="O1260" s="13">
        <f t="shared" si="153"/>
        <v>0</v>
      </c>
      <c r="P1260" t="str">
        <f t="shared" si="154"/>
        <v>On Time</v>
      </c>
      <c r="Q1260" s="13">
        <f t="shared" si="155"/>
        <v>0.28444444440538064</v>
      </c>
      <c r="R1260" s="13">
        <f t="shared" si="156"/>
        <v>0.54253472221898846</v>
      </c>
      <c r="S1260" s="13">
        <f t="shared" si="157"/>
        <v>0.70655092592642177</v>
      </c>
      <c r="T1260" t="str">
        <f t="shared" si="158"/>
        <v>On Time/Early</v>
      </c>
      <c r="U1260" t="str">
        <f t="shared" si="159"/>
        <v>Normal</v>
      </c>
      <c r="V1260" t="s">
        <v>102</v>
      </c>
    </row>
    <row r="1261" spans="1:22">
      <c r="A1261" t="s">
        <v>1903</v>
      </c>
      <c r="B1261" s="10">
        <v>43178.505949074075</v>
      </c>
      <c r="C1261" s="10">
        <v>43179.132534722223</v>
      </c>
      <c r="D1261" s="10">
        <v>43201.987233796295</v>
      </c>
      <c r="E1261" s="10">
        <v>43215.545335648145</v>
      </c>
      <c r="F1261" s="10">
        <v>43208</v>
      </c>
      <c r="G1261" t="s">
        <v>30</v>
      </c>
      <c r="H1261" t="s">
        <v>1904</v>
      </c>
      <c r="I1261" t="s">
        <v>101</v>
      </c>
      <c r="J1261" s="11">
        <v>1</v>
      </c>
      <c r="K1261" s="12">
        <v>289</v>
      </c>
      <c r="L1261" s="12">
        <v>41.12</v>
      </c>
      <c r="M1261" s="13">
        <v>1</v>
      </c>
      <c r="N1261" s="13">
        <f t="shared" si="152"/>
        <v>37.039386574069795</v>
      </c>
      <c r="O1261" s="13">
        <f t="shared" si="153"/>
        <v>7.5453356481448282</v>
      </c>
      <c r="P1261" t="str">
        <f t="shared" si="154"/>
        <v>Delayed</v>
      </c>
      <c r="Q1261" s="13">
        <f t="shared" si="155"/>
        <v>15.038055555545725</v>
      </c>
      <c r="R1261" s="13">
        <f t="shared" si="156"/>
        <v>22.854699074072414</v>
      </c>
      <c r="S1261" s="13">
        <f t="shared" si="157"/>
        <v>13.558101851849642</v>
      </c>
      <c r="T1261" t="str">
        <f t="shared" si="158"/>
        <v>8+ Days Late</v>
      </c>
      <c r="U1261" t="str">
        <f t="shared" si="159"/>
        <v>Needs Review</v>
      </c>
      <c r="V1261" t="s">
        <v>102</v>
      </c>
    </row>
    <row r="1262" spans="1:22">
      <c r="A1262" t="s">
        <v>1905</v>
      </c>
      <c r="B1262" s="10">
        <v>43178.544166666667</v>
      </c>
      <c r="C1262" s="10">
        <v>43178.576365740744</v>
      </c>
      <c r="D1262" s="10">
        <v>43179.94</v>
      </c>
      <c r="E1262" s="10">
        <v>43204.528831018521</v>
      </c>
      <c r="F1262" s="10">
        <v>43201</v>
      </c>
      <c r="G1262" t="s">
        <v>36</v>
      </c>
      <c r="H1262" t="s">
        <v>462</v>
      </c>
      <c r="I1262" t="s">
        <v>136</v>
      </c>
      <c r="J1262" s="11">
        <v>1</v>
      </c>
      <c r="K1262" s="12">
        <v>169</v>
      </c>
      <c r="L1262" s="12">
        <v>36.31</v>
      </c>
      <c r="M1262" s="13">
        <v>1</v>
      </c>
      <c r="N1262" s="13">
        <f t="shared" si="152"/>
        <v>25.984664351854008</v>
      </c>
      <c r="O1262" s="13">
        <f t="shared" si="153"/>
        <v>3.5288310185205773</v>
      </c>
      <c r="P1262" t="str">
        <f t="shared" si="154"/>
        <v>Delayed</v>
      </c>
      <c r="Q1262" s="13">
        <f t="shared" si="155"/>
        <v>0.77277777786366642</v>
      </c>
      <c r="R1262" s="13">
        <f t="shared" si="156"/>
        <v>1.3636342592581059</v>
      </c>
      <c r="S1262" s="13">
        <f t="shared" si="157"/>
        <v>24.588831018518249</v>
      </c>
      <c r="T1262" t="str">
        <f t="shared" si="158"/>
        <v>4-7 Days Late</v>
      </c>
      <c r="U1262" t="str">
        <f t="shared" si="159"/>
        <v>Needs Review</v>
      </c>
      <c r="V1262" t="s">
        <v>102</v>
      </c>
    </row>
    <row r="1263" spans="1:22">
      <c r="A1263" t="s">
        <v>1906</v>
      </c>
      <c r="B1263" s="10">
        <v>43178.772569444445</v>
      </c>
      <c r="C1263" s="10">
        <v>43178.785185185188</v>
      </c>
      <c r="D1263" s="10">
        <v>43180.79488425926</v>
      </c>
      <c r="E1263" s="10">
        <v>43186.448969907404</v>
      </c>
      <c r="F1263" s="10">
        <v>43195</v>
      </c>
      <c r="G1263" t="s">
        <v>8</v>
      </c>
      <c r="H1263" t="s">
        <v>1907</v>
      </c>
      <c r="I1263" t="s">
        <v>221</v>
      </c>
      <c r="J1263" s="11">
        <v>1</v>
      </c>
      <c r="K1263" s="12">
        <v>115</v>
      </c>
      <c r="L1263" s="12">
        <v>13.25</v>
      </c>
      <c r="M1263" s="13">
        <v>5</v>
      </c>
      <c r="N1263" s="13">
        <f t="shared" si="152"/>
        <v>7.6764004629585543</v>
      </c>
      <c r="O1263" s="13">
        <f t="shared" si="153"/>
        <v>0</v>
      </c>
      <c r="P1263" t="str">
        <f t="shared" si="154"/>
        <v>On Time</v>
      </c>
      <c r="Q1263" s="13">
        <f t="shared" si="155"/>
        <v>0.30277777783339843</v>
      </c>
      <c r="R1263" s="13">
        <f t="shared" si="156"/>
        <v>2.0096990740712499</v>
      </c>
      <c r="S1263" s="13">
        <f t="shared" si="157"/>
        <v>5.6540856481442461</v>
      </c>
      <c r="T1263" t="str">
        <f t="shared" si="158"/>
        <v>On Time/Early</v>
      </c>
      <c r="U1263" t="str">
        <f t="shared" si="159"/>
        <v>Normal</v>
      </c>
      <c r="V1263" t="s">
        <v>102</v>
      </c>
    </row>
    <row r="1264" spans="1:22">
      <c r="A1264" t="s">
        <v>1908</v>
      </c>
      <c r="B1264" s="10">
        <v>43178.955127314817</v>
      </c>
      <c r="C1264" s="10">
        <v>43179.951828703706</v>
      </c>
      <c r="D1264" s="10">
        <v>43181.899942129632</v>
      </c>
      <c r="E1264" s="10">
        <v>43188.98064814815</v>
      </c>
      <c r="F1264" s="10">
        <v>43202</v>
      </c>
      <c r="G1264" t="s">
        <v>20</v>
      </c>
      <c r="H1264" t="s">
        <v>1909</v>
      </c>
      <c r="I1264" t="s">
        <v>101</v>
      </c>
      <c r="J1264" s="11">
        <v>2</v>
      </c>
      <c r="K1264" s="12">
        <v>500</v>
      </c>
      <c r="L1264" s="12">
        <v>181.46</v>
      </c>
      <c r="M1264" s="13">
        <v>1</v>
      </c>
      <c r="N1264" s="13">
        <f t="shared" si="152"/>
        <v>10.025520833332848</v>
      </c>
      <c r="O1264" s="13">
        <f t="shared" si="153"/>
        <v>0</v>
      </c>
      <c r="P1264" t="str">
        <f t="shared" si="154"/>
        <v>On Time</v>
      </c>
      <c r="Q1264" s="13">
        <f t="shared" si="155"/>
        <v>23.920833333337214</v>
      </c>
      <c r="R1264" s="13">
        <f t="shared" si="156"/>
        <v>1.9481134259258397</v>
      </c>
      <c r="S1264" s="13">
        <f t="shared" si="157"/>
        <v>7.080706018517958</v>
      </c>
      <c r="T1264" t="str">
        <f t="shared" si="158"/>
        <v>On Time/Early</v>
      </c>
      <c r="U1264" t="str">
        <f t="shared" si="159"/>
        <v>Normal</v>
      </c>
      <c r="V1264" t="s">
        <v>102</v>
      </c>
    </row>
    <row r="1265" spans="1:22">
      <c r="A1265" t="s">
        <v>1910</v>
      </c>
      <c r="B1265" s="10">
        <v>43179.324525462966</v>
      </c>
      <c r="C1265" s="10">
        <v>43180.118715277778</v>
      </c>
      <c r="D1265" s="10">
        <v>43180.825289351851</v>
      </c>
      <c r="E1265" s="10">
        <v>43186.864212962966</v>
      </c>
      <c r="F1265" s="10">
        <v>43201</v>
      </c>
      <c r="G1265" t="s">
        <v>8</v>
      </c>
      <c r="H1265" t="s">
        <v>1483</v>
      </c>
      <c r="I1265" t="s">
        <v>128</v>
      </c>
      <c r="J1265" s="11">
        <v>1</v>
      </c>
      <c r="K1265" s="12">
        <v>99.9</v>
      </c>
      <c r="L1265" s="12">
        <v>17</v>
      </c>
      <c r="M1265" s="13">
        <v>5</v>
      </c>
      <c r="N1265" s="13">
        <f t="shared" si="152"/>
        <v>7.5396875000005821</v>
      </c>
      <c r="O1265" s="13">
        <f t="shared" si="153"/>
        <v>0</v>
      </c>
      <c r="P1265" t="str">
        <f t="shared" si="154"/>
        <v>On Time</v>
      </c>
      <c r="Q1265" s="13">
        <f t="shared" si="155"/>
        <v>19.060555555508472</v>
      </c>
      <c r="R1265" s="13">
        <f t="shared" si="156"/>
        <v>0.70657407407270512</v>
      </c>
      <c r="S1265" s="13">
        <f t="shared" si="157"/>
        <v>6.038923611115024</v>
      </c>
      <c r="T1265" t="str">
        <f t="shared" si="158"/>
        <v>On Time/Early</v>
      </c>
      <c r="U1265" t="str">
        <f t="shared" si="159"/>
        <v>Normal</v>
      </c>
      <c r="V1265" t="s">
        <v>102</v>
      </c>
    </row>
    <row r="1266" spans="1:22">
      <c r="A1266" t="s">
        <v>1911</v>
      </c>
      <c r="B1266" s="10">
        <v>43179.386689814812</v>
      </c>
      <c r="C1266" s="10">
        <v>43179.427453703705</v>
      </c>
      <c r="D1266" s="10">
        <v>43180.796249999999</v>
      </c>
      <c r="E1266" s="10">
        <v>43185.653703703705</v>
      </c>
      <c r="F1266" s="10">
        <v>43196</v>
      </c>
      <c r="G1266" t="s">
        <v>8</v>
      </c>
      <c r="H1266" t="s">
        <v>1912</v>
      </c>
      <c r="I1266" t="s">
        <v>31</v>
      </c>
      <c r="J1266" s="11">
        <v>2</v>
      </c>
      <c r="K1266" s="12">
        <v>67.599999999999994</v>
      </c>
      <c r="L1266" s="12">
        <v>25.57</v>
      </c>
      <c r="M1266" s="13">
        <v>5</v>
      </c>
      <c r="N1266" s="13">
        <f t="shared" si="152"/>
        <v>6.2670138888934162</v>
      </c>
      <c r="O1266" s="13">
        <f t="shared" si="153"/>
        <v>0</v>
      </c>
      <c r="P1266" t="str">
        <f t="shared" si="154"/>
        <v>On Time</v>
      </c>
      <c r="Q1266" s="13">
        <f t="shared" si="155"/>
        <v>0.97833333344897255</v>
      </c>
      <c r="R1266" s="13">
        <f t="shared" si="156"/>
        <v>1.3687962962940219</v>
      </c>
      <c r="S1266" s="13">
        <f t="shared" si="157"/>
        <v>4.8574537037056871</v>
      </c>
      <c r="T1266" t="str">
        <f t="shared" si="158"/>
        <v>On Time/Early</v>
      </c>
      <c r="U1266" t="str">
        <f t="shared" si="159"/>
        <v>Normal</v>
      </c>
      <c r="V1266" t="s">
        <v>102</v>
      </c>
    </row>
    <row r="1267" spans="1:22">
      <c r="A1267" t="s">
        <v>1913</v>
      </c>
      <c r="B1267" s="10">
        <v>43179.435300925928</v>
      </c>
      <c r="C1267" s="10">
        <v>43179.450208333335</v>
      </c>
      <c r="D1267" s="10">
        <v>43180.912847222222</v>
      </c>
      <c r="E1267" s="10">
        <v>43194.836215277777</v>
      </c>
      <c r="F1267" s="10">
        <v>43203</v>
      </c>
      <c r="G1267" t="s">
        <v>20</v>
      </c>
      <c r="H1267" t="s">
        <v>1914</v>
      </c>
      <c r="I1267" t="s">
        <v>143</v>
      </c>
      <c r="J1267" s="11">
        <v>1</v>
      </c>
      <c r="K1267" s="12">
        <v>79.989999999999995</v>
      </c>
      <c r="L1267" s="12">
        <v>18.170000000000002</v>
      </c>
      <c r="M1267" s="13">
        <v>5</v>
      </c>
      <c r="N1267" s="13">
        <f t="shared" si="152"/>
        <v>15.400914351848769</v>
      </c>
      <c r="O1267" s="13">
        <f t="shared" si="153"/>
        <v>0</v>
      </c>
      <c r="P1267" t="str">
        <f t="shared" si="154"/>
        <v>On Time</v>
      </c>
      <c r="Q1267" s="13">
        <f t="shared" si="155"/>
        <v>0.35777777776820585</v>
      </c>
      <c r="R1267" s="13">
        <f t="shared" si="156"/>
        <v>1.4626388888864312</v>
      </c>
      <c r="S1267" s="13">
        <f t="shared" si="157"/>
        <v>13.923368055555329</v>
      </c>
      <c r="T1267" t="str">
        <f t="shared" si="158"/>
        <v>On Time/Early</v>
      </c>
      <c r="U1267" t="str">
        <f t="shared" si="159"/>
        <v>Normal</v>
      </c>
      <c r="V1267" t="s">
        <v>102</v>
      </c>
    </row>
    <row r="1268" spans="1:22">
      <c r="A1268" t="s">
        <v>1915</v>
      </c>
      <c r="B1268" s="10">
        <v>43179.475393518522</v>
      </c>
      <c r="C1268" s="10">
        <v>43179.492881944447</v>
      </c>
      <c r="D1268" s="10">
        <v>43180.797592592593</v>
      </c>
      <c r="E1268" s="10">
        <v>43182.663136574076</v>
      </c>
      <c r="F1268" s="10">
        <v>43192</v>
      </c>
      <c r="G1268" t="s">
        <v>8</v>
      </c>
      <c r="H1268" t="s">
        <v>140</v>
      </c>
      <c r="I1268" t="s">
        <v>31</v>
      </c>
      <c r="J1268" s="11">
        <v>1</v>
      </c>
      <c r="K1268" s="12">
        <v>17.989999999999998</v>
      </c>
      <c r="L1268" s="12">
        <v>8.2899999999999991</v>
      </c>
      <c r="M1268" s="13">
        <v>5</v>
      </c>
      <c r="N1268" s="13">
        <f t="shared" si="152"/>
        <v>3.187743055554165</v>
      </c>
      <c r="O1268" s="13">
        <f t="shared" si="153"/>
        <v>0</v>
      </c>
      <c r="P1268" t="str">
        <f t="shared" si="154"/>
        <v>On Time</v>
      </c>
      <c r="Q1268" s="13">
        <f t="shared" si="155"/>
        <v>0.41972222219919786</v>
      </c>
      <c r="R1268" s="13">
        <f t="shared" si="156"/>
        <v>1.3047106481462833</v>
      </c>
      <c r="S1268" s="13">
        <f t="shared" si="157"/>
        <v>1.8655439814829151</v>
      </c>
      <c r="T1268" t="str">
        <f t="shared" si="158"/>
        <v>On Time/Early</v>
      </c>
      <c r="U1268" t="str">
        <f t="shared" si="159"/>
        <v>Normal</v>
      </c>
      <c r="V1268" t="s">
        <v>102</v>
      </c>
    </row>
    <row r="1269" spans="1:22">
      <c r="A1269" t="s">
        <v>1916</v>
      </c>
      <c r="B1269" s="10">
        <v>43179.479004629633</v>
      </c>
      <c r="C1269" s="10">
        <v>43179.802372685182</v>
      </c>
      <c r="D1269" s="10">
        <v>43180.848402777781</v>
      </c>
      <c r="E1269" s="10">
        <v>43187.947881944441</v>
      </c>
      <c r="F1269" s="10">
        <v>43202</v>
      </c>
      <c r="G1269" t="s">
        <v>110</v>
      </c>
      <c r="H1269" t="s">
        <v>351</v>
      </c>
      <c r="I1269" t="s">
        <v>101</v>
      </c>
      <c r="J1269" s="11">
        <v>1</v>
      </c>
      <c r="K1269" s="12">
        <v>69.900000000000006</v>
      </c>
      <c r="L1269" s="12">
        <v>24.71</v>
      </c>
      <c r="M1269" s="13">
        <v>5</v>
      </c>
      <c r="N1269" s="13">
        <f t="shared" si="152"/>
        <v>8.4688773148081964</v>
      </c>
      <c r="O1269" s="13">
        <f t="shared" si="153"/>
        <v>0</v>
      </c>
      <c r="P1269" t="str">
        <f t="shared" si="154"/>
        <v>On Time</v>
      </c>
      <c r="Q1269" s="13">
        <f t="shared" si="155"/>
        <v>7.7608333331882022</v>
      </c>
      <c r="R1269" s="13">
        <f t="shared" si="156"/>
        <v>1.0460300925988122</v>
      </c>
      <c r="S1269" s="13">
        <f t="shared" si="157"/>
        <v>7.0994791666598758</v>
      </c>
      <c r="T1269" t="str">
        <f t="shared" si="158"/>
        <v>On Time/Early</v>
      </c>
      <c r="U1269" t="str">
        <f t="shared" si="159"/>
        <v>Normal</v>
      </c>
      <c r="V1269" t="s">
        <v>102</v>
      </c>
    </row>
    <row r="1270" spans="1:22">
      <c r="A1270" t="s">
        <v>1917</v>
      </c>
      <c r="B1270" s="10">
        <v>43179.544224537036</v>
      </c>
      <c r="C1270" s="10">
        <v>43181.117974537039</v>
      </c>
      <c r="D1270" s="10">
        <v>43182.557013888887</v>
      </c>
      <c r="E1270" s="10">
        <v>43196.938263888886</v>
      </c>
      <c r="F1270" s="10">
        <v>43201</v>
      </c>
      <c r="G1270" t="s">
        <v>20</v>
      </c>
      <c r="H1270" t="s">
        <v>1918</v>
      </c>
      <c r="I1270" t="s">
        <v>180</v>
      </c>
      <c r="J1270" s="11">
        <v>1</v>
      </c>
      <c r="K1270" s="12">
        <v>109.9</v>
      </c>
      <c r="L1270" s="12">
        <v>23.35</v>
      </c>
      <c r="M1270" s="13">
        <v>4</v>
      </c>
      <c r="N1270" s="13">
        <f t="shared" si="152"/>
        <v>17.394039351849642</v>
      </c>
      <c r="O1270" s="13">
        <f t="shared" si="153"/>
        <v>0</v>
      </c>
      <c r="P1270" t="str">
        <f t="shared" si="154"/>
        <v>On Time</v>
      </c>
      <c r="Q1270" s="13">
        <f t="shared" si="155"/>
        <v>37.770000000076834</v>
      </c>
      <c r="R1270" s="13">
        <f t="shared" si="156"/>
        <v>1.4390393518478959</v>
      </c>
      <c r="S1270" s="13">
        <f t="shared" si="157"/>
        <v>14.381249999998545</v>
      </c>
      <c r="T1270" t="str">
        <f t="shared" si="158"/>
        <v>On Time/Early</v>
      </c>
      <c r="U1270" t="str">
        <f t="shared" si="159"/>
        <v>Normal</v>
      </c>
      <c r="V1270" t="s">
        <v>102</v>
      </c>
    </row>
    <row r="1271" spans="1:22">
      <c r="A1271" t="s">
        <v>1919</v>
      </c>
      <c r="B1271" s="10">
        <v>43179.606400462966</v>
      </c>
      <c r="C1271" s="10">
        <v>43179.618668981479</v>
      </c>
      <c r="D1271" s="10">
        <v>43181.856238425928</v>
      </c>
      <c r="E1271" s="10">
        <v>43186.794444444444</v>
      </c>
      <c r="F1271" s="10">
        <v>43196</v>
      </c>
      <c r="G1271" t="s">
        <v>8</v>
      </c>
      <c r="H1271" t="s">
        <v>140</v>
      </c>
      <c r="I1271" t="s">
        <v>120</v>
      </c>
      <c r="J1271" s="11">
        <v>1</v>
      </c>
      <c r="K1271" s="12">
        <v>44</v>
      </c>
      <c r="L1271" s="12">
        <v>14.44</v>
      </c>
      <c r="M1271" s="13">
        <v>5</v>
      </c>
      <c r="N1271" s="13">
        <f t="shared" si="152"/>
        <v>7.1880439814776764</v>
      </c>
      <c r="O1271" s="13">
        <f t="shared" si="153"/>
        <v>0</v>
      </c>
      <c r="P1271" t="str">
        <f t="shared" si="154"/>
        <v>On Time</v>
      </c>
      <c r="Q1271" s="13">
        <f t="shared" si="155"/>
        <v>0.29444444429827854</v>
      </c>
      <c r="R1271" s="13">
        <f t="shared" si="156"/>
        <v>2.2375694444490364</v>
      </c>
      <c r="S1271" s="13">
        <f t="shared" si="157"/>
        <v>4.9382060185162118</v>
      </c>
      <c r="T1271" t="str">
        <f t="shared" si="158"/>
        <v>On Time/Early</v>
      </c>
      <c r="U1271" t="str">
        <f t="shared" si="159"/>
        <v>Normal</v>
      </c>
      <c r="V1271" t="s">
        <v>102</v>
      </c>
    </row>
    <row r="1272" spans="1:22">
      <c r="A1272" t="s">
        <v>1920</v>
      </c>
      <c r="B1272" s="10">
        <v>43179.637719907405</v>
      </c>
      <c r="C1272" s="10">
        <v>43179.649594907409</v>
      </c>
      <c r="D1272" s="10">
        <v>43182.869259259256</v>
      </c>
      <c r="E1272" s="10">
        <v>43187.706053240741</v>
      </c>
      <c r="F1272" s="10">
        <v>43210</v>
      </c>
      <c r="G1272" t="s">
        <v>8</v>
      </c>
      <c r="H1272" t="s">
        <v>140</v>
      </c>
      <c r="I1272" t="s">
        <v>141</v>
      </c>
      <c r="J1272" s="11">
        <v>1</v>
      </c>
      <c r="K1272" s="12">
        <v>49</v>
      </c>
      <c r="L1272" s="12">
        <v>16.32</v>
      </c>
      <c r="M1272" s="13">
        <v>5</v>
      </c>
      <c r="N1272" s="13">
        <f t="shared" si="152"/>
        <v>8.0683333333363407</v>
      </c>
      <c r="O1272" s="13">
        <f t="shared" si="153"/>
        <v>0</v>
      </c>
      <c r="P1272" t="str">
        <f t="shared" si="154"/>
        <v>On Time</v>
      </c>
      <c r="Q1272" s="13">
        <f t="shared" si="155"/>
        <v>0.28500000009080395</v>
      </c>
      <c r="R1272" s="13">
        <f t="shared" si="156"/>
        <v>3.2196643518473138</v>
      </c>
      <c r="S1272" s="13">
        <f t="shared" si="157"/>
        <v>4.8367939814852434</v>
      </c>
      <c r="T1272" t="str">
        <f t="shared" si="158"/>
        <v>On Time/Early</v>
      </c>
      <c r="U1272" t="str">
        <f t="shared" si="159"/>
        <v>Normal</v>
      </c>
      <c r="V1272" t="s">
        <v>102</v>
      </c>
    </row>
    <row r="1273" spans="1:22">
      <c r="A1273" t="s">
        <v>1921</v>
      </c>
      <c r="B1273" s="10">
        <v>43179.793321759258</v>
      </c>
      <c r="C1273" s="10">
        <v>43179.802476851852</v>
      </c>
      <c r="D1273" s="10">
        <v>43180.79074074074</v>
      </c>
      <c r="E1273" s="10">
        <v>43187.883599537039</v>
      </c>
      <c r="F1273" s="10">
        <v>43202</v>
      </c>
      <c r="G1273" t="s">
        <v>20</v>
      </c>
      <c r="H1273" t="s">
        <v>1922</v>
      </c>
      <c r="I1273" t="s">
        <v>101</v>
      </c>
      <c r="J1273" s="11">
        <v>2</v>
      </c>
      <c r="K1273" s="12">
        <v>83.9</v>
      </c>
      <c r="L1273" s="12">
        <v>42.67</v>
      </c>
      <c r="M1273" s="13">
        <v>5</v>
      </c>
      <c r="N1273" s="13">
        <f t="shared" si="152"/>
        <v>8.0902777777810115</v>
      </c>
      <c r="O1273" s="13">
        <f t="shared" si="153"/>
        <v>0</v>
      </c>
      <c r="P1273" t="str">
        <f t="shared" si="154"/>
        <v>On Time</v>
      </c>
      <c r="Q1273" s="13">
        <f t="shared" si="155"/>
        <v>0.21972222224576399</v>
      </c>
      <c r="R1273" s="13">
        <f t="shared" si="156"/>
        <v>0.9882638888884685</v>
      </c>
      <c r="S1273" s="13">
        <f t="shared" si="157"/>
        <v>7.0928587962989695</v>
      </c>
      <c r="T1273" t="str">
        <f t="shared" si="158"/>
        <v>On Time/Early</v>
      </c>
      <c r="U1273" t="str">
        <f t="shared" si="159"/>
        <v>Normal</v>
      </c>
      <c r="V1273" t="s">
        <v>102</v>
      </c>
    </row>
    <row r="1274" spans="1:22">
      <c r="A1274" t="s">
        <v>1923</v>
      </c>
      <c r="B1274" s="10">
        <v>43180.428969907407</v>
      </c>
      <c r="C1274" s="10">
        <v>43180.437754629631</v>
      </c>
      <c r="D1274" s="10">
        <v>43181.889456018522</v>
      </c>
      <c r="E1274" s="10">
        <v>43186.832465277781</v>
      </c>
      <c r="F1274" s="10">
        <v>43199</v>
      </c>
      <c r="G1274" t="s">
        <v>8</v>
      </c>
      <c r="H1274" t="s">
        <v>171</v>
      </c>
      <c r="I1274" t="s">
        <v>185</v>
      </c>
      <c r="J1274" s="11">
        <v>1</v>
      </c>
      <c r="K1274" s="12">
        <v>79.900000000000006</v>
      </c>
      <c r="L1274" s="12">
        <v>14.65</v>
      </c>
      <c r="M1274" s="13">
        <v>5</v>
      </c>
      <c r="N1274" s="13">
        <f t="shared" si="152"/>
        <v>6.403495370374003</v>
      </c>
      <c r="O1274" s="13">
        <f t="shared" si="153"/>
        <v>0</v>
      </c>
      <c r="P1274" t="str">
        <f t="shared" si="154"/>
        <v>On Time</v>
      </c>
      <c r="Q1274" s="13">
        <f t="shared" si="155"/>
        <v>0.21083333337446675</v>
      </c>
      <c r="R1274" s="13">
        <f t="shared" si="156"/>
        <v>1.4517013888907968</v>
      </c>
      <c r="S1274" s="13">
        <f t="shared" si="157"/>
        <v>4.94300925925927</v>
      </c>
      <c r="T1274" t="str">
        <f t="shared" si="158"/>
        <v>On Time/Early</v>
      </c>
      <c r="U1274" t="str">
        <f t="shared" si="159"/>
        <v>Normal</v>
      </c>
      <c r="V1274" t="s">
        <v>102</v>
      </c>
    </row>
    <row r="1275" spans="1:22">
      <c r="A1275" t="s">
        <v>1924</v>
      </c>
      <c r="B1275" s="10">
        <v>43180.478796296295</v>
      </c>
      <c r="C1275" s="10">
        <v>43181.482916666668</v>
      </c>
      <c r="D1275" s="10">
        <v>43183.425034722219</v>
      </c>
      <c r="E1275" s="10">
        <v>43200.855983796297</v>
      </c>
      <c r="F1275" s="10">
        <v>43203</v>
      </c>
      <c r="G1275" t="s">
        <v>23</v>
      </c>
      <c r="H1275" t="s">
        <v>275</v>
      </c>
      <c r="I1275" t="s">
        <v>180</v>
      </c>
      <c r="J1275" s="11">
        <v>1</v>
      </c>
      <c r="K1275" s="12">
        <v>52.11</v>
      </c>
      <c r="L1275" s="12">
        <v>22.07</v>
      </c>
      <c r="M1275" s="13">
        <v>5</v>
      </c>
      <c r="N1275" s="13">
        <f t="shared" si="152"/>
        <v>20.377187500002037</v>
      </c>
      <c r="O1275" s="13">
        <f t="shared" si="153"/>
        <v>0</v>
      </c>
      <c r="P1275" t="str">
        <f t="shared" si="154"/>
        <v>On Time</v>
      </c>
      <c r="Q1275" s="13">
        <f t="shared" si="155"/>
        <v>24.098888888955116</v>
      </c>
      <c r="R1275" s="13">
        <f t="shared" si="156"/>
        <v>1.9421180555509636</v>
      </c>
      <c r="S1275" s="13">
        <f t="shared" si="157"/>
        <v>17.430949074077944</v>
      </c>
      <c r="T1275" t="str">
        <f t="shared" si="158"/>
        <v>On Time/Early</v>
      </c>
      <c r="U1275" t="str">
        <f t="shared" si="159"/>
        <v>Normal</v>
      </c>
      <c r="V1275" t="s">
        <v>102</v>
      </c>
    </row>
    <row r="1276" spans="1:22">
      <c r="A1276" t="s">
        <v>1925</v>
      </c>
      <c r="B1276" s="10">
        <v>43180.54241898148</v>
      </c>
      <c r="C1276" s="10">
        <v>43180.549004629633</v>
      </c>
      <c r="D1276" s="10">
        <v>43181.853425925925</v>
      </c>
      <c r="E1276" s="10">
        <v>43183.608622685184</v>
      </c>
      <c r="F1276" s="10">
        <v>43203</v>
      </c>
      <c r="G1276" t="s">
        <v>30</v>
      </c>
      <c r="H1276" t="s">
        <v>1287</v>
      </c>
      <c r="I1276" t="s">
        <v>141</v>
      </c>
      <c r="J1276" s="11">
        <v>1</v>
      </c>
      <c r="K1276" s="12">
        <v>122</v>
      </c>
      <c r="L1276" s="12">
        <v>18.68</v>
      </c>
      <c r="M1276" s="13">
        <v>4</v>
      </c>
      <c r="N1276" s="13">
        <f t="shared" si="152"/>
        <v>3.0662037037036498</v>
      </c>
      <c r="O1276" s="13">
        <f t="shared" si="153"/>
        <v>0</v>
      </c>
      <c r="P1276" t="str">
        <f t="shared" si="154"/>
        <v>On Time</v>
      </c>
      <c r="Q1276" s="13">
        <f t="shared" si="155"/>
        <v>0.15805555565748364</v>
      </c>
      <c r="R1276" s="13">
        <f t="shared" si="156"/>
        <v>1.3044212962922757</v>
      </c>
      <c r="S1276" s="13">
        <f t="shared" si="157"/>
        <v>1.755196759258979</v>
      </c>
      <c r="T1276" t="str">
        <f t="shared" si="158"/>
        <v>On Time/Early</v>
      </c>
      <c r="U1276" t="str">
        <f t="shared" si="159"/>
        <v>Normal</v>
      </c>
      <c r="V1276" t="s">
        <v>102</v>
      </c>
    </row>
    <row r="1277" spans="1:22">
      <c r="A1277" t="s">
        <v>1926</v>
      </c>
      <c r="B1277" s="10">
        <v>43180.559537037036</v>
      </c>
      <c r="C1277" s="10">
        <v>43180.575023148151</v>
      </c>
      <c r="D1277" s="10">
        <v>43182.050752314812</v>
      </c>
      <c r="E1277" s="10">
        <v>43186.93922453704</v>
      </c>
      <c r="F1277" s="10">
        <v>43199</v>
      </c>
      <c r="G1277" t="s">
        <v>8</v>
      </c>
      <c r="H1277" t="s">
        <v>1907</v>
      </c>
      <c r="I1277" t="s">
        <v>279</v>
      </c>
      <c r="J1277" s="11">
        <v>1</v>
      </c>
      <c r="K1277" s="12">
        <v>49.9</v>
      </c>
      <c r="L1277" s="12">
        <v>12.79</v>
      </c>
      <c r="M1277" s="13">
        <v>5</v>
      </c>
      <c r="N1277" s="13">
        <f t="shared" si="152"/>
        <v>6.3796875000043656</v>
      </c>
      <c r="O1277" s="13">
        <f t="shared" si="153"/>
        <v>0</v>
      </c>
      <c r="P1277" t="str">
        <f t="shared" si="154"/>
        <v>On Time</v>
      </c>
      <c r="Q1277" s="13">
        <f t="shared" si="155"/>
        <v>0.37166666676057503</v>
      </c>
      <c r="R1277" s="13">
        <f t="shared" si="156"/>
        <v>1.4757291666610399</v>
      </c>
      <c r="S1277" s="13">
        <f t="shared" si="157"/>
        <v>4.8884722222283017</v>
      </c>
      <c r="T1277" t="str">
        <f t="shared" si="158"/>
        <v>On Time/Early</v>
      </c>
      <c r="U1277" t="str">
        <f t="shared" si="159"/>
        <v>Normal</v>
      </c>
      <c r="V1277" t="s">
        <v>102</v>
      </c>
    </row>
    <row r="1278" spans="1:22">
      <c r="A1278" t="s">
        <v>1927</v>
      </c>
      <c r="B1278" s="10">
        <v>43180.596030092594</v>
      </c>
      <c r="C1278" s="10">
        <v>43181.122303240743</v>
      </c>
      <c r="D1278" s="10">
        <v>43182.571481481478</v>
      </c>
      <c r="E1278" s="10">
        <v>43202.717418981483</v>
      </c>
      <c r="F1278" s="10">
        <v>43214</v>
      </c>
      <c r="G1278" t="s">
        <v>16</v>
      </c>
      <c r="H1278" t="s">
        <v>138</v>
      </c>
      <c r="I1278" t="s">
        <v>180</v>
      </c>
      <c r="J1278" s="11">
        <v>1</v>
      </c>
      <c r="K1278" s="12">
        <v>85.9</v>
      </c>
      <c r="L1278" s="12">
        <v>23.18</v>
      </c>
      <c r="M1278" s="13">
        <v>4</v>
      </c>
      <c r="N1278" s="13">
        <f t="shared" si="152"/>
        <v>22.12138888888876</v>
      </c>
      <c r="O1278" s="13">
        <f t="shared" si="153"/>
        <v>0</v>
      </c>
      <c r="P1278" t="str">
        <f t="shared" si="154"/>
        <v>On Time</v>
      </c>
      <c r="Q1278" s="13">
        <f t="shared" si="155"/>
        <v>12.630555555573665</v>
      </c>
      <c r="R1278" s="13">
        <f t="shared" si="156"/>
        <v>1.4491782407349092</v>
      </c>
      <c r="S1278" s="13">
        <f t="shared" si="157"/>
        <v>20.145937500004948</v>
      </c>
      <c r="T1278" t="str">
        <f t="shared" si="158"/>
        <v>On Time/Early</v>
      </c>
      <c r="U1278" t="str">
        <f t="shared" si="159"/>
        <v>Normal</v>
      </c>
      <c r="V1278" t="s">
        <v>102</v>
      </c>
    </row>
    <row r="1279" spans="1:22">
      <c r="A1279" t="s">
        <v>1928</v>
      </c>
      <c r="B1279" s="10">
        <v>43180.80400462963</v>
      </c>
      <c r="C1279" s="10">
        <v>43180.812939814816</v>
      </c>
      <c r="D1279" s="10">
        <v>43182.033726851849</v>
      </c>
      <c r="E1279" s="10">
        <v>43187.692152777781</v>
      </c>
      <c r="F1279" s="10">
        <v>43203</v>
      </c>
      <c r="G1279" t="s">
        <v>36</v>
      </c>
      <c r="H1279" t="s">
        <v>1929</v>
      </c>
      <c r="I1279" t="s">
        <v>118</v>
      </c>
      <c r="J1279" s="11">
        <v>1</v>
      </c>
      <c r="K1279" s="12">
        <v>24.99</v>
      </c>
      <c r="L1279" s="12">
        <v>18.23</v>
      </c>
      <c r="M1279" s="13">
        <v>4</v>
      </c>
      <c r="N1279" s="13">
        <f t="shared" si="152"/>
        <v>6.888148148151231</v>
      </c>
      <c r="O1279" s="13">
        <f t="shared" si="153"/>
        <v>0</v>
      </c>
      <c r="P1279" t="str">
        <f t="shared" si="154"/>
        <v>On Time</v>
      </c>
      <c r="Q1279" s="13">
        <f t="shared" si="155"/>
        <v>0.21444444445660338</v>
      </c>
      <c r="R1279" s="13">
        <f t="shared" si="156"/>
        <v>1.2207870370330056</v>
      </c>
      <c r="S1279" s="13">
        <f t="shared" si="157"/>
        <v>5.6584259259325336</v>
      </c>
      <c r="T1279" t="str">
        <f t="shared" si="158"/>
        <v>On Time/Early</v>
      </c>
      <c r="U1279" t="str">
        <f t="shared" si="159"/>
        <v>Normal</v>
      </c>
      <c r="V1279" t="s">
        <v>102</v>
      </c>
    </row>
    <row r="1280" spans="1:22">
      <c r="A1280" t="s">
        <v>1930</v>
      </c>
      <c r="B1280" s="10">
        <v>43180.857002314813</v>
      </c>
      <c r="C1280" s="10">
        <v>43180.866608796299</v>
      </c>
      <c r="D1280" s="10">
        <v>43182.761435185188</v>
      </c>
      <c r="E1280" s="10">
        <v>43203.549849537034</v>
      </c>
      <c r="F1280" s="10">
        <v>43208</v>
      </c>
      <c r="G1280" t="s">
        <v>30</v>
      </c>
      <c r="H1280" t="s">
        <v>729</v>
      </c>
      <c r="I1280" t="s">
        <v>136</v>
      </c>
      <c r="J1280" s="11">
        <v>1</v>
      </c>
      <c r="K1280" s="12">
        <v>369.49</v>
      </c>
      <c r="L1280" s="12">
        <v>98.4</v>
      </c>
      <c r="M1280" s="13">
        <v>5</v>
      </c>
      <c r="N1280" s="13">
        <f t="shared" si="152"/>
        <v>22.692847222220735</v>
      </c>
      <c r="O1280" s="13">
        <f t="shared" si="153"/>
        <v>0</v>
      </c>
      <c r="P1280" t="str">
        <f t="shared" si="154"/>
        <v>On Time</v>
      </c>
      <c r="Q1280" s="13">
        <f t="shared" si="155"/>
        <v>0.23055555566679686</v>
      </c>
      <c r="R1280" s="13">
        <f t="shared" si="156"/>
        <v>1.8948263888887595</v>
      </c>
      <c r="S1280" s="13">
        <f t="shared" si="157"/>
        <v>20.788414351845859</v>
      </c>
      <c r="T1280" t="str">
        <f t="shared" si="158"/>
        <v>On Time/Early</v>
      </c>
      <c r="U1280" t="str">
        <f t="shared" si="159"/>
        <v>Normal</v>
      </c>
      <c r="V1280" t="s">
        <v>102</v>
      </c>
    </row>
    <row r="1281" spans="1:22">
      <c r="A1281" t="s">
        <v>1931</v>
      </c>
      <c r="B1281" s="10">
        <v>43180.857349537036</v>
      </c>
      <c r="C1281" s="10">
        <v>43180.868356481478</v>
      </c>
      <c r="D1281" s="10">
        <v>43181.796296296299</v>
      </c>
      <c r="E1281" s="10">
        <v>43188.135104166664</v>
      </c>
      <c r="F1281" s="10">
        <v>43199</v>
      </c>
      <c r="G1281" t="s">
        <v>8</v>
      </c>
      <c r="H1281" t="s">
        <v>140</v>
      </c>
      <c r="I1281" t="s">
        <v>101</v>
      </c>
      <c r="J1281" s="11">
        <v>1</v>
      </c>
      <c r="K1281" s="12">
        <v>17.899999999999999</v>
      </c>
      <c r="L1281" s="12">
        <v>15.23</v>
      </c>
      <c r="M1281" s="13">
        <v>4</v>
      </c>
      <c r="N1281" s="13">
        <f t="shared" si="152"/>
        <v>7.2777546296274522</v>
      </c>
      <c r="O1281" s="13">
        <f t="shared" si="153"/>
        <v>0</v>
      </c>
      <c r="P1281" t="str">
        <f t="shared" si="154"/>
        <v>On Time</v>
      </c>
      <c r="Q1281" s="13">
        <f t="shared" si="155"/>
        <v>0.26416666660225019</v>
      </c>
      <c r="R1281" s="13">
        <f t="shared" si="156"/>
        <v>0.92793981482100207</v>
      </c>
      <c r="S1281" s="13">
        <f t="shared" si="157"/>
        <v>6.3388078703646897</v>
      </c>
      <c r="T1281" t="str">
        <f t="shared" si="158"/>
        <v>On Time/Early</v>
      </c>
      <c r="U1281" t="str">
        <f t="shared" si="159"/>
        <v>Normal</v>
      </c>
      <c r="V1281" t="s">
        <v>102</v>
      </c>
    </row>
    <row r="1282" spans="1:22">
      <c r="A1282" t="s">
        <v>1932</v>
      </c>
      <c r="B1282" s="10">
        <v>43180.93855324074</v>
      </c>
      <c r="C1282" s="10">
        <v>43180.950254629628</v>
      </c>
      <c r="D1282" s="10">
        <v>43182.864641203705</v>
      </c>
      <c r="E1282" s="10">
        <v>43193.891215277778</v>
      </c>
      <c r="F1282" s="10">
        <v>43220</v>
      </c>
      <c r="G1282" t="s">
        <v>16</v>
      </c>
      <c r="H1282" t="s">
        <v>138</v>
      </c>
      <c r="I1282" t="s">
        <v>101</v>
      </c>
      <c r="J1282" s="11">
        <v>1</v>
      </c>
      <c r="K1282" s="12">
        <v>124.9</v>
      </c>
      <c r="L1282" s="12">
        <v>27.6</v>
      </c>
      <c r="M1282" s="13">
        <v>4</v>
      </c>
      <c r="N1282" s="13">
        <f t="shared" ref="N1282:N1345" si="160">IFERROR(E1282-B1282,"")</f>
        <v>12.952662037037953</v>
      </c>
      <c r="O1282" s="13">
        <f t="shared" ref="O1282:O1345" si="161">IFERROR(MAX(0,E1282-F1282),"")</f>
        <v>0</v>
      </c>
      <c r="P1282" t="str">
        <f t="shared" ref="P1282:P1345" si="162">IF(O1282&gt;0,"Delayed","On Time")</f>
        <v>On Time</v>
      </c>
      <c r="Q1282" s="13">
        <f t="shared" ref="Q1282:Q1345" si="163">IFERROR((C1282-B1282)*24,"")</f>
        <v>0.28083333332324401</v>
      </c>
      <c r="R1282" s="13">
        <f t="shared" ref="R1282:R1345" si="164">IFERROR(D1282-C1282,"")</f>
        <v>1.9143865740770707</v>
      </c>
      <c r="S1282" s="13">
        <f t="shared" ref="S1282:S1345" si="165">IFERROR(E1282-D1282,"")</f>
        <v>11.026574074072414</v>
      </c>
      <c r="T1282" t="str">
        <f t="shared" ref="T1282:T1345" si="166">IF(O1282=0,"On Time/Early",IF(O1282&lt;=3,"1-3 Days Late",IF(O1282&lt;=7,"4-7 Days Late","8+ Days Late")))</f>
        <v>On Time/Early</v>
      </c>
      <c r="U1282" t="str">
        <f t="shared" ref="U1282:U1345" si="167">IF(P1282="Delayed","Needs Review","Normal")</f>
        <v>Normal</v>
      </c>
      <c r="V1282" t="s">
        <v>102</v>
      </c>
    </row>
    <row r="1283" spans="1:22">
      <c r="A1283" t="s">
        <v>1933</v>
      </c>
      <c r="B1283" s="10">
        <v>43181.409490740742</v>
      </c>
      <c r="C1283" s="10">
        <v>43182.094305555554</v>
      </c>
      <c r="D1283" s="10">
        <v>43186.046331018515</v>
      </c>
      <c r="E1283" s="10">
        <v>43195.727662037039</v>
      </c>
      <c r="F1283" s="10">
        <v>43214</v>
      </c>
      <c r="G1283" t="s">
        <v>16</v>
      </c>
      <c r="H1283" t="s">
        <v>138</v>
      </c>
      <c r="I1283" t="s">
        <v>118</v>
      </c>
      <c r="J1283" s="11">
        <v>1</v>
      </c>
      <c r="K1283" s="12">
        <v>21.99</v>
      </c>
      <c r="L1283" s="12">
        <v>15.23</v>
      </c>
      <c r="M1283" s="13">
        <v>5</v>
      </c>
      <c r="N1283" s="13">
        <f t="shared" si="160"/>
        <v>14.318171296297805</v>
      </c>
      <c r="O1283" s="13">
        <f t="shared" si="161"/>
        <v>0</v>
      </c>
      <c r="P1283" t="str">
        <f t="shared" si="162"/>
        <v>On Time</v>
      </c>
      <c r="Q1283" s="13">
        <f t="shared" si="163"/>
        <v>16.435555555508472</v>
      </c>
      <c r="R1283" s="13">
        <f t="shared" si="164"/>
        <v>3.9520254629605915</v>
      </c>
      <c r="S1283" s="13">
        <f t="shared" si="165"/>
        <v>9.6813310185243608</v>
      </c>
      <c r="T1283" t="str">
        <f t="shared" si="166"/>
        <v>On Time/Early</v>
      </c>
      <c r="U1283" t="str">
        <f t="shared" si="167"/>
        <v>Normal</v>
      </c>
      <c r="V1283" t="s">
        <v>102</v>
      </c>
    </row>
    <row r="1284" spans="1:22">
      <c r="A1284" t="s">
        <v>1934</v>
      </c>
      <c r="B1284" s="10">
        <v>43181.645381944443</v>
      </c>
      <c r="C1284" s="10">
        <v>43181.658715277779</v>
      </c>
      <c r="D1284" s="10">
        <v>43182.118877314817</v>
      </c>
      <c r="E1284" s="10">
        <v>43188.733842592592</v>
      </c>
      <c r="F1284" s="10">
        <v>43208</v>
      </c>
      <c r="G1284" t="s">
        <v>277</v>
      </c>
      <c r="H1284" t="s">
        <v>1935</v>
      </c>
      <c r="I1284" t="s">
        <v>120</v>
      </c>
      <c r="J1284" s="11">
        <v>1</v>
      </c>
      <c r="K1284" s="12">
        <v>42.79</v>
      </c>
      <c r="L1284" s="12">
        <v>60.41</v>
      </c>
      <c r="M1284" s="13">
        <v>5</v>
      </c>
      <c r="N1284" s="13">
        <f t="shared" si="160"/>
        <v>7.0884606481486117</v>
      </c>
      <c r="O1284" s="13">
        <f t="shared" si="161"/>
        <v>0</v>
      </c>
      <c r="P1284" t="str">
        <f t="shared" si="162"/>
        <v>On Time</v>
      </c>
      <c r="Q1284" s="13">
        <f t="shared" si="163"/>
        <v>0.32000000006519258</v>
      </c>
      <c r="R1284" s="13">
        <f t="shared" si="164"/>
        <v>0.46016203703766223</v>
      </c>
      <c r="S1284" s="13">
        <f t="shared" si="165"/>
        <v>6.6149652777748997</v>
      </c>
      <c r="T1284" t="str">
        <f t="shared" si="166"/>
        <v>On Time/Early</v>
      </c>
      <c r="U1284" t="str">
        <f t="shared" si="167"/>
        <v>Normal</v>
      </c>
      <c r="V1284" t="s">
        <v>102</v>
      </c>
    </row>
    <row r="1285" spans="1:22">
      <c r="A1285" t="s">
        <v>1936</v>
      </c>
      <c r="B1285" s="10">
        <v>43181.672488425924</v>
      </c>
      <c r="C1285" s="10">
        <v>43181.701655092591</v>
      </c>
      <c r="D1285" s="10">
        <v>43185.915833333333</v>
      </c>
      <c r="E1285" s="10">
        <v>43196.882650462961</v>
      </c>
      <c r="F1285" s="10">
        <v>43206</v>
      </c>
      <c r="G1285" t="s">
        <v>36</v>
      </c>
      <c r="H1285" t="s">
        <v>1937</v>
      </c>
      <c r="I1285" t="s">
        <v>128</v>
      </c>
      <c r="J1285" s="11">
        <v>1</v>
      </c>
      <c r="K1285" s="12">
        <v>53.9</v>
      </c>
      <c r="L1285" s="12">
        <v>21.35</v>
      </c>
      <c r="M1285" s="13">
        <v>5</v>
      </c>
      <c r="N1285" s="13">
        <f t="shared" si="160"/>
        <v>15.210162037037662</v>
      </c>
      <c r="O1285" s="13">
        <f t="shared" si="161"/>
        <v>0</v>
      </c>
      <c r="P1285" t="str">
        <f t="shared" si="162"/>
        <v>On Time</v>
      </c>
      <c r="Q1285" s="13">
        <f t="shared" si="163"/>
        <v>0.70000000001164153</v>
      </c>
      <c r="R1285" s="13">
        <f t="shared" si="164"/>
        <v>4.2141782407416031</v>
      </c>
      <c r="S1285" s="13">
        <f t="shared" si="165"/>
        <v>10.966817129628907</v>
      </c>
      <c r="T1285" t="str">
        <f t="shared" si="166"/>
        <v>On Time/Early</v>
      </c>
      <c r="U1285" t="str">
        <f t="shared" si="167"/>
        <v>Normal</v>
      </c>
      <c r="V1285" t="s">
        <v>102</v>
      </c>
    </row>
    <row r="1286" spans="1:22">
      <c r="A1286" t="s">
        <v>1938</v>
      </c>
      <c r="B1286" s="10">
        <v>43182.108437499999</v>
      </c>
      <c r="C1286" s="10">
        <v>43182.118298611109</v>
      </c>
      <c r="D1286" s="10">
        <v>43182.824201388888</v>
      </c>
      <c r="E1286" s="10">
        <v>43187.761458333334</v>
      </c>
      <c r="F1286" s="10">
        <v>43196</v>
      </c>
      <c r="G1286" t="s">
        <v>8</v>
      </c>
      <c r="H1286" t="s">
        <v>1939</v>
      </c>
      <c r="I1286" t="s">
        <v>112</v>
      </c>
      <c r="J1286" s="11">
        <v>1</v>
      </c>
      <c r="K1286" s="12">
        <v>63.9</v>
      </c>
      <c r="L1286" s="12">
        <v>8.8800000000000008</v>
      </c>
      <c r="M1286" s="13">
        <v>5</v>
      </c>
      <c r="N1286" s="13">
        <f t="shared" si="160"/>
        <v>5.6530208333351766</v>
      </c>
      <c r="O1286" s="13">
        <f t="shared" si="161"/>
        <v>0</v>
      </c>
      <c r="P1286" t="str">
        <f t="shared" si="162"/>
        <v>On Time</v>
      </c>
      <c r="Q1286" s="13">
        <f t="shared" si="163"/>
        <v>0.23666666663484648</v>
      </c>
      <c r="R1286" s="13">
        <f t="shared" si="164"/>
        <v>0.70590277777955635</v>
      </c>
      <c r="S1286" s="13">
        <f t="shared" si="165"/>
        <v>4.937256944445835</v>
      </c>
      <c r="T1286" t="str">
        <f t="shared" si="166"/>
        <v>On Time/Early</v>
      </c>
      <c r="U1286" t="str">
        <f t="shared" si="167"/>
        <v>Normal</v>
      </c>
      <c r="V1286" t="s">
        <v>102</v>
      </c>
    </row>
    <row r="1287" spans="1:22">
      <c r="A1287" t="s">
        <v>1940</v>
      </c>
      <c r="B1287" s="10">
        <v>43182.394062500003</v>
      </c>
      <c r="C1287" s="10">
        <v>43182.400034722225</v>
      </c>
      <c r="D1287" s="10">
        <v>43186.738043981481</v>
      </c>
      <c r="E1287" s="10">
        <v>43207.940844907411</v>
      </c>
      <c r="F1287" s="10">
        <v>43213</v>
      </c>
      <c r="G1287" t="s">
        <v>30</v>
      </c>
      <c r="H1287" t="s">
        <v>549</v>
      </c>
      <c r="I1287" t="s">
        <v>368</v>
      </c>
      <c r="J1287" s="11">
        <v>1</v>
      </c>
      <c r="K1287" s="12">
        <v>49</v>
      </c>
      <c r="L1287" s="12">
        <v>18.23</v>
      </c>
      <c r="M1287" s="13">
        <v>3</v>
      </c>
      <c r="N1287" s="13">
        <f t="shared" si="160"/>
        <v>25.546782407407591</v>
      </c>
      <c r="O1287" s="13">
        <f t="shared" si="161"/>
        <v>0</v>
      </c>
      <c r="P1287" t="str">
        <f t="shared" si="162"/>
        <v>On Time</v>
      </c>
      <c r="Q1287" s="13">
        <f t="shared" si="163"/>
        <v>0.14333333331160247</v>
      </c>
      <c r="R1287" s="13">
        <f t="shared" si="164"/>
        <v>4.3380092592560686</v>
      </c>
      <c r="S1287" s="13">
        <f t="shared" si="165"/>
        <v>21.202800925930205</v>
      </c>
      <c r="T1287" t="str">
        <f t="shared" si="166"/>
        <v>On Time/Early</v>
      </c>
      <c r="U1287" t="str">
        <f t="shared" si="167"/>
        <v>Normal</v>
      </c>
      <c r="V1287" t="s">
        <v>102</v>
      </c>
    </row>
    <row r="1288" spans="1:22">
      <c r="A1288" t="s">
        <v>1941</v>
      </c>
      <c r="B1288" s="10">
        <v>43182.50953703704</v>
      </c>
      <c r="C1288" s="10">
        <v>43182.520300925928</v>
      </c>
      <c r="D1288" s="10">
        <v>43182.954664351855</v>
      </c>
      <c r="E1288" s="10">
        <v>43196.932557870372</v>
      </c>
      <c r="F1288" s="10">
        <v>43217</v>
      </c>
      <c r="G1288" t="s">
        <v>20</v>
      </c>
      <c r="H1288" t="s">
        <v>104</v>
      </c>
      <c r="I1288" t="s">
        <v>123</v>
      </c>
      <c r="J1288" s="11">
        <v>1</v>
      </c>
      <c r="K1288" s="12">
        <v>319.89999999999998</v>
      </c>
      <c r="L1288" s="12">
        <v>23.95</v>
      </c>
      <c r="M1288" s="13">
        <v>5</v>
      </c>
      <c r="N1288" s="13">
        <f t="shared" si="160"/>
        <v>14.423020833331975</v>
      </c>
      <c r="O1288" s="13">
        <f t="shared" si="161"/>
        <v>0</v>
      </c>
      <c r="P1288" t="str">
        <f t="shared" si="162"/>
        <v>On Time</v>
      </c>
      <c r="Q1288" s="13">
        <f t="shared" si="163"/>
        <v>0.25833333330228925</v>
      </c>
      <c r="R1288" s="13">
        <f t="shared" si="164"/>
        <v>0.43436342592758592</v>
      </c>
      <c r="S1288" s="13">
        <f t="shared" si="165"/>
        <v>13.977893518516794</v>
      </c>
      <c r="T1288" t="str">
        <f t="shared" si="166"/>
        <v>On Time/Early</v>
      </c>
      <c r="U1288" t="str">
        <f t="shared" si="167"/>
        <v>Normal</v>
      </c>
      <c r="V1288" t="s">
        <v>102</v>
      </c>
    </row>
    <row r="1289" spans="1:22">
      <c r="A1289" t="s">
        <v>1942</v>
      </c>
      <c r="B1289" s="10">
        <v>43182.581342592595</v>
      </c>
      <c r="C1289" s="10">
        <v>43182.59412037037</v>
      </c>
      <c r="D1289" s="10">
        <v>43189.011354166665</v>
      </c>
      <c r="E1289" s="10">
        <v>43203.838703703703</v>
      </c>
      <c r="F1289" s="10">
        <v>43215</v>
      </c>
      <c r="G1289" t="s">
        <v>23</v>
      </c>
      <c r="H1289" t="s">
        <v>1943</v>
      </c>
      <c r="I1289" t="s">
        <v>34</v>
      </c>
      <c r="J1289" s="11">
        <v>1</v>
      </c>
      <c r="K1289" s="12">
        <v>160</v>
      </c>
      <c r="L1289" s="12">
        <v>62.92</v>
      </c>
      <c r="M1289" s="13">
        <v>5</v>
      </c>
      <c r="N1289" s="13">
        <f t="shared" si="160"/>
        <v>21.257361111107457</v>
      </c>
      <c r="O1289" s="13">
        <f t="shared" si="161"/>
        <v>0</v>
      </c>
      <c r="P1289" t="str">
        <f t="shared" si="162"/>
        <v>On Time</v>
      </c>
      <c r="Q1289" s="13">
        <f t="shared" si="163"/>
        <v>0.30666666658362374</v>
      </c>
      <c r="R1289" s="13">
        <f t="shared" si="164"/>
        <v>6.4172337962954771</v>
      </c>
      <c r="S1289" s="13">
        <f t="shared" si="165"/>
        <v>14.827349537037662</v>
      </c>
      <c r="T1289" t="str">
        <f t="shared" si="166"/>
        <v>On Time/Early</v>
      </c>
      <c r="U1289" t="str">
        <f t="shared" si="167"/>
        <v>Normal</v>
      </c>
      <c r="V1289" t="s">
        <v>102</v>
      </c>
    </row>
    <row r="1290" spans="1:22">
      <c r="A1290" t="s">
        <v>1944</v>
      </c>
      <c r="B1290" s="10">
        <v>43182.868020833332</v>
      </c>
      <c r="C1290" s="10">
        <v>43186.163888888892</v>
      </c>
      <c r="D1290" s="10">
        <v>43186.927430555559</v>
      </c>
      <c r="E1290" s="10">
        <v>43194.086041666669</v>
      </c>
      <c r="F1290" s="10">
        <v>43206</v>
      </c>
      <c r="G1290" t="s">
        <v>20</v>
      </c>
      <c r="H1290" t="s">
        <v>1945</v>
      </c>
      <c r="I1290" t="s">
        <v>221</v>
      </c>
      <c r="J1290" s="11">
        <v>1</v>
      </c>
      <c r="K1290" s="12">
        <v>39</v>
      </c>
      <c r="L1290" s="12">
        <v>18.23</v>
      </c>
      <c r="M1290" s="13">
        <v>1</v>
      </c>
      <c r="N1290" s="13">
        <f t="shared" si="160"/>
        <v>11.218020833337505</v>
      </c>
      <c r="O1290" s="13">
        <f t="shared" si="161"/>
        <v>0</v>
      </c>
      <c r="P1290" t="str">
        <f t="shared" si="162"/>
        <v>On Time</v>
      </c>
      <c r="Q1290" s="13">
        <f t="shared" si="163"/>
        <v>79.100833333446644</v>
      </c>
      <c r="R1290" s="13">
        <f t="shared" si="164"/>
        <v>0.76354166666715173</v>
      </c>
      <c r="S1290" s="13">
        <f t="shared" si="165"/>
        <v>7.1586111111100763</v>
      </c>
      <c r="T1290" t="str">
        <f t="shared" si="166"/>
        <v>On Time/Early</v>
      </c>
      <c r="U1290" t="str">
        <f t="shared" si="167"/>
        <v>Normal</v>
      </c>
      <c r="V1290" t="s">
        <v>102</v>
      </c>
    </row>
    <row r="1291" spans="1:22">
      <c r="A1291" t="s">
        <v>1946</v>
      </c>
      <c r="B1291" s="10">
        <v>43183.394502314812</v>
      </c>
      <c r="C1291" s="10">
        <v>43183.486967592595</v>
      </c>
      <c r="D1291" s="10">
        <v>43185.960752314815</v>
      </c>
      <c r="E1291" s="10">
        <v>43192.996238425927</v>
      </c>
      <c r="F1291" s="10">
        <v>43210</v>
      </c>
      <c r="G1291" t="s">
        <v>30</v>
      </c>
      <c r="H1291" t="s">
        <v>1947</v>
      </c>
      <c r="I1291" t="s">
        <v>972</v>
      </c>
      <c r="J1291" s="11">
        <v>2</v>
      </c>
      <c r="K1291" s="12">
        <v>37.9</v>
      </c>
      <c r="L1291" s="12">
        <v>37.54</v>
      </c>
      <c r="M1291" s="13">
        <v>1</v>
      </c>
      <c r="N1291" s="13">
        <f t="shared" si="160"/>
        <v>9.601736111115315</v>
      </c>
      <c r="O1291" s="13">
        <f t="shared" si="161"/>
        <v>0</v>
      </c>
      <c r="P1291" t="str">
        <f t="shared" si="162"/>
        <v>On Time</v>
      </c>
      <c r="Q1291" s="13">
        <f t="shared" si="163"/>
        <v>2.2191666667931713</v>
      </c>
      <c r="R1291" s="13">
        <f t="shared" si="164"/>
        <v>2.4737847222204437</v>
      </c>
      <c r="S1291" s="13">
        <f t="shared" si="165"/>
        <v>7.0354861111118225</v>
      </c>
      <c r="T1291" t="str">
        <f t="shared" si="166"/>
        <v>On Time/Early</v>
      </c>
      <c r="U1291" t="str">
        <f t="shared" si="167"/>
        <v>Normal</v>
      </c>
      <c r="V1291" t="s">
        <v>102</v>
      </c>
    </row>
    <row r="1292" spans="1:22">
      <c r="A1292" t="s">
        <v>1948</v>
      </c>
      <c r="B1292" s="10">
        <v>43183.410763888889</v>
      </c>
      <c r="C1292" s="10">
        <v>43183.491875</v>
      </c>
      <c r="D1292" s="10">
        <v>43186.811701388891</v>
      </c>
      <c r="E1292" s="10">
        <v>43187.862546296295</v>
      </c>
      <c r="F1292" s="10">
        <v>43196</v>
      </c>
      <c r="G1292" t="s">
        <v>8</v>
      </c>
      <c r="H1292" t="s">
        <v>140</v>
      </c>
      <c r="I1292" t="s">
        <v>34</v>
      </c>
      <c r="J1292" s="11">
        <v>1</v>
      </c>
      <c r="K1292" s="12">
        <v>987</v>
      </c>
      <c r="L1292" s="12">
        <v>18.809999999999999</v>
      </c>
      <c r="M1292" s="13">
        <v>1</v>
      </c>
      <c r="N1292" s="13">
        <f t="shared" si="160"/>
        <v>4.4517824074064265</v>
      </c>
      <c r="O1292" s="13">
        <f t="shared" si="161"/>
        <v>0</v>
      </c>
      <c r="P1292" t="str">
        <f t="shared" si="162"/>
        <v>On Time</v>
      </c>
      <c r="Q1292" s="13">
        <f t="shared" si="163"/>
        <v>1.9466666666558012</v>
      </c>
      <c r="R1292" s="13">
        <f t="shared" si="164"/>
        <v>3.3198263888916699</v>
      </c>
      <c r="S1292" s="13">
        <f t="shared" si="165"/>
        <v>1.0508449074040982</v>
      </c>
      <c r="T1292" t="str">
        <f t="shared" si="166"/>
        <v>On Time/Early</v>
      </c>
      <c r="U1292" t="str">
        <f t="shared" si="167"/>
        <v>Normal</v>
      </c>
      <c r="V1292" t="s">
        <v>102</v>
      </c>
    </row>
    <row r="1293" spans="1:22">
      <c r="A1293" t="s">
        <v>1949</v>
      </c>
      <c r="B1293" s="10">
        <v>43183.697199074071</v>
      </c>
      <c r="C1293" s="10">
        <v>43183.705636574072</v>
      </c>
      <c r="D1293" s="10">
        <v>43206.579780092594</v>
      </c>
      <c r="E1293" s="10">
        <v>43271.938923611109</v>
      </c>
      <c r="F1293" s="10">
        <v>43224</v>
      </c>
      <c r="G1293" t="s">
        <v>16</v>
      </c>
      <c r="H1293" t="s">
        <v>138</v>
      </c>
      <c r="I1293" t="s">
        <v>1087</v>
      </c>
      <c r="J1293" s="11">
        <v>1</v>
      </c>
      <c r="K1293" s="12">
        <v>79.900000000000006</v>
      </c>
      <c r="L1293" s="12">
        <v>35.69</v>
      </c>
      <c r="M1293" s="13">
        <v>1</v>
      </c>
      <c r="N1293" s="13">
        <f t="shared" si="160"/>
        <v>88.241724537037953</v>
      </c>
      <c r="O1293" s="13">
        <f t="shared" si="161"/>
        <v>47.938923611109203</v>
      </c>
      <c r="P1293" t="str">
        <f t="shared" si="162"/>
        <v>Delayed</v>
      </c>
      <c r="Q1293" s="13">
        <f t="shared" si="163"/>
        <v>0.20250000001396984</v>
      </c>
      <c r="R1293" s="13">
        <f t="shared" si="164"/>
        <v>22.874143518522033</v>
      </c>
      <c r="S1293" s="13">
        <f t="shared" si="165"/>
        <v>65.359143518515339</v>
      </c>
      <c r="T1293" t="str">
        <f t="shared" si="166"/>
        <v>8+ Days Late</v>
      </c>
      <c r="U1293" t="str">
        <f t="shared" si="167"/>
        <v>Needs Review</v>
      </c>
      <c r="V1293" t="s">
        <v>102</v>
      </c>
    </row>
    <row r="1294" spans="1:22">
      <c r="A1294" t="s">
        <v>1950</v>
      </c>
      <c r="B1294" s="10">
        <v>43183.705300925925</v>
      </c>
      <c r="C1294" s="10">
        <v>43183.719155092593</v>
      </c>
      <c r="D1294" s="10">
        <v>43187.01290509259</v>
      </c>
      <c r="E1294" s="10">
        <v>43190.762187499997</v>
      </c>
      <c r="F1294" s="10">
        <v>43206</v>
      </c>
      <c r="G1294" t="s">
        <v>16</v>
      </c>
      <c r="H1294" t="s">
        <v>559</v>
      </c>
      <c r="I1294" t="s">
        <v>149</v>
      </c>
      <c r="J1294" s="11">
        <v>1</v>
      </c>
      <c r="K1294" s="12">
        <v>34.299999999999997</v>
      </c>
      <c r="L1294" s="12">
        <v>18.23</v>
      </c>
      <c r="M1294" s="13">
        <v>5</v>
      </c>
      <c r="N1294" s="13">
        <f t="shared" si="160"/>
        <v>7.056886574071541</v>
      </c>
      <c r="O1294" s="13">
        <f t="shared" si="161"/>
        <v>0</v>
      </c>
      <c r="P1294" t="str">
        <f t="shared" si="162"/>
        <v>On Time</v>
      </c>
      <c r="Q1294" s="13">
        <f t="shared" si="163"/>
        <v>0.33250000001862645</v>
      </c>
      <c r="R1294" s="13">
        <f t="shared" si="164"/>
        <v>3.2937499999970896</v>
      </c>
      <c r="S1294" s="13">
        <f t="shared" si="165"/>
        <v>3.7492824074070086</v>
      </c>
      <c r="T1294" t="str">
        <f t="shared" si="166"/>
        <v>On Time/Early</v>
      </c>
      <c r="U1294" t="str">
        <f t="shared" si="167"/>
        <v>Normal</v>
      </c>
      <c r="V1294" t="s">
        <v>102</v>
      </c>
    </row>
    <row r="1295" spans="1:22">
      <c r="A1295" t="s">
        <v>1951</v>
      </c>
      <c r="B1295" s="10">
        <v>43183.791527777779</v>
      </c>
      <c r="C1295" s="10">
        <v>43186.172337962962</v>
      </c>
      <c r="D1295" s="10">
        <v>43194.865810185183</v>
      </c>
      <c r="E1295" s="10">
        <v>43196.898020833331</v>
      </c>
      <c r="F1295" s="10">
        <v>43196</v>
      </c>
      <c r="G1295" t="s">
        <v>8</v>
      </c>
      <c r="H1295" t="s">
        <v>171</v>
      </c>
      <c r="I1295" t="s">
        <v>154</v>
      </c>
      <c r="J1295" s="11">
        <v>1</v>
      </c>
      <c r="K1295" s="12">
        <v>41.99</v>
      </c>
      <c r="L1295" s="12">
        <v>11.15</v>
      </c>
      <c r="M1295" s="13">
        <v>5</v>
      </c>
      <c r="N1295" s="13">
        <f t="shared" si="160"/>
        <v>13.106493055551255</v>
      </c>
      <c r="O1295" s="13">
        <f t="shared" si="161"/>
        <v>0.89802083333051996</v>
      </c>
      <c r="P1295" t="str">
        <f t="shared" si="162"/>
        <v>Delayed</v>
      </c>
      <c r="Q1295" s="13">
        <f t="shared" si="163"/>
        <v>57.139444444386754</v>
      </c>
      <c r="R1295" s="13">
        <f t="shared" si="164"/>
        <v>8.6934722222213168</v>
      </c>
      <c r="S1295" s="13">
        <f t="shared" si="165"/>
        <v>2.0322106481471565</v>
      </c>
      <c r="T1295" t="str">
        <f t="shared" si="166"/>
        <v>1-3 Days Late</v>
      </c>
      <c r="U1295" t="str">
        <f t="shared" si="167"/>
        <v>Needs Review</v>
      </c>
      <c r="V1295" t="s">
        <v>102</v>
      </c>
    </row>
    <row r="1296" spans="1:22">
      <c r="A1296" t="s">
        <v>1952</v>
      </c>
      <c r="B1296" s="10">
        <v>43183.86347222222</v>
      </c>
      <c r="C1296" s="10">
        <v>43183.872303240743</v>
      </c>
      <c r="D1296" s="10">
        <v>43189.008287037039</v>
      </c>
      <c r="E1296" s="10">
        <v>43202.923495370371</v>
      </c>
      <c r="F1296" s="10">
        <v>43216</v>
      </c>
      <c r="G1296" t="s">
        <v>16</v>
      </c>
      <c r="H1296" t="s">
        <v>138</v>
      </c>
      <c r="I1296" t="s">
        <v>221</v>
      </c>
      <c r="J1296" s="11">
        <v>1</v>
      </c>
      <c r="K1296" s="12">
        <v>1299</v>
      </c>
      <c r="L1296" s="12">
        <v>23.97</v>
      </c>
      <c r="M1296" s="13">
        <v>2</v>
      </c>
      <c r="N1296" s="13">
        <f t="shared" si="160"/>
        <v>19.060023148151231</v>
      </c>
      <c r="O1296" s="13">
        <f t="shared" si="161"/>
        <v>0</v>
      </c>
      <c r="P1296" t="str">
        <f t="shared" si="162"/>
        <v>On Time</v>
      </c>
      <c r="Q1296" s="13">
        <f t="shared" si="163"/>
        <v>0.21194444457069039</v>
      </c>
      <c r="R1296" s="13">
        <f t="shared" si="164"/>
        <v>5.1359837962954771</v>
      </c>
      <c r="S1296" s="13">
        <f t="shared" si="165"/>
        <v>13.915208333331975</v>
      </c>
      <c r="T1296" t="str">
        <f t="shared" si="166"/>
        <v>On Time/Early</v>
      </c>
      <c r="U1296" t="str">
        <f t="shared" si="167"/>
        <v>Normal</v>
      </c>
      <c r="V1296" t="s">
        <v>102</v>
      </c>
    </row>
    <row r="1297" spans="1:22">
      <c r="A1297" t="s">
        <v>1953</v>
      </c>
      <c r="B1297" s="10">
        <v>43184.548032407409</v>
      </c>
      <c r="C1297" s="10">
        <v>43186.163449074076</v>
      </c>
      <c r="D1297" s="10">
        <v>43188.202824074076</v>
      </c>
      <c r="E1297" s="10">
        <v>43234.783009259256</v>
      </c>
      <c r="F1297" s="10">
        <v>43216</v>
      </c>
      <c r="G1297" t="s">
        <v>30</v>
      </c>
      <c r="H1297" t="s">
        <v>365</v>
      </c>
      <c r="I1297" t="s">
        <v>221</v>
      </c>
      <c r="J1297" s="11">
        <v>1</v>
      </c>
      <c r="K1297" s="12">
        <v>178.99</v>
      </c>
      <c r="L1297" s="12">
        <v>19.13</v>
      </c>
      <c r="M1297" s="13">
        <v>2</v>
      </c>
      <c r="N1297" s="13">
        <f t="shared" si="160"/>
        <v>50.234976851847023</v>
      </c>
      <c r="O1297" s="13">
        <f t="shared" si="161"/>
        <v>18.783009259255778</v>
      </c>
      <c r="P1297" t="str">
        <f t="shared" si="162"/>
        <v>Delayed</v>
      </c>
      <c r="Q1297" s="13">
        <f t="shared" si="163"/>
        <v>38.770000000018626</v>
      </c>
      <c r="R1297" s="13">
        <f t="shared" si="164"/>
        <v>2.039375000000291</v>
      </c>
      <c r="S1297" s="13">
        <f t="shared" si="165"/>
        <v>46.580185185179289</v>
      </c>
      <c r="T1297" t="str">
        <f t="shared" si="166"/>
        <v>8+ Days Late</v>
      </c>
      <c r="U1297" t="str">
        <f t="shared" si="167"/>
        <v>Needs Review</v>
      </c>
      <c r="V1297" t="s">
        <v>102</v>
      </c>
    </row>
    <row r="1298" spans="1:22">
      <c r="A1298" t="s">
        <v>1954</v>
      </c>
      <c r="B1298" s="10">
        <v>43184.578587962962</v>
      </c>
      <c r="C1298" s="10">
        <v>43184.589108796295</v>
      </c>
      <c r="D1298" s="10">
        <v>43185.83253472222</v>
      </c>
      <c r="E1298" s="10">
        <v>43196.860196759262</v>
      </c>
      <c r="F1298" s="10">
        <v>43213</v>
      </c>
      <c r="G1298" t="s">
        <v>20</v>
      </c>
      <c r="H1298" t="s">
        <v>1922</v>
      </c>
      <c r="I1298" t="s">
        <v>136</v>
      </c>
      <c r="J1298" s="11">
        <v>1</v>
      </c>
      <c r="K1298" s="12">
        <v>89.5</v>
      </c>
      <c r="L1298" s="12">
        <v>22.34</v>
      </c>
      <c r="M1298" s="13">
        <v>4</v>
      </c>
      <c r="N1298" s="13">
        <f t="shared" si="160"/>
        <v>12.281608796300134</v>
      </c>
      <c r="O1298" s="13">
        <f t="shared" si="161"/>
        <v>0</v>
      </c>
      <c r="P1298" t="str">
        <f t="shared" si="162"/>
        <v>On Time</v>
      </c>
      <c r="Q1298" s="13">
        <f t="shared" si="163"/>
        <v>0.25250000000232831</v>
      </c>
      <c r="R1298" s="13">
        <f t="shared" si="164"/>
        <v>1.2434259259243845</v>
      </c>
      <c r="S1298" s="13">
        <f t="shared" si="165"/>
        <v>11.027662037042319</v>
      </c>
      <c r="T1298" t="str">
        <f t="shared" si="166"/>
        <v>On Time/Early</v>
      </c>
      <c r="U1298" t="str">
        <f t="shared" si="167"/>
        <v>Normal</v>
      </c>
      <c r="V1298" t="s">
        <v>102</v>
      </c>
    </row>
    <row r="1299" spans="1:22">
      <c r="A1299" t="s">
        <v>1955</v>
      </c>
      <c r="B1299" s="10">
        <v>43184.59138888889</v>
      </c>
      <c r="C1299" s="10">
        <v>43184.602650462963</v>
      </c>
      <c r="D1299" s="10">
        <v>43186.029247685183</v>
      </c>
      <c r="E1299" s="10">
        <v>43187.824606481481</v>
      </c>
      <c r="F1299" s="10">
        <v>43196</v>
      </c>
      <c r="G1299" t="s">
        <v>8</v>
      </c>
      <c r="H1299" t="s">
        <v>907</v>
      </c>
      <c r="I1299" t="s">
        <v>141</v>
      </c>
      <c r="J1299" s="11">
        <v>1</v>
      </c>
      <c r="K1299" s="12">
        <v>33</v>
      </c>
      <c r="L1299" s="12">
        <v>8.8800000000000008</v>
      </c>
      <c r="M1299" s="13">
        <v>4</v>
      </c>
      <c r="N1299" s="13">
        <f t="shared" si="160"/>
        <v>3.2332175925912452</v>
      </c>
      <c r="O1299" s="13">
        <f t="shared" si="161"/>
        <v>0</v>
      </c>
      <c r="P1299" t="str">
        <f t="shared" si="162"/>
        <v>On Time</v>
      </c>
      <c r="Q1299" s="13">
        <f t="shared" si="163"/>
        <v>0.27027777774492279</v>
      </c>
      <c r="R1299" s="13">
        <f t="shared" si="164"/>
        <v>1.4265972222201526</v>
      </c>
      <c r="S1299" s="13">
        <f t="shared" si="165"/>
        <v>1.7953587962983875</v>
      </c>
      <c r="T1299" t="str">
        <f t="shared" si="166"/>
        <v>On Time/Early</v>
      </c>
      <c r="U1299" t="str">
        <f t="shared" si="167"/>
        <v>Normal</v>
      </c>
      <c r="V1299" t="s">
        <v>102</v>
      </c>
    </row>
    <row r="1300" spans="1:22">
      <c r="A1300" t="s">
        <v>1956</v>
      </c>
      <c r="B1300" s="10">
        <v>43184.59851851852</v>
      </c>
      <c r="C1300" s="10">
        <v>43184.604664351849</v>
      </c>
      <c r="D1300" s="10">
        <v>43185.801851851851</v>
      </c>
      <c r="E1300" s="10">
        <v>43193.712604166663</v>
      </c>
      <c r="F1300" s="10">
        <v>43206</v>
      </c>
      <c r="G1300" t="s">
        <v>8</v>
      </c>
      <c r="H1300" t="s">
        <v>620</v>
      </c>
      <c r="I1300" t="s">
        <v>143</v>
      </c>
      <c r="J1300" s="11">
        <v>1</v>
      </c>
      <c r="K1300" s="12">
        <v>119.9</v>
      </c>
      <c r="L1300" s="12">
        <v>18.72</v>
      </c>
      <c r="M1300" s="13">
        <v>5</v>
      </c>
      <c r="N1300" s="13">
        <f t="shared" si="160"/>
        <v>9.114085648143373</v>
      </c>
      <c r="O1300" s="13">
        <f t="shared" si="161"/>
        <v>0</v>
      </c>
      <c r="P1300" t="str">
        <f t="shared" si="162"/>
        <v>On Time</v>
      </c>
      <c r="Q1300" s="13">
        <f t="shared" si="163"/>
        <v>0.14749999990453944</v>
      </c>
      <c r="R1300" s="13">
        <f t="shared" si="164"/>
        <v>1.1971875000017462</v>
      </c>
      <c r="S1300" s="13">
        <f t="shared" si="165"/>
        <v>7.9107523148122709</v>
      </c>
      <c r="T1300" t="str">
        <f t="shared" si="166"/>
        <v>On Time/Early</v>
      </c>
      <c r="U1300" t="str">
        <f t="shared" si="167"/>
        <v>Normal</v>
      </c>
      <c r="V1300" t="s">
        <v>102</v>
      </c>
    </row>
    <row r="1301" spans="1:22">
      <c r="A1301" t="s">
        <v>1957</v>
      </c>
      <c r="B1301" s="10">
        <v>43184.721215277779</v>
      </c>
      <c r="C1301" s="10">
        <v>43184.729525462964</v>
      </c>
      <c r="D1301" s="10">
        <v>43185.908333333333</v>
      </c>
      <c r="E1301" s="10">
        <v>43214.763078703705</v>
      </c>
      <c r="F1301" s="10">
        <v>43217</v>
      </c>
      <c r="G1301" t="s">
        <v>16</v>
      </c>
      <c r="H1301" t="s">
        <v>138</v>
      </c>
      <c r="I1301" t="s">
        <v>112</v>
      </c>
      <c r="J1301" s="11">
        <v>1</v>
      </c>
      <c r="K1301" s="12">
        <v>36.9</v>
      </c>
      <c r="L1301" s="12">
        <v>18.23</v>
      </c>
      <c r="M1301" s="13">
        <v>5</v>
      </c>
      <c r="N1301" s="13">
        <f t="shared" si="160"/>
        <v>30.04186342592584</v>
      </c>
      <c r="O1301" s="13">
        <f t="shared" si="161"/>
        <v>0</v>
      </c>
      <c r="P1301" t="str">
        <f t="shared" si="162"/>
        <v>On Time</v>
      </c>
      <c r="Q1301" s="13">
        <f t="shared" si="163"/>
        <v>0.19944444444263354</v>
      </c>
      <c r="R1301" s="13">
        <f t="shared" si="164"/>
        <v>1.1788078703684732</v>
      </c>
      <c r="S1301" s="13">
        <f t="shared" si="165"/>
        <v>28.854745370372257</v>
      </c>
      <c r="T1301" t="str">
        <f t="shared" si="166"/>
        <v>On Time/Early</v>
      </c>
      <c r="U1301" t="str">
        <f t="shared" si="167"/>
        <v>Normal</v>
      </c>
      <c r="V1301" t="s">
        <v>102</v>
      </c>
    </row>
    <row r="1302" spans="1:22">
      <c r="A1302" t="s">
        <v>1958</v>
      </c>
      <c r="B1302" s="10">
        <v>43184.770312499997</v>
      </c>
      <c r="C1302" s="10">
        <v>43186.173854166664</v>
      </c>
      <c r="D1302" s="10">
        <v>43186.835821759261</v>
      </c>
      <c r="E1302" s="10">
        <v>43188.586446759262</v>
      </c>
      <c r="F1302" s="10">
        <v>43196</v>
      </c>
      <c r="G1302" t="s">
        <v>8</v>
      </c>
      <c r="H1302" t="s">
        <v>179</v>
      </c>
      <c r="I1302" t="s">
        <v>31</v>
      </c>
      <c r="J1302" s="11">
        <v>1</v>
      </c>
      <c r="K1302" s="12">
        <v>13.65</v>
      </c>
      <c r="L1302" s="12">
        <v>7.39</v>
      </c>
      <c r="M1302" s="13">
        <v>1</v>
      </c>
      <c r="N1302" s="13">
        <f t="shared" si="160"/>
        <v>3.8161342592647998</v>
      </c>
      <c r="O1302" s="13">
        <f t="shared" si="161"/>
        <v>0</v>
      </c>
      <c r="P1302" t="str">
        <f t="shared" si="162"/>
        <v>On Time</v>
      </c>
      <c r="Q1302" s="13">
        <f t="shared" si="163"/>
        <v>33.684999999997672</v>
      </c>
      <c r="R1302" s="13">
        <f t="shared" si="164"/>
        <v>0.66196759259764804</v>
      </c>
      <c r="S1302" s="13">
        <f t="shared" si="165"/>
        <v>1.7506250000005821</v>
      </c>
      <c r="T1302" t="str">
        <f t="shared" si="166"/>
        <v>On Time/Early</v>
      </c>
      <c r="U1302" t="str">
        <f t="shared" si="167"/>
        <v>Normal</v>
      </c>
      <c r="V1302" t="s">
        <v>102</v>
      </c>
    </row>
    <row r="1303" spans="1:22">
      <c r="A1303" t="s">
        <v>1959</v>
      </c>
      <c r="B1303" s="10">
        <v>43185.369212962964</v>
      </c>
      <c r="C1303" s="10">
        <v>43185.38013888889</v>
      </c>
      <c r="D1303" s="10">
        <v>43186.840844907405</v>
      </c>
      <c r="E1303" s="10">
        <v>43209.057025462964</v>
      </c>
      <c r="F1303" s="10">
        <v>43209</v>
      </c>
      <c r="G1303" t="s">
        <v>30</v>
      </c>
      <c r="H1303" t="s">
        <v>549</v>
      </c>
      <c r="I1303" t="s">
        <v>136</v>
      </c>
      <c r="J1303" s="11">
        <v>1</v>
      </c>
      <c r="K1303" s="12">
        <v>550</v>
      </c>
      <c r="L1303" s="12">
        <v>19.82</v>
      </c>
      <c r="M1303" s="13">
        <v>5</v>
      </c>
      <c r="N1303" s="13">
        <f t="shared" si="160"/>
        <v>23.687812500000291</v>
      </c>
      <c r="O1303" s="13">
        <f t="shared" si="161"/>
        <v>5.7025462963792961E-2</v>
      </c>
      <c r="P1303" t="str">
        <f t="shared" si="162"/>
        <v>Delayed</v>
      </c>
      <c r="Q1303" s="13">
        <f t="shared" si="163"/>
        <v>0.26222222222713754</v>
      </c>
      <c r="R1303" s="13">
        <f t="shared" si="164"/>
        <v>1.4607060185153387</v>
      </c>
      <c r="S1303" s="13">
        <f t="shared" si="165"/>
        <v>22.216180555558822</v>
      </c>
      <c r="T1303" t="str">
        <f t="shared" si="166"/>
        <v>1-3 Days Late</v>
      </c>
      <c r="U1303" t="str">
        <f t="shared" si="167"/>
        <v>Needs Review</v>
      </c>
      <c r="V1303" t="s">
        <v>102</v>
      </c>
    </row>
    <row r="1304" spans="1:22">
      <c r="A1304" t="s">
        <v>1960</v>
      </c>
      <c r="B1304" s="10">
        <v>43185.434594907405</v>
      </c>
      <c r="C1304" s="10">
        <v>43186.296412037038</v>
      </c>
      <c r="D1304" s="10">
        <v>43188.874282407407</v>
      </c>
      <c r="E1304" s="10">
        <v>43199.88790509259</v>
      </c>
      <c r="F1304" s="10">
        <v>43203</v>
      </c>
      <c r="G1304" t="s">
        <v>20</v>
      </c>
      <c r="H1304" t="s">
        <v>104</v>
      </c>
      <c r="I1304" t="s">
        <v>228</v>
      </c>
      <c r="J1304" s="11">
        <v>1</v>
      </c>
      <c r="K1304" s="12">
        <v>79</v>
      </c>
      <c r="L1304" s="12">
        <v>23.09</v>
      </c>
      <c r="M1304" s="13">
        <v>5</v>
      </c>
      <c r="N1304" s="13">
        <f t="shared" si="160"/>
        <v>14.453310185184819</v>
      </c>
      <c r="O1304" s="13">
        <f t="shared" si="161"/>
        <v>0</v>
      </c>
      <c r="P1304" t="str">
        <f t="shared" si="162"/>
        <v>On Time</v>
      </c>
      <c r="Q1304" s="13">
        <f t="shared" si="163"/>
        <v>20.683611111191567</v>
      </c>
      <c r="R1304" s="13">
        <f t="shared" si="164"/>
        <v>2.5778703703690553</v>
      </c>
      <c r="S1304" s="13">
        <f t="shared" si="165"/>
        <v>11.013622685182781</v>
      </c>
      <c r="T1304" t="str">
        <f t="shared" si="166"/>
        <v>On Time/Early</v>
      </c>
      <c r="U1304" t="str">
        <f t="shared" si="167"/>
        <v>Normal</v>
      </c>
      <c r="V1304" t="s">
        <v>102</v>
      </c>
    </row>
    <row r="1305" spans="1:22">
      <c r="A1305" t="s">
        <v>1961</v>
      </c>
      <c r="B1305" s="10">
        <v>43185.461493055554</v>
      </c>
      <c r="C1305" s="10">
        <v>43185.469189814816</v>
      </c>
      <c r="D1305" s="10">
        <v>43185.940717592595</v>
      </c>
      <c r="E1305" s="10">
        <v>43196.942245370374</v>
      </c>
      <c r="F1305" s="10">
        <v>43213</v>
      </c>
      <c r="G1305" t="s">
        <v>30</v>
      </c>
      <c r="H1305" t="s">
        <v>1962</v>
      </c>
      <c r="I1305" t="s">
        <v>136</v>
      </c>
      <c r="J1305" s="11">
        <v>1</v>
      </c>
      <c r="K1305" s="12">
        <v>198</v>
      </c>
      <c r="L1305" s="12">
        <v>19.27</v>
      </c>
      <c r="M1305" s="13">
        <v>5</v>
      </c>
      <c r="N1305" s="13">
        <f t="shared" si="160"/>
        <v>11.480752314819256</v>
      </c>
      <c r="O1305" s="13">
        <f t="shared" si="161"/>
        <v>0</v>
      </c>
      <c r="P1305" t="str">
        <f t="shared" si="162"/>
        <v>On Time</v>
      </c>
      <c r="Q1305" s="13">
        <f t="shared" si="163"/>
        <v>0.18472222227137536</v>
      </c>
      <c r="R1305" s="13">
        <f t="shared" si="164"/>
        <v>0.47152777777955635</v>
      </c>
      <c r="S1305" s="13">
        <f t="shared" si="165"/>
        <v>11.001527777778392</v>
      </c>
      <c r="T1305" t="str">
        <f t="shared" si="166"/>
        <v>On Time/Early</v>
      </c>
      <c r="U1305" t="str">
        <f t="shared" si="167"/>
        <v>Normal</v>
      </c>
      <c r="V1305" t="s">
        <v>102</v>
      </c>
    </row>
    <row r="1306" spans="1:22">
      <c r="A1306" t="s">
        <v>1963</v>
      </c>
      <c r="B1306" s="10">
        <v>43185.530173611114</v>
      </c>
      <c r="C1306" s="10">
        <v>43186.173842592594</v>
      </c>
      <c r="D1306" s="10">
        <v>43186.765173611115</v>
      </c>
      <c r="E1306" s="10">
        <v>43193.952743055554</v>
      </c>
      <c r="F1306" s="10">
        <v>43220</v>
      </c>
      <c r="G1306" t="s">
        <v>16</v>
      </c>
      <c r="H1306" t="s">
        <v>138</v>
      </c>
      <c r="I1306" t="s">
        <v>1508</v>
      </c>
      <c r="J1306" s="11">
        <v>1</v>
      </c>
      <c r="K1306" s="12">
        <v>410</v>
      </c>
      <c r="L1306" s="12">
        <v>24.66</v>
      </c>
      <c r="M1306" s="13">
        <v>5</v>
      </c>
      <c r="N1306" s="13">
        <f t="shared" si="160"/>
        <v>8.4225694444394321</v>
      </c>
      <c r="O1306" s="13">
        <f t="shared" si="161"/>
        <v>0</v>
      </c>
      <c r="P1306" t="str">
        <f t="shared" si="162"/>
        <v>On Time</v>
      </c>
      <c r="Q1306" s="13">
        <f t="shared" si="163"/>
        <v>15.448055555520114</v>
      </c>
      <c r="R1306" s="13">
        <f t="shared" si="164"/>
        <v>0.59133101852057735</v>
      </c>
      <c r="S1306" s="13">
        <f t="shared" si="165"/>
        <v>7.18756944443885</v>
      </c>
      <c r="T1306" t="str">
        <f t="shared" si="166"/>
        <v>On Time/Early</v>
      </c>
      <c r="U1306" t="str">
        <f t="shared" si="167"/>
        <v>Normal</v>
      </c>
      <c r="V1306" t="s">
        <v>102</v>
      </c>
    </row>
    <row r="1307" spans="1:22">
      <c r="A1307" t="s">
        <v>1964</v>
      </c>
      <c r="B1307" s="10">
        <v>43185.747650462959</v>
      </c>
      <c r="C1307" s="10">
        <v>43185.757164351853</v>
      </c>
      <c r="D1307" s="10">
        <v>43186.898206018515</v>
      </c>
      <c r="E1307" s="10">
        <v>43200.793900462966</v>
      </c>
      <c r="F1307" s="10">
        <v>43203</v>
      </c>
      <c r="G1307" t="s">
        <v>36</v>
      </c>
      <c r="H1307" t="s">
        <v>467</v>
      </c>
      <c r="I1307" t="s">
        <v>246</v>
      </c>
      <c r="J1307" s="11">
        <v>1</v>
      </c>
      <c r="K1307" s="12">
        <v>49.99</v>
      </c>
      <c r="L1307" s="12">
        <v>16.32</v>
      </c>
      <c r="M1307" s="13">
        <v>5</v>
      </c>
      <c r="N1307" s="13">
        <f t="shared" si="160"/>
        <v>15.046250000006694</v>
      </c>
      <c r="O1307" s="13">
        <f t="shared" si="161"/>
        <v>0</v>
      </c>
      <c r="P1307" t="str">
        <f t="shared" si="162"/>
        <v>On Time</v>
      </c>
      <c r="Q1307" s="13">
        <f t="shared" si="163"/>
        <v>0.22833333344897255</v>
      </c>
      <c r="R1307" s="13">
        <f t="shared" si="164"/>
        <v>1.1410416666622041</v>
      </c>
      <c r="S1307" s="13">
        <f t="shared" si="165"/>
        <v>13.895694444450783</v>
      </c>
      <c r="T1307" t="str">
        <f t="shared" si="166"/>
        <v>On Time/Early</v>
      </c>
      <c r="U1307" t="str">
        <f t="shared" si="167"/>
        <v>Normal</v>
      </c>
      <c r="V1307" t="s">
        <v>102</v>
      </c>
    </row>
    <row r="1308" spans="1:22">
      <c r="A1308" t="s">
        <v>1965</v>
      </c>
      <c r="B1308" s="10">
        <v>43185.85670138889</v>
      </c>
      <c r="C1308" s="10">
        <v>43185.866099537037</v>
      </c>
      <c r="D1308" s="10">
        <v>43188.575613425928</v>
      </c>
      <c r="E1308" s="10">
        <v>43199.734606481485</v>
      </c>
      <c r="F1308" s="10">
        <v>43202</v>
      </c>
      <c r="G1308" t="s">
        <v>8</v>
      </c>
      <c r="H1308" t="s">
        <v>1966</v>
      </c>
      <c r="I1308" t="s">
        <v>180</v>
      </c>
      <c r="J1308" s="11">
        <v>1</v>
      </c>
      <c r="K1308" s="12">
        <v>189</v>
      </c>
      <c r="L1308" s="12">
        <v>18.23</v>
      </c>
      <c r="M1308" s="13">
        <v>5</v>
      </c>
      <c r="N1308" s="13">
        <f t="shared" si="160"/>
        <v>13.877905092595029</v>
      </c>
      <c r="O1308" s="13">
        <f t="shared" si="161"/>
        <v>0</v>
      </c>
      <c r="P1308" t="str">
        <f t="shared" si="162"/>
        <v>On Time</v>
      </c>
      <c r="Q1308" s="13">
        <f t="shared" si="163"/>
        <v>0.22555555554572493</v>
      </c>
      <c r="R1308" s="13">
        <f t="shared" si="164"/>
        <v>2.7095138888907968</v>
      </c>
      <c r="S1308" s="13">
        <f t="shared" si="165"/>
        <v>11.158993055556493</v>
      </c>
      <c r="T1308" t="str">
        <f t="shared" si="166"/>
        <v>On Time/Early</v>
      </c>
      <c r="U1308" t="str">
        <f t="shared" si="167"/>
        <v>Normal</v>
      </c>
      <c r="V1308" t="s">
        <v>102</v>
      </c>
    </row>
    <row r="1309" spans="1:22">
      <c r="A1309" t="s">
        <v>1967</v>
      </c>
      <c r="B1309" s="10">
        <v>43186.411782407406</v>
      </c>
      <c r="C1309" s="10">
        <v>43187.352442129632</v>
      </c>
      <c r="D1309" s="10">
        <v>43187.9844212963</v>
      </c>
      <c r="E1309" s="10">
        <v>43196.796134259261</v>
      </c>
      <c r="F1309" s="10">
        <v>43214</v>
      </c>
      <c r="G1309" t="s">
        <v>20</v>
      </c>
      <c r="H1309" t="s">
        <v>1408</v>
      </c>
      <c r="I1309" t="s">
        <v>58</v>
      </c>
      <c r="J1309" s="11">
        <v>1</v>
      </c>
      <c r="K1309" s="12">
        <v>349.9</v>
      </c>
      <c r="L1309" s="12">
        <v>27.13</v>
      </c>
      <c r="M1309" s="13">
        <v>2</v>
      </c>
      <c r="N1309" s="13">
        <f t="shared" si="160"/>
        <v>10.384351851855172</v>
      </c>
      <c r="O1309" s="13">
        <f t="shared" si="161"/>
        <v>0</v>
      </c>
      <c r="P1309" t="str">
        <f t="shared" si="162"/>
        <v>On Time</v>
      </c>
      <c r="Q1309" s="13">
        <f t="shared" si="163"/>
        <v>22.575833333423361</v>
      </c>
      <c r="R1309" s="13">
        <f t="shared" si="164"/>
        <v>0.63197916666831588</v>
      </c>
      <c r="S1309" s="13">
        <f t="shared" si="165"/>
        <v>8.8117129629608826</v>
      </c>
      <c r="T1309" t="str">
        <f t="shared" si="166"/>
        <v>On Time/Early</v>
      </c>
      <c r="U1309" t="str">
        <f t="shared" si="167"/>
        <v>Normal</v>
      </c>
      <c r="V1309" t="s">
        <v>102</v>
      </c>
    </row>
    <row r="1310" spans="1:22">
      <c r="A1310" t="s">
        <v>1968</v>
      </c>
      <c r="B1310" s="10">
        <v>43186.418946759259</v>
      </c>
      <c r="C1310" s="10">
        <v>43186.42732638889</v>
      </c>
      <c r="D1310" s="10">
        <v>43188.739606481482</v>
      </c>
      <c r="E1310" s="10">
        <v>43192.67527777778</v>
      </c>
      <c r="F1310" s="10">
        <v>43199</v>
      </c>
      <c r="G1310" t="s">
        <v>8</v>
      </c>
      <c r="H1310" t="s">
        <v>140</v>
      </c>
      <c r="I1310" t="s">
        <v>136</v>
      </c>
      <c r="J1310" s="11">
        <v>1</v>
      </c>
      <c r="K1310" s="12">
        <v>49.9</v>
      </c>
      <c r="L1310" s="12">
        <v>7.39</v>
      </c>
      <c r="M1310" s="13">
        <v>5</v>
      </c>
      <c r="N1310" s="13">
        <f t="shared" si="160"/>
        <v>6.2563310185214505</v>
      </c>
      <c r="O1310" s="13">
        <f t="shared" si="161"/>
        <v>0</v>
      </c>
      <c r="P1310" t="str">
        <f t="shared" si="162"/>
        <v>On Time</v>
      </c>
      <c r="Q1310" s="13">
        <f t="shared" si="163"/>
        <v>0.20111111114965752</v>
      </c>
      <c r="R1310" s="13">
        <f t="shared" si="164"/>
        <v>2.3122800925921183</v>
      </c>
      <c r="S1310" s="13">
        <f t="shared" si="165"/>
        <v>3.9356712962980964</v>
      </c>
      <c r="T1310" t="str">
        <f t="shared" si="166"/>
        <v>On Time/Early</v>
      </c>
      <c r="U1310" t="str">
        <f t="shared" si="167"/>
        <v>Normal</v>
      </c>
      <c r="V1310" t="s">
        <v>102</v>
      </c>
    </row>
    <row r="1311" spans="1:22">
      <c r="A1311" t="s">
        <v>1969</v>
      </c>
      <c r="B1311" s="10">
        <v>43186.570891203701</v>
      </c>
      <c r="C1311" s="10">
        <v>43188.2965625</v>
      </c>
      <c r="D1311" s="10">
        <v>43193.795428240737</v>
      </c>
      <c r="E1311" s="10">
        <v>43216.554456018515</v>
      </c>
      <c r="F1311" s="10">
        <v>43208</v>
      </c>
      <c r="G1311" t="s">
        <v>747</v>
      </c>
      <c r="H1311" t="s">
        <v>748</v>
      </c>
      <c r="I1311" t="s">
        <v>34</v>
      </c>
      <c r="J1311" s="11">
        <v>1</v>
      </c>
      <c r="K1311" s="12">
        <v>987</v>
      </c>
      <c r="L1311" s="12">
        <v>33.35</v>
      </c>
      <c r="M1311" s="13">
        <v>1</v>
      </c>
      <c r="N1311" s="13">
        <f t="shared" si="160"/>
        <v>29.983564814814599</v>
      </c>
      <c r="O1311" s="13">
        <f t="shared" si="161"/>
        <v>8.5544560185153387</v>
      </c>
      <c r="P1311" t="str">
        <f t="shared" si="162"/>
        <v>Delayed</v>
      </c>
      <c r="Q1311" s="13">
        <f t="shared" si="163"/>
        <v>41.416111111175269</v>
      </c>
      <c r="R1311" s="13">
        <f t="shared" si="164"/>
        <v>5.4988657407375285</v>
      </c>
      <c r="S1311" s="13">
        <f t="shared" si="165"/>
        <v>22.759027777778101</v>
      </c>
      <c r="T1311" t="str">
        <f t="shared" si="166"/>
        <v>8+ Days Late</v>
      </c>
      <c r="U1311" t="str">
        <f t="shared" si="167"/>
        <v>Needs Review</v>
      </c>
      <c r="V1311" t="s">
        <v>102</v>
      </c>
    </row>
    <row r="1312" spans="1:22">
      <c r="A1312" t="s">
        <v>1970</v>
      </c>
      <c r="B1312" s="10">
        <v>43186.686215277776</v>
      </c>
      <c r="C1312" s="10">
        <v>43186.701990740738</v>
      </c>
      <c r="D1312" s="10">
        <v>43188.777268518519</v>
      </c>
      <c r="E1312" s="10">
        <v>43201.921851851854</v>
      </c>
      <c r="F1312" s="10">
        <v>43203</v>
      </c>
      <c r="G1312" t="s">
        <v>8</v>
      </c>
      <c r="H1312" t="s">
        <v>379</v>
      </c>
      <c r="I1312" t="s">
        <v>221</v>
      </c>
      <c r="J1312" s="11">
        <v>1</v>
      </c>
      <c r="K1312" s="12">
        <v>151.9</v>
      </c>
      <c r="L1312" s="12">
        <v>17.97</v>
      </c>
      <c r="M1312" s="13">
        <v>5</v>
      </c>
      <c r="N1312" s="13">
        <f t="shared" si="160"/>
        <v>15.235636574077944</v>
      </c>
      <c r="O1312" s="13">
        <f t="shared" si="161"/>
        <v>0</v>
      </c>
      <c r="P1312" t="str">
        <f t="shared" si="162"/>
        <v>On Time</v>
      </c>
      <c r="Q1312" s="13">
        <f t="shared" si="163"/>
        <v>0.37861111108213663</v>
      </c>
      <c r="R1312" s="13">
        <f t="shared" si="164"/>
        <v>2.0752777777815936</v>
      </c>
      <c r="S1312" s="13">
        <f t="shared" si="165"/>
        <v>13.144583333334594</v>
      </c>
      <c r="T1312" t="str">
        <f t="shared" si="166"/>
        <v>On Time/Early</v>
      </c>
      <c r="U1312" t="str">
        <f t="shared" si="167"/>
        <v>Normal</v>
      </c>
      <c r="V1312" t="s">
        <v>102</v>
      </c>
    </row>
    <row r="1313" spans="1:22">
      <c r="A1313" t="s">
        <v>1971</v>
      </c>
      <c r="B1313" s="10">
        <v>43186.8434837963</v>
      </c>
      <c r="C1313" s="10">
        <v>43186.85434027778</v>
      </c>
      <c r="D1313" s="10">
        <v>43187.7184375</v>
      </c>
      <c r="E1313" s="10">
        <v>43203.747650462959</v>
      </c>
      <c r="F1313" s="10">
        <v>43217</v>
      </c>
      <c r="G1313" t="s">
        <v>16</v>
      </c>
      <c r="H1313" t="s">
        <v>138</v>
      </c>
      <c r="I1313" t="s">
        <v>963</v>
      </c>
      <c r="J1313" s="11">
        <v>1</v>
      </c>
      <c r="K1313" s="12">
        <v>459.99</v>
      </c>
      <c r="L1313" s="12">
        <v>47.77</v>
      </c>
      <c r="M1313" s="13">
        <v>4</v>
      </c>
      <c r="N1313" s="13">
        <f t="shared" si="160"/>
        <v>16.904166666659876</v>
      </c>
      <c r="O1313" s="13">
        <f t="shared" si="161"/>
        <v>0</v>
      </c>
      <c r="P1313" t="str">
        <f t="shared" si="162"/>
        <v>On Time</v>
      </c>
      <c r="Q1313" s="13">
        <f t="shared" si="163"/>
        <v>0.26055555552011356</v>
      </c>
      <c r="R1313" s="13">
        <f t="shared" si="164"/>
        <v>0.86409722222015262</v>
      </c>
      <c r="S1313" s="13">
        <f t="shared" si="165"/>
        <v>16.029212962959718</v>
      </c>
      <c r="T1313" t="str">
        <f t="shared" si="166"/>
        <v>On Time/Early</v>
      </c>
      <c r="U1313" t="str">
        <f t="shared" si="167"/>
        <v>Normal</v>
      </c>
      <c r="V1313" t="s">
        <v>102</v>
      </c>
    </row>
    <row r="1314" spans="1:22">
      <c r="A1314" t="s">
        <v>1972</v>
      </c>
      <c r="B1314" s="10">
        <v>43187.252164351848</v>
      </c>
      <c r="C1314" s="10">
        <v>43187.26053240741</v>
      </c>
      <c r="D1314" s="10">
        <v>43188.986851851849</v>
      </c>
      <c r="E1314" s="10">
        <v>43200.014525462961</v>
      </c>
      <c r="F1314" s="10">
        <v>43206</v>
      </c>
      <c r="G1314" t="s">
        <v>8</v>
      </c>
      <c r="H1314" t="s">
        <v>140</v>
      </c>
      <c r="I1314" t="s">
        <v>221</v>
      </c>
      <c r="J1314" s="11">
        <v>1</v>
      </c>
      <c r="K1314" s="12">
        <v>123</v>
      </c>
      <c r="L1314" s="12">
        <v>13.3</v>
      </c>
      <c r="M1314" s="13">
        <v>4</v>
      </c>
      <c r="N1314" s="13">
        <f t="shared" si="160"/>
        <v>12.762361111112114</v>
      </c>
      <c r="O1314" s="13">
        <f t="shared" si="161"/>
        <v>0</v>
      </c>
      <c r="P1314" t="str">
        <f t="shared" si="162"/>
        <v>On Time</v>
      </c>
      <c r="Q1314" s="13">
        <f t="shared" si="163"/>
        <v>0.20083333348156884</v>
      </c>
      <c r="R1314" s="13">
        <f t="shared" si="164"/>
        <v>1.726319444438559</v>
      </c>
      <c r="S1314" s="13">
        <f t="shared" si="165"/>
        <v>11.027673611111823</v>
      </c>
      <c r="T1314" t="str">
        <f t="shared" si="166"/>
        <v>On Time/Early</v>
      </c>
      <c r="U1314" t="str">
        <f t="shared" si="167"/>
        <v>Normal</v>
      </c>
      <c r="V1314" t="s">
        <v>102</v>
      </c>
    </row>
    <row r="1315" spans="1:22">
      <c r="A1315" t="s">
        <v>1973</v>
      </c>
      <c r="B1315" s="10">
        <v>43187.664409722223</v>
      </c>
      <c r="C1315" s="10">
        <v>43187.672442129631</v>
      </c>
      <c r="D1315" s="10">
        <v>43192.992384259262</v>
      </c>
      <c r="E1315" s="10">
        <v>43200.818506944444</v>
      </c>
      <c r="F1315" s="10">
        <v>43206</v>
      </c>
      <c r="G1315" t="s">
        <v>8</v>
      </c>
      <c r="H1315" t="s">
        <v>1974</v>
      </c>
      <c r="I1315" t="s">
        <v>136</v>
      </c>
      <c r="J1315" s="11">
        <v>1</v>
      </c>
      <c r="K1315" s="12">
        <v>185</v>
      </c>
      <c r="L1315" s="12">
        <v>13.73</v>
      </c>
      <c r="M1315" s="13">
        <v>5</v>
      </c>
      <c r="N1315" s="13">
        <f t="shared" si="160"/>
        <v>13.154097222221026</v>
      </c>
      <c r="O1315" s="13">
        <f t="shared" si="161"/>
        <v>0</v>
      </c>
      <c r="P1315" t="str">
        <f t="shared" si="162"/>
        <v>On Time</v>
      </c>
      <c r="Q1315" s="13">
        <f t="shared" si="163"/>
        <v>0.19277777778916061</v>
      </c>
      <c r="R1315" s="13">
        <f t="shared" si="164"/>
        <v>5.3199421296303626</v>
      </c>
      <c r="S1315" s="13">
        <f t="shared" si="165"/>
        <v>7.8261226851827814</v>
      </c>
      <c r="T1315" t="str">
        <f t="shared" si="166"/>
        <v>On Time/Early</v>
      </c>
      <c r="U1315" t="str">
        <f t="shared" si="167"/>
        <v>Normal</v>
      </c>
      <c r="V1315" t="s">
        <v>102</v>
      </c>
    </row>
    <row r="1316" spans="1:22">
      <c r="A1316" t="s">
        <v>1975</v>
      </c>
      <c r="B1316" s="10">
        <v>43187.899837962963</v>
      </c>
      <c r="C1316" s="10">
        <v>43188.561655092592</v>
      </c>
      <c r="D1316" s="10">
        <v>43189.036493055559</v>
      </c>
      <c r="E1316" s="10">
        <v>43195.464479166665</v>
      </c>
      <c r="F1316" s="10">
        <v>43216</v>
      </c>
      <c r="G1316" t="s">
        <v>134</v>
      </c>
      <c r="H1316" t="s">
        <v>1976</v>
      </c>
      <c r="I1316" t="s">
        <v>185</v>
      </c>
      <c r="J1316" s="11">
        <v>1</v>
      </c>
      <c r="K1316" s="12">
        <v>65.900000000000006</v>
      </c>
      <c r="L1316" s="12">
        <v>37.15</v>
      </c>
      <c r="M1316" s="13">
        <v>5</v>
      </c>
      <c r="N1316" s="13">
        <f t="shared" si="160"/>
        <v>7.5646412037021946</v>
      </c>
      <c r="O1316" s="13">
        <f t="shared" si="161"/>
        <v>0</v>
      </c>
      <c r="P1316" t="str">
        <f t="shared" si="162"/>
        <v>On Time</v>
      </c>
      <c r="Q1316" s="13">
        <f t="shared" si="163"/>
        <v>15.883611111086793</v>
      </c>
      <c r="R1316" s="13">
        <f t="shared" si="164"/>
        <v>0.47483796296728542</v>
      </c>
      <c r="S1316" s="13">
        <f t="shared" si="165"/>
        <v>6.4279861111062928</v>
      </c>
      <c r="T1316" t="str">
        <f t="shared" si="166"/>
        <v>On Time/Early</v>
      </c>
      <c r="U1316" t="str">
        <f t="shared" si="167"/>
        <v>Normal</v>
      </c>
      <c r="V1316" t="s">
        <v>102</v>
      </c>
    </row>
    <row r="1317" spans="1:22">
      <c r="A1317" t="s">
        <v>1977</v>
      </c>
      <c r="B1317" s="10">
        <v>43188.415601851855</v>
      </c>
      <c r="C1317" s="10">
        <v>43188.427233796298</v>
      </c>
      <c r="D1317" s="10">
        <v>43192.849120370367</v>
      </c>
      <c r="E1317" s="10">
        <v>43193.941076388888</v>
      </c>
      <c r="F1317" s="10">
        <v>43201</v>
      </c>
      <c r="G1317" t="s">
        <v>8</v>
      </c>
      <c r="H1317" t="s">
        <v>140</v>
      </c>
      <c r="I1317" t="s">
        <v>123</v>
      </c>
      <c r="J1317" s="11">
        <v>1</v>
      </c>
      <c r="K1317" s="12">
        <v>129.99</v>
      </c>
      <c r="L1317" s="12">
        <v>11.53</v>
      </c>
      <c r="M1317" s="13">
        <v>4</v>
      </c>
      <c r="N1317" s="13">
        <f t="shared" si="160"/>
        <v>5.5254745370330056</v>
      </c>
      <c r="O1317" s="13">
        <f t="shared" si="161"/>
        <v>0</v>
      </c>
      <c r="P1317" t="str">
        <f t="shared" si="162"/>
        <v>On Time</v>
      </c>
      <c r="Q1317" s="13">
        <f t="shared" si="163"/>
        <v>0.27916666661622003</v>
      </c>
      <c r="R1317" s="13">
        <f t="shared" si="164"/>
        <v>4.4218865740695037</v>
      </c>
      <c r="S1317" s="13">
        <f t="shared" si="165"/>
        <v>1.0919560185211594</v>
      </c>
      <c r="T1317" t="str">
        <f t="shared" si="166"/>
        <v>On Time/Early</v>
      </c>
      <c r="U1317" t="str">
        <f t="shared" si="167"/>
        <v>Normal</v>
      </c>
      <c r="V1317" t="s">
        <v>102</v>
      </c>
    </row>
    <row r="1318" spans="1:22">
      <c r="A1318" t="s">
        <v>1978</v>
      </c>
      <c r="B1318" s="10">
        <v>43189.920914351853</v>
      </c>
      <c r="C1318" s="10">
        <v>43193.242210648146</v>
      </c>
      <c r="D1318" s="10">
        <v>43202.925069444442</v>
      </c>
      <c r="E1318" s="10">
        <v>43235.799675925926</v>
      </c>
      <c r="F1318" s="10">
        <v>43215</v>
      </c>
      <c r="G1318" t="s">
        <v>43</v>
      </c>
      <c r="H1318" t="s">
        <v>167</v>
      </c>
      <c r="I1318" t="s">
        <v>58</v>
      </c>
      <c r="J1318" s="11">
        <v>1</v>
      </c>
      <c r="K1318" s="12">
        <v>61.99</v>
      </c>
      <c r="L1318" s="12">
        <v>22.93</v>
      </c>
      <c r="M1318" s="13">
        <v>1</v>
      </c>
      <c r="N1318" s="13">
        <f t="shared" si="160"/>
        <v>45.878761574072996</v>
      </c>
      <c r="O1318" s="13">
        <f t="shared" si="161"/>
        <v>20.79967592592584</v>
      </c>
      <c r="P1318" t="str">
        <f t="shared" si="162"/>
        <v>Delayed</v>
      </c>
      <c r="Q1318" s="13">
        <f t="shared" si="163"/>
        <v>79.711111111042555</v>
      </c>
      <c r="R1318" s="13">
        <f t="shared" si="164"/>
        <v>9.6828587962954771</v>
      </c>
      <c r="S1318" s="13">
        <f t="shared" si="165"/>
        <v>32.874606481484079</v>
      </c>
      <c r="T1318" t="str">
        <f t="shared" si="166"/>
        <v>8+ Days Late</v>
      </c>
      <c r="U1318" t="str">
        <f t="shared" si="167"/>
        <v>Needs Review</v>
      </c>
      <c r="V1318" t="s">
        <v>102</v>
      </c>
    </row>
    <row r="1319" spans="1:22">
      <c r="A1319" t="s">
        <v>1979</v>
      </c>
      <c r="B1319" s="10">
        <v>43190.451296296298</v>
      </c>
      <c r="C1319" s="10">
        <v>43190.464155092595</v>
      </c>
      <c r="D1319" s="10">
        <v>43192.821064814816</v>
      </c>
      <c r="E1319" s="10">
        <v>43196.931759259256</v>
      </c>
      <c r="F1319" s="10">
        <v>43209</v>
      </c>
      <c r="G1319" t="s">
        <v>16</v>
      </c>
      <c r="H1319" t="s">
        <v>852</v>
      </c>
      <c r="I1319" t="s">
        <v>136</v>
      </c>
      <c r="J1319" s="11">
        <v>1</v>
      </c>
      <c r="K1319" s="12">
        <v>49.99</v>
      </c>
      <c r="L1319" s="12">
        <v>15.23</v>
      </c>
      <c r="M1319" s="13">
        <v>5</v>
      </c>
      <c r="N1319" s="13">
        <f t="shared" si="160"/>
        <v>6.4804629629579722</v>
      </c>
      <c r="O1319" s="13">
        <f t="shared" si="161"/>
        <v>0</v>
      </c>
      <c r="P1319" t="str">
        <f t="shared" si="162"/>
        <v>On Time</v>
      </c>
      <c r="Q1319" s="13">
        <f t="shared" si="163"/>
        <v>0.30861111113335937</v>
      </c>
      <c r="R1319" s="13">
        <f t="shared" si="164"/>
        <v>2.3569097222207347</v>
      </c>
      <c r="S1319" s="13">
        <f t="shared" si="165"/>
        <v>4.1106944444400142</v>
      </c>
      <c r="T1319" t="str">
        <f t="shared" si="166"/>
        <v>On Time/Early</v>
      </c>
      <c r="U1319" t="str">
        <f t="shared" si="167"/>
        <v>Normal</v>
      </c>
      <c r="V1319" t="s">
        <v>102</v>
      </c>
    </row>
    <row r="1320" spans="1:22">
      <c r="A1320" t="s">
        <v>1980</v>
      </c>
      <c r="B1320" s="10">
        <v>43190.4690625</v>
      </c>
      <c r="C1320" s="10">
        <v>43190.477303240739</v>
      </c>
      <c r="D1320" s="10">
        <v>43192.894791666666</v>
      </c>
      <c r="E1320" s="10">
        <v>43214.92114583333</v>
      </c>
      <c r="F1320" s="10">
        <v>43223</v>
      </c>
      <c r="G1320" t="s">
        <v>16</v>
      </c>
      <c r="H1320" t="s">
        <v>138</v>
      </c>
      <c r="I1320" t="s">
        <v>101</v>
      </c>
      <c r="J1320" s="11">
        <v>2</v>
      </c>
      <c r="K1320" s="12">
        <v>79.8</v>
      </c>
      <c r="L1320" s="12">
        <v>30.46</v>
      </c>
      <c r="M1320" s="13">
        <v>5</v>
      </c>
      <c r="N1320" s="13">
        <f t="shared" si="160"/>
        <v>24.452083333329938</v>
      </c>
      <c r="O1320" s="13">
        <f t="shared" si="161"/>
        <v>0</v>
      </c>
      <c r="P1320" t="str">
        <f t="shared" si="162"/>
        <v>On Time</v>
      </c>
      <c r="Q1320" s="13">
        <f t="shared" si="163"/>
        <v>0.19777777773560956</v>
      </c>
      <c r="R1320" s="13">
        <f t="shared" si="164"/>
        <v>2.4174884259264218</v>
      </c>
      <c r="S1320" s="13">
        <f t="shared" si="165"/>
        <v>22.026354166664532</v>
      </c>
      <c r="T1320" t="str">
        <f t="shared" si="166"/>
        <v>On Time/Early</v>
      </c>
      <c r="U1320" t="str">
        <f t="shared" si="167"/>
        <v>Normal</v>
      </c>
      <c r="V1320" t="s">
        <v>102</v>
      </c>
    </row>
    <row r="1321" spans="1:22">
      <c r="A1321" t="s">
        <v>1981</v>
      </c>
      <c r="B1321" s="10">
        <v>43190.503055555557</v>
      </c>
      <c r="C1321" s="10">
        <v>43190.510474537034</v>
      </c>
      <c r="D1321" s="10">
        <v>43195.915752314817</v>
      </c>
      <c r="E1321" s="10">
        <v>43226.651979166665</v>
      </c>
      <c r="F1321" s="10">
        <v>43214</v>
      </c>
      <c r="G1321" t="s">
        <v>30</v>
      </c>
      <c r="H1321" t="s">
        <v>365</v>
      </c>
      <c r="I1321" t="s">
        <v>141</v>
      </c>
      <c r="J1321" s="11">
        <v>2</v>
      </c>
      <c r="K1321" s="12">
        <v>419.8</v>
      </c>
      <c r="L1321" s="12">
        <v>36.36</v>
      </c>
      <c r="M1321" s="13">
        <v>1</v>
      </c>
      <c r="N1321" s="13">
        <f t="shared" si="160"/>
        <v>36.14892361110833</v>
      </c>
      <c r="O1321" s="13">
        <f t="shared" si="161"/>
        <v>12.651979166665114</v>
      </c>
      <c r="P1321" t="str">
        <f t="shared" si="162"/>
        <v>Delayed</v>
      </c>
      <c r="Q1321" s="13">
        <f t="shared" si="163"/>
        <v>0.17805555544327945</v>
      </c>
      <c r="R1321" s="13">
        <f t="shared" si="164"/>
        <v>5.4052777777833398</v>
      </c>
      <c r="S1321" s="13">
        <f t="shared" si="165"/>
        <v>30.736226851848187</v>
      </c>
      <c r="T1321" t="str">
        <f t="shared" si="166"/>
        <v>8+ Days Late</v>
      </c>
      <c r="U1321" t="str">
        <f t="shared" si="167"/>
        <v>Needs Review</v>
      </c>
      <c r="V1321" t="s">
        <v>102</v>
      </c>
    </row>
    <row r="1322" spans="1:22">
      <c r="A1322" t="s">
        <v>1982</v>
      </c>
      <c r="B1322" s="10">
        <v>43190.630798611113</v>
      </c>
      <c r="C1322" s="10">
        <v>43190.680601851855</v>
      </c>
      <c r="D1322" s="10">
        <v>43193.712638888886</v>
      </c>
      <c r="E1322" s="10">
        <v>43203.832361111112</v>
      </c>
      <c r="F1322" s="10">
        <v>43224</v>
      </c>
      <c r="G1322" t="s">
        <v>20</v>
      </c>
      <c r="H1322" t="s">
        <v>104</v>
      </c>
      <c r="I1322" t="s">
        <v>252</v>
      </c>
      <c r="J1322" s="11">
        <v>1</v>
      </c>
      <c r="K1322" s="12">
        <v>40</v>
      </c>
      <c r="L1322" s="12">
        <v>19.32</v>
      </c>
      <c r="M1322" s="13">
        <v>1</v>
      </c>
      <c r="N1322" s="13">
        <f t="shared" si="160"/>
        <v>13.201562499998545</v>
      </c>
      <c r="O1322" s="13">
        <f t="shared" si="161"/>
        <v>0</v>
      </c>
      <c r="P1322" t="str">
        <f t="shared" si="162"/>
        <v>On Time</v>
      </c>
      <c r="Q1322" s="13">
        <f t="shared" si="163"/>
        <v>1.1952777777914889</v>
      </c>
      <c r="R1322" s="13">
        <f t="shared" si="164"/>
        <v>3.0320370370318415</v>
      </c>
      <c r="S1322" s="13">
        <f t="shared" si="165"/>
        <v>10.119722222225391</v>
      </c>
      <c r="T1322" t="str">
        <f t="shared" si="166"/>
        <v>On Time/Early</v>
      </c>
      <c r="U1322" t="str">
        <f t="shared" si="167"/>
        <v>Normal</v>
      </c>
      <c r="V1322" t="s">
        <v>102</v>
      </c>
    </row>
    <row r="1323" spans="1:22">
      <c r="A1323" t="s">
        <v>1983</v>
      </c>
      <c r="B1323" s="10">
        <v>43191.451921296299</v>
      </c>
      <c r="C1323" s="10">
        <v>43191.46365740741</v>
      </c>
      <c r="D1323" s="10">
        <v>43193.787245370368</v>
      </c>
      <c r="E1323" s="10">
        <v>43199.78365740741</v>
      </c>
      <c r="F1323" s="10">
        <v>43208</v>
      </c>
      <c r="G1323" t="s">
        <v>8</v>
      </c>
      <c r="H1323" t="s">
        <v>314</v>
      </c>
      <c r="I1323" t="s">
        <v>180</v>
      </c>
      <c r="J1323" s="11">
        <v>5</v>
      </c>
      <c r="K1323" s="12">
        <v>199.95</v>
      </c>
      <c r="L1323" s="12">
        <v>63.95</v>
      </c>
      <c r="M1323" s="13">
        <v>1</v>
      </c>
      <c r="N1323" s="13">
        <f t="shared" si="160"/>
        <v>8.3317361111112405</v>
      </c>
      <c r="O1323" s="13">
        <f t="shared" si="161"/>
        <v>0</v>
      </c>
      <c r="P1323" t="str">
        <f t="shared" si="162"/>
        <v>On Time</v>
      </c>
      <c r="Q1323" s="13">
        <f t="shared" si="163"/>
        <v>0.28166666667675599</v>
      </c>
      <c r="R1323" s="13">
        <f t="shared" si="164"/>
        <v>2.3235879629573901</v>
      </c>
      <c r="S1323" s="13">
        <f t="shared" si="165"/>
        <v>5.9964120370423188</v>
      </c>
      <c r="T1323" t="str">
        <f t="shared" si="166"/>
        <v>On Time/Early</v>
      </c>
      <c r="U1323" t="str">
        <f t="shared" si="167"/>
        <v>Normal</v>
      </c>
      <c r="V1323" t="s">
        <v>102</v>
      </c>
    </row>
    <row r="1324" spans="1:22">
      <c r="A1324" t="s">
        <v>1984</v>
      </c>
      <c r="B1324" s="10">
        <v>43191.466898148145</v>
      </c>
      <c r="C1324" s="10">
        <v>43191.477581018517</v>
      </c>
      <c r="D1324" s="10">
        <v>43192.790682870371</v>
      </c>
      <c r="E1324" s="10">
        <v>43193.878125000003</v>
      </c>
      <c r="F1324" s="10">
        <v>43206</v>
      </c>
      <c r="G1324" t="s">
        <v>8</v>
      </c>
      <c r="H1324" t="s">
        <v>418</v>
      </c>
      <c r="I1324" t="s">
        <v>58</v>
      </c>
      <c r="J1324" s="11">
        <v>1</v>
      </c>
      <c r="K1324" s="12">
        <v>79.989999999999995</v>
      </c>
      <c r="L1324" s="12">
        <v>8.91</v>
      </c>
      <c r="M1324" s="13">
        <v>5</v>
      </c>
      <c r="N1324" s="13">
        <f t="shared" si="160"/>
        <v>2.4112268518583733</v>
      </c>
      <c r="O1324" s="13">
        <f t="shared" si="161"/>
        <v>0</v>
      </c>
      <c r="P1324" t="str">
        <f t="shared" si="162"/>
        <v>On Time</v>
      </c>
      <c r="Q1324" s="13">
        <f t="shared" si="163"/>
        <v>0.25638888892717659</v>
      </c>
      <c r="R1324" s="13">
        <f t="shared" si="164"/>
        <v>1.3131018518542987</v>
      </c>
      <c r="S1324" s="13">
        <f t="shared" si="165"/>
        <v>1.0874421296321088</v>
      </c>
      <c r="T1324" t="str">
        <f t="shared" si="166"/>
        <v>On Time/Early</v>
      </c>
      <c r="U1324" t="str">
        <f t="shared" si="167"/>
        <v>Normal</v>
      </c>
      <c r="V1324" t="s">
        <v>102</v>
      </c>
    </row>
    <row r="1325" spans="1:22">
      <c r="A1325" t="s">
        <v>1985</v>
      </c>
      <c r="B1325" s="10">
        <v>43191.702569444446</v>
      </c>
      <c r="C1325" s="10">
        <v>43193.232847222222</v>
      </c>
      <c r="D1325" s="10">
        <v>43193.944884259261</v>
      </c>
      <c r="E1325" s="10">
        <v>43207.946886574071</v>
      </c>
      <c r="F1325" s="10">
        <v>43210</v>
      </c>
      <c r="G1325" t="s">
        <v>43</v>
      </c>
      <c r="H1325" t="s">
        <v>318</v>
      </c>
      <c r="I1325" t="s">
        <v>136</v>
      </c>
      <c r="J1325" s="11">
        <v>1</v>
      </c>
      <c r="K1325" s="12">
        <v>23.8</v>
      </c>
      <c r="L1325" s="12">
        <v>17.059999999999999</v>
      </c>
      <c r="M1325" s="13">
        <v>5</v>
      </c>
      <c r="N1325" s="13">
        <f t="shared" si="160"/>
        <v>16.244317129625415</v>
      </c>
      <c r="O1325" s="13">
        <f t="shared" si="161"/>
        <v>0</v>
      </c>
      <c r="P1325" t="str">
        <f t="shared" si="162"/>
        <v>On Time</v>
      </c>
      <c r="Q1325" s="13">
        <f t="shared" si="163"/>
        <v>36.726666666625533</v>
      </c>
      <c r="R1325" s="13">
        <f t="shared" si="164"/>
        <v>0.71203703703940846</v>
      </c>
      <c r="S1325" s="13">
        <f t="shared" si="165"/>
        <v>14.002002314809943</v>
      </c>
      <c r="T1325" t="str">
        <f t="shared" si="166"/>
        <v>On Time/Early</v>
      </c>
      <c r="U1325" t="str">
        <f t="shared" si="167"/>
        <v>Normal</v>
      </c>
      <c r="V1325" t="s">
        <v>102</v>
      </c>
    </row>
    <row r="1326" spans="1:22">
      <c r="A1326" t="s">
        <v>1986</v>
      </c>
      <c r="B1326" s="10">
        <v>43192.456354166665</v>
      </c>
      <c r="C1326" s="10">
        <v>43192.465474537035</v>
      </c>
      <c r="D1326" s="10">
        <v>43192.872604166667</v>
      </c>
      <c r="E1326" s="10">
        <v>43202.067071759258</v>
      </c>
      <c r="F1326" s="10">
        <v>43214</v>
      </c>
      <c r="G1326" t="s">
        <v>8</v>
      </c>
      <c r="H1326" t="s">
        <v>140</v>
      </c>
      <c r="I1326" t="s">
        <v>31</v>
      </c>
      <c r="J1326" s="11">
        <v>1</v>
      </c>
      <c r="K1326" s="12">
        <v>18.899999999999999</v>
      </c>
      <c r="L1326" s="12">
        <v>13.47</v>
      </c>
      <c r="M1326" s="13">
        <v>5</v>
      </c>
      <c r="N1326" s="13">
        <f t="shared" si="160"/>
        <v>9.6107175925935735</v>
      </c>
      <c r="O1326" s="13">
        <f t="shared" si="161"/>
        <v>0</v>
      </c>
      <c r="P1326" t="str">
        <f t="shared" si="162"/>
        <v>On Time</v>
      </c>
      <c r="Q1326" s="13">
        <f t="shared" si="163"/>
        <v>0.218888888892252</v>
      </c>
      <c r="R1326" s="13">
        <f t="shared" si="164"/>
        <v>0.40712962963152677</v>
      </c>
      <c r="S1326" s="13">
        <f t="shared" si="165"/>
        <v>9.1944675925915362</v>
      </c>
      <c r="T1326" t="str">
        <f t="shared" si="166"/>
        <v>On Time/Early</v>
      </c>
      <c r="U1326" t="str">
        <f t="shared" si="167"/>
        <v>Normal</v>
      </c>
      <c r="V1326" t="s">
        <v>102</v>
      </c>
    </row>
    <row r="1327" spans="1:22">
      <c r="A1327" t="s">
        <v>1987</v>
      </c>
      <c r="B1327" s="10">
        <v>43192.52815972222</v>
      </c>
      <c r="C1327" s="10">
        <v>43192.534953703704</v>
      </c>
      <c r="D1327" s="10">
        <v>43215.646527777775</v>
      </c>
      <c r="E1327" s="10">
        <v>43216.89502314815</v>
      </c>
      <c r="F1327" s="10">
        <v>43214</v>
      </c>
      <c r="G1327" t="s">
        <v>8</v>
      </c>
      <c r="H1327" t="s">
        <v>455</v>
      </c>
      <c r="I1327" t="s">
        <v>180</v>
      </c>
      <c r="J1327" s="11">
        <v>1</v>
      </c>
      <c r="K1327" s="12">
        <v>168.98</v>
      </c>
      <c r="L1327" s="12">
        <v>9.5399999999999991</v>
      </c>
      <c r="M1327" s="13">
        <v>2</v>
      </c>
      <c r="N1327" s="13">
        <f t="shared" si="160"/>
        <v>24.366863425930205</v>
      </c>
      <c r="O1327" s="13">
        <f t="shared" si="161"/>
        <v>2.8950231481503579</v>
      </c>
      <c r="P1327" t="str">
        <f t="shared" si="162"/>
        <v>Delayed</v>
      </c>
      <c r="Q1327" s="13">
        <f t="shared" si="163"/>
        <v>0.16305555560393259</v>
      </c>
      <c r="R1327" s="13">
        <f t="shared" si="164"/>
        <v>23.111574074071541</v>
      </c>
      <c r="S1327" s="13">
        <f t="shared" si="165"/>
        <v>1.2484953703751671</v>
      </c>
      <c r="T1327" t="str">
        <f t="shared" si="166"/>
        <v>1-3 Days Late</v>
      </c>
      <c r="U1327" t="str">
        <f t="shared" si="167"/>
        <v>Needs Review</v>
      </c>
      <c r="V1327" t="s">
        <v>102</v>
      </c>
    </row>
    <row r="1328" spans="1:22">
      <c r="A1328" t="s">
        <v>1988</v>
      </c>
      <c r="B1328" s="10">
        <v>43192.552534722221</v>
      </c>
      <c r="C1328" s="10">
        <v>43192.562604166669</v>
      </c>
      <c r="D1328" s="10">
        <v>43195.832407407404</v>
      </c>
      <c r="E1328" s="10">
        <v>43227.811562499999</v>
      </c>
      <c r="F1328" s="10">
        <v>43224</v>
      </c>
      <c r="G1328" t="s">
        <v>16</v>
      </c>
      <c r="H1328" t="s">
        <v>138</v>
      </c>
      <c r="I1328" t="s">
        <v>101</v>
      </c>
      <c r="J1328" s="11">
        <v>1</v>
      </c>
      <c r="K1328" s="12">
        <v>25.9</v>
      </c>
      <c r="L1328" s="12">
        <v>15.23</v>
      </c>
      <c r="M1328" s="13">
        <v>2</v>
      </c>
      <c r="N1328" s="13">
        <f t="shared" si="160"/>
        <v>35.259027777778101</v>
      </c>
      <c r="O1328" s="13">
        <f t="shared" si="161"/>
        <v>3.8115624999991269</v>
      </c>
      <c r="P1328" t="str">
        <f t="shared" si="162"/>
        <v>Delayed</v>
      </c>
      <c r="Q1328" s="13">
        <f t="shared" si="163"/>
        <v>0.24166666675591841</v>
      </c>
      <c r="R1328" s="13">
        <f t="shared" si="164"/>
        <v>3.2698032407352002</v>
      </c>
      <c r="S1328" s="13">
        <f t="shared" si="165"/>
        <v>31.979155092594738</v>
      </c>
      <c r="T1328" t="str">
        <f t="shared" si="166"/>
        <v>4-7 Days Late</v>
      </c>
      <c r="U1328" t="str">
        <f t="shared" si="167"/>
        <v>Needs Review</v>
      </c>
      <c r="V1328" t="s">
        <v>102</v>
      </c>
    </row>
    <row r="1329" spans="1:22">
      <c r="A1329" t="s">
        <v>1989</v>
      </c>
      <c r="B1329" s="10">
        <v>43192.602280092593</v>
      </c>
      <c r="C1329" s="10">
        <v>43192.619027777779</v>
      </c>
      <c r="D1329" s="10">
        <v>43194.897673611114</v>
      </c>
      <c r="E1329" s="10">
        <v>43199.873437499999</v>
      </c>
      <c r="F1329" s="10">
        <v>43210</v>
      </c>
      <c r="G1329" t="s">
        <v>36</v>
      </c>
      <c r="H1329" t="s">
        <v>467</v>
      </c>
      <c r="I1329" t="s">
        <v>185</v>
      </c>
      <c r="J1329" s="11">
        <v>1</v>
      </c>
      <c r="K1329" s="12">
        <v>27.9</v>
      </c>
      <c r="L1329" s="12">
        <v>18.23</v>
      </c>
      <c r="M1329" s="13">
        <v>5</v>
      </c>
      <c r="N1329" s="13">
        <f t="shared" si="160"/>
        <v>7.2711574074055534</v>
      </c>
      <c r="O1329" s="13">
        <f t="shared" si="161"/>
        <v>0</v>
      </c>
      <c r="P1329" t="str">
        <f t="shared" si="162"/>
        <v>On Time</v>
      </c>
      <c r="Q1329" s="13">
        <f t="shared" si="163"/>
        <v>0.40194444445660338</v>
      </c>
      <c r="R1329" s="13">
        <f t="shared" si="164"/>
        <v>2.2786458333357587</v>
      </c>
      <c r="S1329" s="13">
        <f t="shared" si="165"/>
        <v>4.9757638888841029</v>
      </c>
      <c r="T1329" t="str">
        <f t="shared" si="166"/>
        <v>On Time/Early</v>
      </c>
      <c r="U1329" t="str">
        <f t="shared" si="167"/>
        <v>Normal</v>
      </c>
      <c r="V1329" t="s">
        <v>102</v>
      </c>
    </row>
    <row r="1330" spans="1:22">
      <c r="A1330" t="s">
        <v>1990</v>
      </c>
      <c r="B1330" s="10">
        <v>43192.766643518517</v>
      </c>
      <c r="C1330" s="10">
        <v>43192.774560185186</v>
      </c>
      <c r="D1330" s="10">
        <v>43195.906817129631</v>
      </c>
      <c r="E1330" s="10">
        <v>43203.555266203701</v>
      </c>
      <c r="F1330" s="10">
        <v>43210</v>
      </c>
      <c r="G1330" t="s">
        <v>16</v>
      </c>
      <c r="H1330" t="s">
        <v>448</v>
      </c>
      <c r="I1330" t="s">
        <v>753</v>
      </c>
      <c r="J1330" s="11">
        <v>2</v>
      </c>
      <c r="K1330" s="12">
        <v>319.8</v>
      </c>
      <c r="L1330" s="12">
        <v>69.319999999999993</v>
      </c>
      <c r="M1330" s="13"/>
      <c r="N1330" s="13">
        <f t="shared" si="160"/>
        <v>10.788622685184237</v>
      </c>
      <c r="O1330" s="13">
        <f t="shared" si="161"/>
        <v>0</v>
      </c>
      <c r="P1330" t="str">
        <f t="shared" si="162"/>
        <v>On Time</v>
      </c>
      <c r="Q1330" s="13">
        <f t="shared" si="163"/>
        <v>0.19000000006053597</v>
      </c>
      <c r="R1330" s="13">
        <f t="shared" si="164"/>
        <v>3.1322569444455439</v>
      </c>
      <c r="S1330" s="13">
        <f t="shared" si="165"/>
        <v>7.6484490740695037</v>
      </c>
      <c r="T1330" t="str">
        <f t="shared" si="166"/>
        <v>On Time/Early</v>
      </c>
      <c r="U1330" t="str">
        <f t="shared" si="167"/>
        <v>Normal</v>
      </c>
      <c r="V1330" t="s">
        <v>102</v>
      </c>
    </row>
    <row r="1331" spans="1:22">
      <c r="A1331" t="s">
        <v>1991</v>
      </c>
      <c r="B1331" s="10">
        <v>43192.882303240738</v>
      </c>
      <c r="C1331" s="10">
        <v>43194.131192129629</v>
      </c>
      <c r="D1331" s="10">
        <v>43201.106006944443</v>
      </c>
      <c r="E1331" s="10">
        <v>43203.837893518517</v>
      </c>
      <c r="F1331" s="10">
        <v>43213</v>
      </c>
      <c r="G1331" t="s">
        <v>8</v>
      </c>
      <c r="H1331" t="s">
        <v>140</v>
      </c>
      <c r="I1331" t="s">
        <v>149</v>
      </c>
      <c r="J1331" s="11">
        <v>1</v>
      </c>
      <c r="K1331" s="12">
        <v>48</v>
      </c>
      <c r="L1331" s="12">
        <v>17.93</v>
      </c>
      <c r="M1331" s="13">
        <v>2</v>
      </c>
      <c r="N1331" s="13">
        <f t="shared" si="160"/>
        <v>10.955590277779265</v>
      </c>
      <c r="O1331" s="13">
        <f t="shared" si="161"/>
        <v>0</v>
      </c>
      <c r="P1331" t="str">
        <f t="shared" si="162"/>
        <v>On Time</v>
      </c>
      <c r="Q1331" s="13">
        <f t="shared" si="163"/>
        <v>29.973333333386108</v>
      </c>
      <c r="R1331" s="13">
        <f t="shared" si="164"/>
        <v>6.9748148148137261</v>
      </c>
      <c r="S1331" s="13">
        <f t="shared" si="165"/>
        <v>2.7318865740744513</v>
      </c>
      <c r="T1331" t="str">
        <f t="shared" si="166"/>
        <v>On Time/Early</v>
      </c>
      <c r="U1331" t="str">
        <f t="shared" si="167"/>
        <v>Normal</v>
      </c>
      <c r="V1331" t="s">
        <v>102</v>
      </c>
    </row>
    <row r="1332" spans="1:22">
      <c r="A1332" t="s">
        <v>1992</v>
      </c>
      <c r="B1332" s="10">
        <v>43192.978275462963</v>
      </c>
      <c r="C1332" s="10">
        <v>43192.991585648146</v>
      </c>
      <c r="D1332" s="10">
        <v>43194.908576388887</v>
      </c>
      <c r="E1332" s="10">
        <v>43202.983877314815</v>
      </c>
      <c r="F1332" s="10">
        <v>43208</v>
      </c>
      <c r="G1332" t="s">
        <v>20</v>
      </c>
      <c r="H1332" t="s">
        <v>104</v>
      </c>
      <c r="I1332" t="s">
        <v>136</v>
      </c>
      <c r="J1332" s="11">
        <v>2</v>
      </c>
      <c r="K1332" s="12">
        <v>79.8</v>
      </c>
      <c r="L1332" s="12">
        <v>30.46</v>
      </c>
      <c r="M1332" s="13">
        <v>5</v>
      </c>
      <c r="N1332" s="13">
        <f t="shared" si="160"/>
        <v>10.005601851851679</v>
      </c>
      <c r="O1332" s="13">
        <f t="shared" si="161"/>
        <v>0</v>
      </c>
      <c r="P1332" t="str">
        <f t="shared" si="162"/>
        <v>On Time</v>
      </c>
      <c r="Q1332" s="13">
        <f t="shared" si="163"/>
        <v>0.31944444437976927</v>
      </c>
      <c r="R1332" s="13">
        <f t="shared" si="164"/>
        <v>1.916990740741312</v>
      </c>
      <c r="S1332" s="13">
        <f t="shared" si="165"/>
        <v>8.075300925927877</v>
      </c>
      <c r="T1332" t="str">
        <f t="shared" si="166"/>
        <v>On Time/Early</v>
      </c>
      <c r="U1332" t="str">
        <f t="shared" si="167"/>
        <v>Normal</v>
      </c>
      <c r="V1332" t="s">
        <v>102</v>
      </c>
    </row>
    <row r="1333" spans="1:22">
      <c r="A1333" t="s">
        <v>1993</v>
      </c>
      <c r="B1333" s="10">
        <v>43193.427442129629</v>
      </c>
      <c r="C1333" s="10">
        <v>43193.437719907408</v>
      </c>
      <c r="D1333" s="10">
        <v>43193.930219907408</v>
      </c>
      <c r="E1333" s="10">
        <v>43231.798449074071</v>
      </c>
      <c r="F1333" s="10">
        <v>43213</v>
      </c>
      <c r="G1333" t="s">
        <v>164</v>
      </c>
      <c r="H1333" t="s">
        <v>986</v>
      </c>
      <c r="I1333" t="s">
        <v>279</v>
      </c>
      <c r="J1333" s="11">
        <v>1</v>
      </c>
      <c r="K1333" s="12">
        <v>49</v>
      </c>
      <c r="L1333" s="12">
        <v>14.16</v>
      </c>
      <c r="M1333" s="13">
        <v>1</v>
      </c>
      <c r="N1333" s="13">
        <f t="shared" si="160"/>
        <v>38.371006944442343</v>
      </c>
      <c r="O1333" s="13">
        <f t="shared" si="161"/>
        <v>18.798449074070959</v>
      </c>
      <c r="P1333" t="str">
        <f t="shared" si="162"/>
        <v>Delayed</v>
      </c>
      <c r="Q1333" s="13">
        <f t="shared" si="163"/>
        <v>0.24666666670236737</v>
      </c>
      <c r="R1333" s="13">
        <f t="shared" si="164"/>
        <v>0.49250000000029104</v>
      </c>
      <c r="S1333" s="13">
        <f t="shared" si="165"/>
        <v>37.868229166662786</v>
      </c>
      <c r="T1333" t="str">
        <f t="shared" si="166"/>
        <v>8+ Days Late</v>
      </c>
      <c r="U1333" t="str">
        <f t="shared" si="167"/>
        <v>Needs Review</v>
      </c>
      <c r="V1333" t="s">
        <v>102</v>
      </c>
    </row>
    <row r="1334" spans="1:22">
      <c r="A1334" t="s">
        <v>1994</v>
      </c>
      <c r="B1334" s="10">
        <v>43193.734490740739</v>
      </c>
      <c r="C1334" s="10">
        <v>43193.74322916667</v>
      </c>
      <c r="D1334" s="10">
        <v>43194.58829861111</v>
      </c>
      <c r="E1334" s="10">
        <v>43202.640648148146</v>
      </c>
      <c r="F1334" s="10">
        <v>43223</v>
      </c>
      <c r="G1334" t="s">
        <v>36</v>
      </c>
      <c r="H1334" t="s">
        <v>1995</v>
      </c>
      <c r="I1334" t="s">
        <v>185</v>
      </c>
      <c r="J1334" s="11">
        <v>1</v>
      </c>
      <c r="K1334" s="12">
        <v>58.5</v>
      </c>
      <c r="L1334" s="12">
        <v>18.29</v>
      </c>
      <c r="M1334" s="13">
        <v>5</v>
      </c>
      <c r="N1334" s="13">
        <f t="shared" si="160"/>
        <v>8.9061574074075907</v>
      </c>
      <c r="O1334" s="13">
        <f t="shared" si="161"/>
        <v>0</v>
      </c>
      <c r="P1334" t="str">
        <f t="shared" si="162"/>
        <v>On Time</v>
      </c>
      <c r="Q1334" s="13">
        <f t="shared" si="163"/>
        <v>0.20972222235286608</v>
      </c>
      <c r="R1334" s="13">
        <f t="shared" si="164"/>
        <v>0.84506944444001419</v>
      </c>
      <c r="S1334" s="13">
        <f t="shared" si="165"/>
        <v>8.052349537036207</v>
      </c>
      <c r="T1334" t="str">
        <f t="shared" si="166"/>
        <v>On Time/Early</v>
      </c>
      <c r="U1334" t="str">
        <f t="shared" si="167"/>
        <v>Normal</v>
      </c>
      <c r="V1334" t="s">
        <v>102</v>
      </c>
    </row>
    <row r="1335" spans="1:22">
      <c r="A1335" t="s">
        <v>1996</v>
      </c>
      <c r="B1335" s="10">
        <v>43193.768391203703</v>
      </c>
      <c r="C1335" s="10">
        <v>43193.78460648148</v>
      </c>
      <c r="D1335" s="10">
        <v>43194.860138888886</v>
      </c>
      <c r="E1335" s="10">
        <v>43207.531724537039</v>
      </c>
      <c r="F1335" s="10">
        <v>43229</v>
      </c>
      <c r="G1335" t="s">
        <v>16</v>
      </c>
      <c r="H1335" t="s">
        <v>138</v>
      </c>
      <c r="I1335" t="s">
        <v>143</v>
      </c>
      <c r="J1335" s="11">
        <v>1</v>
      </c>
      <c r="K1335" s="12">
        <v>37.9</v>
      </c>
      <c r="L1335" s="12">
        <v>16.32</v>
      </c>
      <c r="M1335" s="13">
        <v>5</v>
      </c>
      <c r="N1335" s="13">
        <f t="shared" si="160"/>
        <v>13.76333333333605</v>
      </c>
      <c r="O1335" s="13">
        <f t="shared" si="161"/>
        <v>0</v>
      </c>
      <c r="P1335" t="str">
        <f t="shared" si="162"/>
        <v>On Time</v>
      </c>
      <c r="Q1335" s="13">
        <f t="shared" si="163"/>
        <v>0.38916666666045785</v>
      </c>
      <c r="R1335" s="13">
        <f t="shared" si="164"/>
        <v>1.0755324074052623</v>
      </c>
      <c r="S1335" s="13">
        <f t="shared" si="165"/>
        <v>12.671585648153268</v>
      </c>
      <c r="T1335" t="str">
        <f t="shared" si="166"/>
        <v>On Time/Early</v>
      </c>
      <c r="U1335" t="str">
        <f t="shared" si="167"/>
        <v>Normal</v>
      </c>
      <c r="V1335" t="s">
        <v>102</v>
      </c>
    </row>
    <row r="1336" spans="1:22">
      <c r="A1336" t="s">
        <v>1997</v>
      </c>
      <c r="B1336" s="10">
        <v>43193.827708333331</v>
      </c>
      <c r="C1336" s="10">
        <v>43193.839745370373</v>
      </c>
      <c r="D1336" s="10">
        <v>43194.940601851849</v>
      </c>
      <c r="E1336" s="10">
        <v>43201.975486111114</v>
      </c>
      <c r="F1336" s="10">
        <v>43217</v>
      </c>
      <c r="G1336" t="s">
        <v>16</v>
      </c>
      <c r="H1336" t="s">
        <v>992</v>
      </c>
      <c r="I1336" t="s">
        <v>120</v>
      </c>
      <c r="J1336" s="11">
        <v>1</v>
      </c>
      <c r="K1336" s="12">
        <v>72</v>
      </c>
      <c r="L1336" s="12">
        <v>22.21</v>
      </c>
      <c r="M1336" s="13">
        <v>5</v>
      </c>
      <c r="N1336" s="13">
        <f t="shared" si="160"/>
        <v>8.1477777777836309</v>
      </c>
      <c r="O1336" s="13">
        <f t="shared" si="161"/>
        <v>0</v>
      </c>
      <c r="P1336" t="str">
        <f t="shared" si="162"/>
        <v>On Time</v>
      </c>
      <c r="Q1336" s="13">
        <f t="shared" si="163"/>
        <v>0.28888888901565224</v>
      </c>
      <c r="R1336" s="13">
        <f t="shared" si="164"/>
        <v>1.1008564814765123</v>
      </c>
      <c r="S1336" s="13">
        <f t="shared" si="165"/>
        <v>7.0348842592647998</v>
      </c>
      <c r="T1336" t="str">
        <f t="shared" si="166"/>
        <v>On Time/Early</v>
      </c>
      <c r="U1336" t="str">
        <f t="shared" si="167"/>
        <v>Normal</v>
      </c>
      <c r="V1336" t="s">
        <v>102</v>
      </c>
    </row>
    <row r="1337" spans="1:22">
      <c r="A1337" t="s">
        <v>1998</v>
      </c>
      <c r="B1337" s="10">
        <v>43193.848622685182</v>
      </c>
      <c r="C1337" s="10">
        <v>43193.857881944445</v>
      </c>
      <c r="D1337" s="10">
        <v>43197.701944444445</v>
      </c>
      <c r="E1337" s="10">
        <v>43207.75377314815</v>
      </c>
      <c r="F1337" s="10">
        <v>43227</v>
      </c>
      <c r="G1337" t="s">
        <v>134</v>
      </c>
      <c r="H1337" t="s">
        <v>855</v>
      </c>
      <c r="I1337" t="s">
        <v>221</v>
      </c>
      <c r="J1337" s="11">
        <v>1</v>
      </c>
      <c r="K1337" s="12">
        <v>54.99</v>
      </c>
      <c r="L1337" s="12">
        <v>34.479999999999997</v>
      </c>
      <c r="M1337" s="13">
        <v>5</v>
      </c>
      <c r="N1337" s="13">
        <f t="shared" si="160"/>
        <v>13.905150462967867</v>
      </c>
      <c r="O1337" s="13">
        <f t="shared" si="161"/>
        <v>0</v>
      </c>
      <c r="P1337" t="str">
        <f t="shared" si="162"/>
        <v>On Time</v>
      </c>
      <c r="Q1337" s="13">
        <f t="shared" si="163"/>
        <v>0.22222222230629995</v>
      </c>
      <c r="R1337" s="13">
        <f t="shared" si="164"/>
        <v>3.844062500000291</v>
      </c>
      <c r="S1337" s="13">
        <f t="shared" si="165"/>
        <v>10.051828703704814</v>
      </c>
      <c r="T1337" t="str">
        <f t="shared" si="166"/>
        <v>On Time/Early</v>
      </c>
      <c r="U1337" t="str">
        <f t="shared" si="167"/>
        <v>Normal</v>
      </c>
      <c r="V1337" t="s">
        <v>102</v>
      </c>
    </row>
    <row r="1338" spans="1:22">
      <c r="A1338" t="s">
        <v>1999</v>
      </c>
      <c r="B1338" s="10">
        <v>43193.864062499997</v>
      </c>
      <c r="C1338" s="10">
        <v>43194.145555555559</v>
      </c>
      <c r="D1338" s="10">
        <v>43194.800173611111</v>
      </c>
      <c r="E1338" s="10">
        <v>43195.839895833335</v>
      </c>
      <c r="F1338" s="10">
        <v>43203</v>
      </c>
      <c r="G1338" t="s">
        <v>8</v>
      </c>
      <c r="H1338" t="s">
        <v>140</v>
      </c>
      <c r="I1338" t="s">
        <v>120</v>
      </c>
      <c r="J1338" s="11">
        <v>1</v>
      </c>
      <c r="K1338" s="12">
        <v>16.989999999999998</v>
      </c>
      <c r="L1338" s="12">
        <v>7.39</v>
      </c>
      <c r="M1338" s="13">
        <v>4</v>
      </c>
      <c r="N1338" s="13">
        <f t="shared" si="160"/>
        <v>1.9758333333375049</v>
      </c>
      <c r="O1338" s="13">
        <f t="shared" si="161"/>
        <v>0</v>
      </c>
      <c r="P1338" t="str">
        <f t="shared" si="162"/>
        <v>On Time</v>
      </c>
      <c r="Q1338" s="13">
        <f t="shared" si="163"/>
        <v>6.7558333334745839</v>
      </c>
      <c r="R1338" s="13">
        <f t="shared" si="164"/>
        <v>0.65461805555241881</v>
      </c>
      <c r="S1338" s="13">
        <f t="shared" si="165"/>
        <v>1.0397222222236451</v>
      </c>
      <c r="T1338" t="str">
        <f t="shared" si="166"/>
        <v>On Time/Early</v>
      </c>
      <c r="U1338" t="str">
        <f t="shared" si="167"/>
        <v>Normal</v>
      </c>
      <c r="V1338" t="s">
        <v>102</v>
      </c>
    </row>
    <row r="1339" spans="1:22">
      <c r="A1339" t="s">
        <v>2000</v>
      </c>
      <c r="B1339" s="10">
        <v>43194.004027777781</v>
      </c>
      <c r="C1339" s="10">
        <v>43195.006527777776</v>
      </c>
      <c r="D1339" s="10">
        <v>43196.975451388891</v>
      </c>
      <c r="E1339" s="10">
        <v>43199.93240740741</v>
      </c>
      <c r="F1339" s="10">
        <v>43220</v>
      </c>
      <c r="G1339" t="s">
        <v>16</v>
      </c>
      <c r="H1339" t="s">
        <v>138</v>
      </c>
      <c r="I1339" t="s">
        <v>1137</v>
      </c>
      <c r="J1339" s="11">
        <v>1</v>
      </c>
      <c r="K1339" s="12">
        <v>2110</v>
      </c>
      <c r="L1339" s="12">
        <v>43.35</v>
      </c>
      <c r="M1339" s="13">
        <v>5</v>
      </c>
      <c r="N1339" s="13">
        <f t="shared" si="160"/>
        <v>5.9283796296294895</v>
      </c>
      <c r="O1339" s="13">
        <f t="shared" si="161"/>
        <v>0</v>
      </c>
      <c r="P1339" t="str">
        <f t="shared" si="162"/>
        <v>On Time</v>
      </c>
      <c r="Q1339" s="13">
        <f t="shared" si="163"/>
        <v>24.059999999881256</v>
      </c>
      <c r="R1339" s="13">
        <f t="shared" si="164"/>
        <v>1.968923611115315</v>
      </c>
      <c r="S1339" s="13">
        <f t="shared" si="165"/>
        <v>2.9569560185191222</v>
      </c>
      <c r="T1339" t="str">
        <f t="shared" si="166"/>
        <v>On Time/Early</v>
      </c>
      <c r="U1339" t="str">
        <f t="shared" si="167"/>
        <v>Normal</v>
      </c>
      <c r="V1339" t="s">
        <v>102</v>
      </c>
    </row>
    <row r="1340" spans="1:22">
      <c r="A1340" t="s">
        <v>2001</v>
      </c>
      <c r="B1340" s="10">
        <v>43194.420486111114</v>
      </c>
      <c r="C1340" s="10">
        <v>43195.104444444441</v>
      </c>
      <c r="D1340" s="10">
        <v>43196.015706018516</v>
      </c>
      <c r="E1340" s="10">
        <v>43202.056342592594</v>
      </c>
      <c r="F1340" s="10">
        <v>43223</v>
      </c>
      <c r="G1340" t="s">
        <v>8</v>
      </c>
      <c r="H1340" t="s">
        <v>140</v>
      </c>
      <c r="I1340" t="s">
        <v>120</v>
      </c>
      <c r="J1340" s="11">
        <v>2</v>
      </c>
      <c r="K1340" s="12">
        <v>190</v>
      </c>
      <c r="L1340" s="12">
        <v>27.58</v>
      </c>
      <c r="M1340" s="13">
        <v>1</v>
      </c>
      <c r="N1340" s="13">
        <f t="shared" si="160"/>
        <v>7.6358564814800047</v>
      </c>
      <c r="O1340" s="13">
        <f t="shared" si="161"/>
        <v>0</v>
      </c>
      <c r="P1340" t="str">
        <f t="shared" si="162"/>
        <v>On Time</v>
      </c>
      <c r="Q1340" s="13">
        <f t="shared" si="163"/>
        <v>16.41499999986263</v>
      </c>
      <c r="R1340" s="13">
        <f t="shared" si="164"/>
        <v>0.91126157407416031</v>
      </c>
      <c r="S1340" s="13">
        <f t="shared" si="165"/>
        <v>6.0406365740782348</v>
      </c>
      <c r="T1340" t="str">
        <f t="shared" si="166"/>
        <v>On Time/Early</v>
      </c>
      <c r="U1340" t="str">
        <f t="shared" si="167"/>
        <v>Normal</v>
      </c>
      <c r="V1340" t="s">
        <v>102</v>
      </c>
    </row>
    <row r="1341" spans="1:22">
      <c r="A1341" t="s">
        <v>2002</v>
      </c>
      <c r="B1341" s="10">
        <v>43194.584236111114</v>
      </c>
      <c r="C1341" s="10">
        <v>43194.590937499997</v>
      </c>
      <c r="D1341" s="10">
        <v>43194.973530092589</v>
      </c>
      <c r="E1341" s="10">
        <v>43196.95239583333</v>
      </c>
      <c r="F1341" s="10">
        <v>43206</v>
      </c>
      <c r="G1341" t="s">
        <v>8</v>
      </c>
      <c r="H1341" t="s">
        <v>140</v>
      </c>
      <c r="I1341" t="s">
        <v>1508</v>
      </c>
      <c r="J1341" s="11">
        <v>1</v>
      </c>
      <c r="K1341" s="12">
        <v>58.5</v>
      </c>
      <c r="L1341" s="12">
        <v>29.11</v>
      </c>
      <c r="M1341" s="13">
        <v>5</v>
      </c>
      <c r="N1341" s="13">
        <f t="shared" si="160"/>
        <v>2.3681597222166602</v>
      </c>
      <c r="O1341" s="13">
        <f t="shared" si="161"/>
        <v>0</v>
      </c>
      <c r="P1341" t="str">
        <f t="shared" si="162"/>
        <v>On Time</v>
      </c>
      <c r="Q1341" s="13">
        <f t="shared" si="163"/>
        <v>0.1608333332114853</v>
      </c>
      <c r="R1341" s="13">
        <f t="shared" si="164"/>
        <v>0.38259259259211831</v>
      </c>
      <c r="S1341" s="13">
        <f t="shared" si="165"/>
        <v>1.97886574074073</v>
      </c>
      <c r="T1341" t="str">
        <f t="shared" si="166"/>
        <v>On Time/Early</v>
      </c>
      <c r="U1341" t="str">
        <f t="shared" si="167"/>
        <v>Normal</v>
      </c>
      <c r="V1341" t="s">
        <v>102</v>
      </c>
    </row>
    <row r="1342" spans="1:22">
      <c r="A1342" t="s">
        <v>2003</v>
      </c>
      <c r="B1342" s="10">
        <v>43194.697685185187</v>
      </c>
      <c r="C1342" s="10">
        <v>43194.705104166664</v>
      </c>
      <c r="D1342" s="10">
        <v>43195.6953587963</v>
      </c>
      <c r="E1342" s="10">
        <v>43227.730555555558</v>
      </c>
      <c r="F1342" s="10">
        <v>43227</v>
      </c>
      <c r="G1342" t="s">
        <v>16</v>
      </c>
      <c r="H1342" t="s">
        <v>1008</v>
      </c>
      <c r="I1342" t="s">
        <v>180</v>
      </c>
      <c r="J1342" s="11">
        <v>1</v>
      </c>
      <c r="K1342" s="12">
        <v>39.99</v>
      </c>
      <c r="L1342" s="12">
        <v>16.95</v>
      </c>
      <c r="M1342" s="13">
        <v>2</v>
      </c>
      <c r="N1342" s="13">
        <f t="shared" si="160"/>
        <v>33.032870370370802</v>
      </c>
      <c r="O1342" s="13">
        <f t="shared" si="161"/>
        <v>0.7305555555576575</v>
      </c>
      <c r="P1342" t="str">
        <f t="shared" si="162"/>
        <v>Delayed</v>
      </c>
      <c r="Q1342" s="13">
        <f t="shared" si="163"/>
        <v>0.17805555544327945</v>
      </c>
      <c r="R1342" s="13">
        <f t="shared" si="164"/>
        <v>0.99025462963618338</v>
      </c>
      <c r="S1342" s="13">
        <f t="shared" si="165"/>
        <v>32.035196759257815</v>
      </c>
      <c r="T1342" t="str">
        <f t="shared" si="166"/>
        <v>1-3 Days Late</v>
      </c>
      <c r="U1342" t="str">
        <f t="shared" si="167"/>
        <v>Needs Review</v>
      </c>
      <c r="V1342" t="s">
        <v>102</v>
      </c>
    </row>
    <row r="1343" spans="1:22">
      <c r="A1343" t="s">
        <v>2004</v>
      </c>
      <c r="B1343" s="10">
        <v>43194.848530092589</v>
      </c>
      <c r="C1343" s="10">
        <v>43195.881377314814</v>
      </c>
      <c r="D1343" s="10">
        <v>43196.868935185186</v>
      </c>
      <c r="E1343" s="10">
        <v>43201.543356481481</v>
      </c>
      <c r="F1343" s="10">
        <v>43222</v>
      </c>
      <c r="G1343" t="s">
        <v>33</v>
      </c>
      <c r="H1343" t="s">
        <v>1765</v>
      </c>
      <c r="I1343" t="s">
        <v>101</v>
      </c>
      <c r="J1343" s="11">
        <v>1</v>
      </c>
      <c r="K1343" s="12">
        <v>132.80000000000001</v>
      </c>
      <c r="L1343" s="12">
        <v>23.47</v>
      </c>
      <c r="M1343" s="13">
        <v>5</v>
      </c>
      <c r="N1343" s="13">
        <f t="shared" si="160"/>
        <v>6.6948263888916699</v>
      </c>
      <c r="O1343" s="13">
        <f t="shared" si="161"/>
        <v>0</v>
      </c>
      <c r="P1343" t="str">
        <f t="shared" si="162"/>
        <v>On Time</v>
      </c>
      <c r="Q1343" s="13">
        <f t="shared" si="163"/>
        <v>24.788333333388437</v>
      </c>
      <c r="R1343" s="13">
        <f t="shared" si="164"/>
        <v>0.98755787037225673</v>
      </c>
      <c r="S1343" s="13">
        <f t="shared" si="165"/>
        <v>4.674421296294895</v>
      </c>
      <c r="T1343" t="str">
        <f t="shared" si="166"/>
        <v>On Time/Early</v>
      </c>
      <c r="U1343" t="str">
        <f t="shared" si="167"/>
        <v>Normal</v>
      </c>
      <c r="V1343" t="s">
        <v>102</v>
      </c>
    </row>
    <row r="1344" spans="1:22">
      <c r="A1344" t="s">
        <v>2005</v>
      </c>
      <c r="B1344" s="10">
        <v>43194.875451388885</v>
      </c>
      <c r="C1344" s="10">
        <v>43194.882106481484</v>
      </c>
      <c r="D1344" s="10">
        <v>43196.942141203705</v>
      </c>
      <c r="E1344" s="10">
        <v>43218.694965277777</v>
      </c>
      <c r="F1344" s="10">
        <v>43214</v>
      </c>
      <c r="G1344" t="s">
        <v>320</v>
      </c>
      <c r="H1344" t="s">
        <v>321</v>
      </c>
      <c r="I1344" t="s">
        <v>180</v>
      </c>
      <c r="J1344" s="11">
        <v>1</v>
      </c>
      <c r="K1344" s="12">
        <v>42.99</v>
      </c>
      <c r="L1344" s="12">
        <v>22.93</v>
      </c>
      <c r="M1344" s="13">
        <v>1</v>
      </c>
      <c r="N1344" s="13">
        <f t="shared" si="160"/>
        <v>23.819513888891379</v>
      </c>
      <c r="O1344" s="13">
        <f t="shared" si="161"/>
        <v>4.694965277776646</v>
      </c>
      <c r="P1344" t="str">
        <f t="shared" si="162"/>
        <v>Delayed</v>
      </c>
      <c r="Q1344" s="13">
        <f t="shared" si="163"/>
        <v>0.15972222236450762</v>
      </c>
      <c r="R1344" s="13">
        <f t="shared" si="164"/>
        <v>2.0600347222207347</v>
      </c>
      <c r="S1344" s="13">
        <f t="shared" si="165"/>
        <v>21.752824074072123</v>
      </c>
      <c r="T1344" t="str">
        <f t="shared" si="166"/>
        <v>4-7 Days Late</v>
      </c>
      <c r="U1344" t="str">
        <f t="shared" si="167"/>
        <v>Needs Review</v>
      </c>
      <c r="V1344" t="s">
        <v>102</v>
      </c>
    </row>
    <row r="1345" spans="1:22">
      <c r="A1345" t="s">
        <v>2006</v>
      </c>
      <c r="B1345" s="10">
        <v>43194.949108796296</v>
      </c>
      <c r="C1345" s="10">
        <v>43194.964629629627</v>
      </c>
      <c r="D1345" s="10">
        <v>43197.060891203706</v>
      </c>
      <c r="E1345" s="10">
        <v>43210.769907407404</v>
      </c>
      <c r="F1345" s="10">
        <v>43228</v>
      </c>
      <c r="G1345" t="s">
        <v>30</v>
      </c>
      <c r="H1345" t="s">
        <v>2007</v>
      </c>
      <c r="I1345" t="s">
        <v>185</v>
      </c>
      <c r="J1345" s="11">
        <v>1</v>
      </c>
      <c r="K1345" s="12">
        <v>24.99</v>
      </c>
      <c r="L1345" s="12">
        <v>18.23</v>
      </c>
      <c r="M1345" s="13">
        <v>4</v>
      </c>
      <c r="N1345" s="13">
        <f t="shared" si="160"/>
        <v>15.82079861110833</v>
      </c>
      <c r="O1345" s="13">
        <f t="shared" si="161"/>
        <v>0</v>
      </c>
      <c r="P1345" t="str">
        <f t="shared" si="162"/>
        <v>On Time</v>
      </c>
      <c r="Q1345" s="13">
        <f t="shared" si="163"/>
        <v>0.37249999993946403</v>
      </c>
      <c r="R1345" s="13">
        <f t="shared" si="164"/>
        <v>2.096261574079108</v>
      </c>
      <c r="S1345" s="13">
        <f t="shared" si="165"/>
        <v>13.709016203698411</v>
      </c>
      <c r="T1345" t="str">
        <f t="shared" si="166"/>
        <v>On Time/Early</v>
      </c>
      <c r="U1345" t="str">
        <f t="shared" si="167"/>
        <v>Normal</v>
      </c>
      <c r="V1345" t="s">
        <v>102</v>
      </c>
    </row>
    <row r="1346" spans="1:22">
      <c r="A1346" t="s">
        <v>2008</v>
      </c>
      <c r="B1346" s="10">
        <v>43195.343321759261</v>
      </c>
      <c r="C1346" s="10">
        <v>43195.353576388887</v>
      </c>
      <c r="D1346" s="10">
        <v>43195.944918981484</v>
      </c>
      <c r="E1346" s="10">
        <v>43201.925254629627</v>
      </c>
      <c r="F1346" s="10">
        <v>43215</v>
      </c>
      <c r="G1346" t="s">
        <v>8</v>
      </c>
      <c r="H1346" t="s">
        <v>2009</v>
      </c>
      <c r="I1346" t="s">
        <v>279</v>
      </c>
      <c r="J1346" s="11">
        <v>1</v>
      </c>
      <c r="K1346" s="12">
        <v>255</v>
      </c>
      <c r="L1346" s="12">
        <v>14.23</v>
      </c>
      <c r="M1346" s="13">
        <v>5</v>
      </c>
      <c r="N1346" s="13">
        <f t="shared" ref="N1346:N1409" si="168">IFERROR(E1346-B1346,"")</f>
        <v>6.5819328703655628</v>
      </c>
      <c r="O1346" s="13">
        <f t="shared" ref="O1346:O1409" si="169">IFERROR(MAX(0,E1346-F1346),"")</f>
        <v>0</v>
      </c>
      <c r="P1346" t="str">
        <f t="shared" ref="P1346:P1409" si="170">IF(O1346&gt;0,"Delayed","On Time")</f>
        <v>On Time</v>
      </c>
      <c r="Q1346" s="13">
        <f t="shared" ref="Q1346:Q1409" si="171">IFERROR((C1346-B1346)*24,"")</f>
        <v>0.24611111101694405</v>
      </c>
      <c r="R1346" s="13">
        <f t="shared" ref="R1346:R1409" si="172">IFERROR(D1346-C1346,"")</f>
        <v>0.591342592597357</v>
      </c>
      <c r="S1346" s="13">
        <f t="shared" ref="S1346:S1409" si="173">IFERROR(E1346-D1346,"")</f>
        <v>5.9803356481424998</v>
      </c>
      <c r="T1346" t="str">
        <f t="shared" ref="T1346:T1409" si="174">IF(O1346=0,"On Time/Early",IF(O1346&lt;=3,"1-3 Days Late",IF(O1346&lt;=7,"4-7 Days Late","8+ Days Late")))</f>
        <v>On Time/Early</v>
      </c>
      <c r="U1346" t="str">
        <f t="shared" ref="U1346:U1409" si="175">IF(P1346="Delayed","Needs Review","Normal")</f>
        <v>Normal</v>
      </c>
      <c r="V1346" t="s">
        <v>102</v>
      </c>
    </row>
    <row r="1347" spans="1:22">
      <c r="A1347" t="s">
        <v>2010</v>
      </c>
      <c r="B1347" s="10">
        <v>43195.546041666668</v>
      </c>
      <c r="C1347" s="10">
        <v>43195.561886574076</v>
      </c>
      <c r="D1347" s="10">
        <v>43199.881643518522</v>
      </c>
      <c r="E1347" s="10">
        <v>43200.952962962961</v>
      </c>
      <c r="F1347" s="10">
        <v>43210</v>
      </c>
      <c r="G1347" t="s">
        <v>8</v>
      </c>
      <c r="H1347" t="s">
        <v>140</v>
      </c>
      <c r="I1347" t="s">
        <v>118</v>
      </c>
      <c r="J1347" s="11">
        <v>1</v>
      </c>
      <c r="K1347" s="12">
        <v>39.97</v>
      </c>
      <c r="L1347" s="12">
        <v>7.39</v>
      </c>
      <c r="M1347" s="13">
        <v>4</v>
      </c>
      <c r="N1347" s="13">
        <f t="shared" si="168"/>
        <v>5.4069212962931488</v>
      </c>
      <c r="O1347" s="13">
        <f t="shared" si="169"/>
        <v>0</v>
      </c>
      <c r="P1347" t="str">
        <f t="shared" si="170"/>
        <v>On Time</v>
      </c>
      <c r="Q1347" s="13">
        <f t="shared" si="171"/>
        <v>0.38027777778916061</v>
      </c>
      <c r="R1347" s="13">
        <f t="shared" si="172"/>
        <v>4.3197569444455439</v>
      </c>
      <c r="S1347" s="13">
        <f t="shared" si="173"/>
        <v>1.0713194444397232</v>
      </c>
      <c r="T1347" t="str">
        <f t="shared" si="174"/>
        <v>On Time/Early</v>
      </c>
      <c r="U1347" t="str">
        <f t="shared" si="175"/>
        <v>Normal</v>
      </c>
      <c r="V1347" t="s">
        <v>102</v>
      </c>
    </row>
    <row r="1348" spans="1:22">
      <c r="A1348" t="s">
        <v>2011</v>
      </c>
      <c r="B1348" s="10">
        <v>43195.582465277781</v>
      </c>
      <c r="C1348" s="10">
        <v>43195.590497685182</v>
      </c>
      <c r="D1348" s="10">
        <v>43195.966516203705</v>
      </c>
      <c r="E1348" s="10">
        <v>43206.613055555557</v>
      </c>
      <c r="F1348" s="10">
        <v>43214</v>
      </c>
      <c r="G1348" t="s">
        <v>20</v>
      </c>
      <c r="H1348" t="s">
        <v>104</v>
      </c>
      <c r="I1348" t="s">
        <v>120</v>
      </c>
      <c r="J1348" s="11">
        <v>1</v>
      </c>
      <c r="K1348" s="12">
        <v>119</v>
      </c>
      <c r="L1348" s="12">
        <v>23.7</v>
      </c>
      <c r="M1348" s="13">
        <v>4</v>
      </c>
      <c r="N1348" s="13">
        <f t="shared" si="168"/>
        <v>11.030590277776355</v>
      </c>
      <c r="O1348" s="13">
        <f t="shared" si="169"/>
        <v>0</v>
      </c>
      <c r="P1348" t="str">
        <f t="shared" si="170"/>
        <v>On Time</v>
      </c>
      <c r="Q1348" s="13">
        <f t="shared" si="171"/>
        <v>0.19277777761453763</v>
      </c>
      <c r="R1348" s="13">
        <f t="shared" si="172"/>
        <v>0.37601851852377877</v>
      </c>
      <c r="S1348" s="13">
        <f t="shared" si="173"/>
        <v>10.64653935185197</v>
      </c>
      <c r="T1348" t="str">
        <f t="shared" si="174"/>
        <v>On Time/Early</v>
      </c>
      <c r="U1348" t="str">
        <f t="shared" si="175"/>
        <v>Normal</v>
      </c>
      <c r="V1348" t="s">
        <v>102</v>
      </c>
    </row>
    <row r="1349" spans="1:22">
      <c r="A1349" t="s">
        <v>2012</v>
      </c>
      <c r="B1349" s="10">
        <v>43195.598807870374</v>
      </c>
      <c r="C1349" s="10">
        <v>43195.60796296296</v>
      </c>
      <c r="D1349" s="10">
        <v>43197.05332175926</v>
      </c>
      <c r="E1349" s="10">
        <v>43225.508113425924</v>
      </c>
      <c r="F1349" s="10">
        <v>43227</v>
      </c>
      <c r="G1349" t="s">
        <v>30</v>
      </c>
      <c r="H1349" t="s">
        <v>365</v>
      </c>
      <c r="I1349" t="s">
        <v>136</v>
      </c>
      <c r="J1349" s="11">
        <v>1</v>
      </c>
      <c r="K1349" s="12">
        <v>109.99</v>
      </c>
      <c r="L1349" s="12">
        <v>17.059999999999999</v>
      </c>
      <c r="M1349" s="13">
        <v>5</v>
      </c>
      <c r="N1349" s="13">
        <f t="shared" si="168"/>
        <v>29.909305555549508</v>
      </c>
      <c r="O1349" s="13">
        <f t="shared" si="169"/>
        <v>0</v>
      </c>
      <c r="P1349" t="str">
        <f t="shared" si="170"/>
        <v>On Time</v>
      </c>
      <c r="Q1349" s="13">
        <f t="shared" si="171"/>
        <v>0.219722222071141</v>
      </c>
      <c r="R1349" s="13">
        <f t="shared" si="172"/>
        <v>1.4453587962998427</v>
      </c>
      <c r="S1349" s="13">
        <f t="shared" si="173"/>
        <v>28.454791666663368</v>
      </c>
      <c r="T1349" t="str">
        <f t="shared" si="174"/>
        <v>On Time/Early</v>
      </c>
      <c r="U1349" t="str">
        <f t="shared" si="175"/>
        <v>Normal</v>
      </c>
      <c r="V1349" t="s">
        <v>102</v>
      </c>
    </row>
    <row r="1350" spans="1:22">
      <c r="A1350" t="s">
        <v>2013</v>
      </c>
      <c r="B1350" s="10">
        <v>43195.664837962962</v>
      </c>
      <c r="C1350" s="10">
        <v>43195.674270833333</v>
      </c>
      <c r="D1350" s="10">
        <v>43197.060034722221</v>
      </c>
      <c r="E1350" s="10">
        <v>43202.784537037034</v>
      </c>
      <c r="F1350" s="10">
        <v>43214</v>
      </c>
      <c r="G1350" t="s">
        <v>8</v>
      </c>
      <c r="H1350" t="s">
        <v>182</v>
      </c>
      <c r="I1350" t="s">
        <v>58</v>
      </c>
      <c r="J1350" s="11">
        <v>1</v>
      </c>
      <c r="K1350" s="12">
        <v>49</v>
      </c>
      <c r="L1350" s="12">
        <v>14.44</v>
      </c>
      <c r="M1350" s="13">
        <v>5</v>
      </c>
      <c r="N1350" s="13">
        <f t="shared" si="168"/>
        <v>7.119699074071832</v>
      </c>
      <c r="O1350" s="13">
        <f t="shared" si="169"/>
        <v>0</v>
      </c>
      <c r="P1350" t="str">
        <f t="shared" si="170"/>
        <v>On Time</v>
      </c>
      <c r="Q1350" s="13">
        <f t="shared" si="171"/>
        <v>0.22638888889923692</v>
      </c>
      <c r="R1350" s="13">
        <f t="shared" si="172"/>
        <v>1.3857638888875954</v>
      </c>
      <c r="S1350" s="13">
        <f t="shared" si="173"/>
        <v>5.7245023148134351</v>
      </c>
      <c r="T1350" t="str">
        <f t="shared" si="174"/>
        <v>On Time/Early</v>
      </c>
      <c r="U1350" t="str">
        <f t="shared" si="175"/>
        <v>Normal</v>
      </c>
      <c r="V1350" t="s">
        <v>102</v>
      </c>
    </row>
    <row r="1351" spans="1:22">
      <c r="A1351" t="s">
        <v>2014</v>
      </c>
      <c r="B1351" s="10">
        <v>43195.723854166667</v>
      </c>
      <c r="C1351" s="10">
        <v>43195.732916666668</v>
      </c>
      <c r="D1351" s="10">
        <v>43197.071319444447</v>
      </c>
      <c r="E1351" s="10">
        <v>43203.499178240738</v>
      </c>
      <c r="F1351" s="10">
        <v>43210</v>
      </c>
      <c r="G1351" t="s">
        <v>8</v>
      </c>
      <c r="H1351" t="s">
        <v>140</v>
      </c>
      <c r="I1351" t="s">
        <v>141</v>
      </c>
      <c r="J1351" s="11">
        <v>1</v>
      </c>
      <c r="K1351" s="12">
        <v>39</v>
      </c>
      <c r="L1351" s="12">
        <v>7.39</v>
      </c>
      <c r="M1351" s="13">
        <v>5</v>
      </c>
      <c r="N1351" s="13">
        <f t="shared" si="168"/>
        <v>7.7753240740712499</v>
      </c>
      <c r="O1351" s="13">
        <f t="shared" si="169"/>
        <v>0</v>
      </c>
      <c r="P1351" t="str">
        <f t="shared" si="170"/>
        <v>On Time</v>
      </c>
      <c r="Q1351" s="13">
        <f t="shared" si="171"/>
        <v>0.21750000002793968</v>
      </c>
      <c r="R1351" s="13">
        <f t="shared" si="172"/>
        <v>1.3384027777792653</v>
      </c>
      <c r="S1351" s="13">
        <f t="shared" si="173"/>
        <v>6.4278587962908205</v>
      </c>
      <c r="T1351" t="str">
        <f t="shared" si="174"/>
        <v>On Time/Early</v>
      </c>
      <c r="U1351" t="str">
        <f t="shared" si="175"/>
        <v>Normal</v>
      </c>
      <c r="V1351" t="s">
        <v>102</v>
      </c>
    </row>
    <row r="1352" spans="1:22">
      <c r="A1352" t="s">
        <v>2015</v>
      </c>
      <c r="B1352" s="10">
        <v>43195.845277777778</v>
      </c>
      <c r="C1352" s="10">
        <v>43195.854398148149</v>
      </c>
      <c r="D1352" s="10">
        <v>43196.991967592592</v>
      </c>
      <c r="E1352" s="10">
        <v>43199.936354166668</v>
      </c>
      <c r="F1352" s="10">
        <v>43209</v>
      </c>
      <c r="G1352" t="s">
        <v>8</v>
      </c>
      <c r="H1352" t="s">
        <v>140</v>
      </c>
      <c r="I1352" t="s">
        <v>136</v>
      </c>
      <c r="J1352" s="11">
        <v>1</v>
      </c>
      <c r="K1352" s="12">
        <v>116</v>
      </c>
      <c r="L1352" s="12">
        <v>7.68</v>
      </c>
      <c r="M1352" s="13">
        <v>5</v>
      </c>
      <c r="N1352" s="13">
        <f t="shared" si="168"/>
        <v>4.0910763888896327</v>
      </c>
      <c r="O1352" s="13">
        <f t="shared" si="169"/>
        <v>0</v>
      </c>
      <c r="P1352" t="str">
        <f t="shared" si="170"/>
        <v>On Time</v>
      </c>
      <c r="Q1352" s="13">
        <f t="shared" si="171"/>
        <v>0.218888888892252</v>
      </c>
      <c r="R1352" s="13">
        <f t="shared" si="172"/>
        <v>1.1375694444432156</v>
      </c>
      <c r="S1352" s="13">
        <f t="shared" si="173"/>
        <v>2.9443865740759065</v>
      </c>
      <c r="T1352" t="str">
        <f t="shared" si="174"/>
        <v>On Time/Early</v>
      </c>
      <c r="U1352" t="str">
        <f t="shared" si="175"/>
        <v>Normal</v>
      </c>
      <c r="V1352" t="s">
        <v>102</v>
      </c>
    </row>
    <row r="1353" spans="1:22">
      <c r="A1353" t="s">
        <v>2016</v>
      </c>
      <c r="B1353" s="10">
        <v>43196.29420138889</v>
      </c>
      <c r="C1353" s="10">
        <v>43196.302175925928</v>
      </c>
      <c r="D1353" s="10">
        <v>43196.978229166663</v>
      </c>
      <c r="E1353" s="10">
        <v>43199.961956018517</v>
      </c>
      <c r="F1353" s="10">
        <v>43213</v>
      </c>
      <c r="G1353" t="s">
        <v>8</v>
      </c>
      <c r="H1353" t="s">
        <v>140</v>
      </c>
      <c r="I1353" t="s">
        <v>185</v>
      </c>
      <c r="J1353" s="11">
        <v>1</v>
      </c>
      <c r="K1353" s="12">
        <v>109.9</v>
      </c>
      <c r="L1353" s="12">
        <v>13.67</v>
      </c>
      <c r="M1353" s="13">
        <v>4</v>
      </c>
      <c r="N1353" s="13">
        <f t="shared" si="168"/>
        <v>3.6677546296268702</v>
      </c>
      <c r="O1353" s="13">
        <f t="shared" si="169"/>
        <v>0</v>
      </c>
      <c r="P1353" t="str">
        <f t="shared" si="170"/>
        <v>On Time</v>
      </c>
      <c r="Q1353" s="13">
        <f t="shared" si="171"/>
        <v>0.19138888892484829</v>
      </c>
      <c r="R1353" s="13">
        <f t="shared" si="172"/>
        <v>0.67605324073520023</v>
      </c>
      <c r="S1353" s="13">
        <f t="shared" si="173"/>
        <v>2.9837268518531346</v>
      </c>
      <c r="T1353" t="str">
        <f t="shared" si="174"/>
        <v>On Time/Early</v>
      </c>
      <c r="U1353" t="str">
        <f t="shared" si="175"/>
        <v>Normal</v>
      </c>
      <c r="V1353" t="s">
        <v>102</v>
      </c>
    </row>
    <row r="1354" spans="1:22">
      <c r="A1354" t="s">
        <v>2017</v>
      </c>
      <c r="B1354" s="10">
        <v>43196.412106481483</v>
      </c>
      <c r="C1354" s="10">
        <v>43196.422974537039</v>
      </c>
      <c r="D1354" s="10">
        <v>43197.063946759263</v>
      </c>
      <c r="E1354" s="10">
        <v>43209.72320601852</v>
      </c>
      <c r="F1354" s="10">
        <v>43223</v>
      </c>
      <c r="G1354" t="s">
        <v>16</v>
      </c>
      <c r="H1354" t="s">
        <v>559</v>
      </c>
      <c r="I1354" t="s">
        <v>143</v>
      </c>
      <c r="J1354" s="11">
        <v>1</v>
      </c>
      <c r="K1354" s="12">
        <v>58.9</v>
      </c>
      <c r="L1354" s="12">
        <v>18.29</v>
      </c>
      <c r="M1354" s="13">
        <v>5</v>
      </c>
      <c r="N1354" s="13">
        <f t="shared" si="168"/>
        <v>13.31109953703708</v>
      </c>
      <c r="O1354" s="13">
        <f t="shared" si="169"/>
        <v>0</v>
      </c>
      <c r="P1354" t="str">
        <f t="shared" si="170"/>
        <v>On Time</v>
      </c>
      <c r="Q1354" s="13">
        <f t="shared" si="171"/>
        <v>0.26083333336282521</v>
      </c>
      <c r="R1354" s="13">
        <f t="shared" si="172"/>
        <v>0.64097222222335404</v>
      </c>
      <c r="S1354" s="13">
        <f t="shared" si="173"/>
        <v>12.659259259256942</v>
      </c>
      <c r="T1354" t="str">
        <f t="shared" si="174"/>
        <v>On Time/Early</v>
      </c>
      <c r="U1354" t="str">
        <f t="shared" si="175"/>
        <v>Normal</v>
      </c>
      <c r="V1354" t="s">
        <v>102</v>
      </c>
    </row>
    <row r="1355" spans="1:22">
      <c r="A1355" t="s">
        <v>2018</v>
      </c>
      <c r="B1355" s="10">
        <v>43196.44</v>
      </c>
      <c r="C1355" s="10">
        <v>43196.451226851852</v>
      </c>
      <c r="D1355" s="10">
        <v>43199.836157407408</v>
      </c>
      <c r="E1355" s="10">
        <v>43215.546481481484</v>
      </c>
      <c r="F1355" s="10">
        <v>43235</v>
      </c>
      <c r="G1355" t="s">
        <v>16</v>
      </c>
      <c r="H1355" t="s">
        <v>138</v>
      </c>
      <c r="I1355" t="s">
        <v>368</v>
      </c>
      <c r="J1355" s="11">
        <v>2</v>
      </c>
      <c r="K1355" s="12">
        <v>69.8</v>
      </c>
      <c r="L1355" s="12">
        <v>32.64</v>
      </c>
      <c r="M1355" s="13">
        <v>5</v>
      </c>
      <c r="N1355" s="13">
        <f t="shared" si="168"/>
        <v>19.106481481481751</v>
      </c>
      <c r="O1355" s="13">
        <f t="shared" si="169"/>
        <v>0</v>
      </c>
      <c r="P1355" t="str">
        <f t="shared" si="170"/>
        <v>On Time</v>
      </c>
      <c r="Q1355" s="13">
        <f t="shared" si="171"/>
        <v>0.2694444443914108</v>
      </c>
      <c r="R1355" s="13">
        <f t="shared" si="172"/>
        <v>3.3849305555559113</v>
      </c>
      <c r="S1355" s="13">
        <f t="shared" si="173"/>
        <v>15.710324074076198</v>
      </c>
      <c r="T1355" t="str">
        <f t="shared" si="174"/>
        <v>On Time/Early</v>
      </c>
      <c r="U1355" t="str">
        <f t="shared" si="175"/>
        <v>Normal</v>
      </c>
      <c r="V1355" t="s">
        <v>102</v>
      </c>
    </row>
    <row r="1356" spans="1:22">
      <c r="A1356" t="s">
        <v>2019</v>
      </c>
      <c r="B1356" s="10">
        <v>43196.698703703703</v>
      </c>
      <c r="C1356" s="10">
        <v>43196.705196759256</v>
      </c>
      <c r="D1356" s="10">
        <v>43199.806076388886</v>
      </c>
      <c r="E1356" s="10">
        <v>43215.862500000003</v>
      </c>
      <c r="F1356" s="10">
        <v>43223</v>
      </c>
      <c r="G1356" t="s">
        <v>23</v>
      </c>
      <c r="H1356" t="s">
        <v>2020</v>
      </c>
      <c r="I1356" t="s">
        <v>120</v>
      </c>
      <c r="J1356" s="11">
        <v>1</v>
      </c>
      <c r="K1356" s="12">
        <v>69</v>
      </c>
      <c r="L1356" s="12">
        <v>22.19</v>
      </c>
      <c r="M1356" s="13">
        <v>5</v>
      </c>
      <c r="N1356" s="13">
        <f t="shared" si="168"/>
        <v>19.163796296299552</v>
      </c>
      <c r="O1356" s="13">
        <f t="shared" si="169"/>
        <v>0</v>
      </c>
      <c r="P1356" t="str">
        <f t="shared" si="170"/>
        <v>On Time</v>
      </c>
      <c r="Q1356" s="13">
        <f t="shared" si="171"/>
        <v>0.15583333326503634</v>
      </c>
      <c r="R1356" s="13">
        <f t="shared" si="172"/>
        <v>3.1008796296300716</v>
      </c>
      <c r="S1356" s="13">
        <f t="shared" si="173"/>
        <v>16.05642361111677</v>
      </c>
      <c r="T1356" t="str">
        <f t="shared" si="174"/>
        <v>On Time/Early</v>
      </c>
      <c r="U1356" t="str">
        <f t="shared" si="175"/>
        <v>Normal</v>
      </c>
      <c r="V1356" t="s">
        <v>102</v>
      </c>
    </row>
    <row r="1357" spans="1:22">
      <c r="A1357" t="s">
        <v>2021</v>
      </c>
      <c r="B1357" s="10">
        <v>43196.977361111109</v>
      </c>
      <c r="C1357" s="10">
        <v>43200.159733796296</v>
      </c>
      <c r="D1357" s="10">
        <v>43200.953784722224</v>
      </c>
      <c r="E1357" s="10">
        <v>43201.627928240741</v>
      </c>
      <c r="F1357" s="10">
        <v>43214</v>
      </c>
      <c r="G1357" t="s">
        <v>8</v>
      </c>
      <c r="H1357" t="s">
        <v>161</v>
      </c>
      <c r="I1357" t="s">
        <v>58</v>
      </c>
      <c r="J1357" s="11">
        <v>1</v>
      </c>
      <c r="K1357" s="12">
        <v>12</v>
      </c>
      <c r="L1357" s="12">
        <v>7.39</v>
      </c>
      <c r="M1357" s="13">
        <v>5</v>
      </c>
      <c r="N1357" s="13">
        <f t="shared" si="168"/>
        <v>4.6505671296326909</v>
      </c>
      <c r="O1357" s="13">
        <f t="shared" si="169"/>
        <v>0</v>
      </c>
      <c r="P1357" t="str">
        <f t="shared" si="170"/>
        <v>On Time</v>
      </c>
      <c r="Q1357" s="13">
        <f t="shared" si="171"/>
        <v>76.376944444491528</v>
      </c>
      <c r="R1357" s="13">
        <f t="shared" si="172"/>
        <v>0.79405092592787696</v>
      </c>
      <c r="S1357" s="13">
        <f t="shared" si="173"/>
        <v>0.67414351851766696</v>
      </c>
      <c r="T1357" t="str">
        <f t="shared" si="174"/>
        <v>On Time/Early</v>
      </c>
      <c r="U1357" t="str">
        <f t="shared" si="175"/>
        <v>Normal</v>
      </c>
      <c r="V1357" t="s">
        <v>102</v>
      </c>
    </row>
    <row r="1358" spans="1:22">
      <c r="A1358" t="s">
        <v>2022</v>
      </c>
      <c r="B1358" s="10">
        <v>43197.024918981479</v>
      </c>
      <c r="C1358" s="10">
        <v>43200.159907407404</v>
      </c>
      <c r="D1358" s="10">
        <v>43200.954652777778</v>
      </c>
      <c r="E1358" s="10">
        <v>43201.973738425928</v>
      </c>
      <c r="F1358" s="10">
        <v>43214</v>
      </c>
      <c r="G1358" t="s">
        <v>8</v>
      </c>
      <c r="H1358" t="s">
        <v>455</v>
      </c>
      <c r="I1358" t="s">
        <v>185</v>
      </c>
      <c r="J1358" s="11">
        <v>1</v>
      </c>
      <c r="K1358" s="12">
        <v>27.9</v>
      </c>
      <c r="L1358" s="12">
        <v>7.87</v>
      </c>
      <c r="M1358" s="13">
        <v>5</v>
      </c>
      <c r="N1358" s="13">
        <f t="shared" si="168"/>
        <v>4.9488194444493274</v>
      </c>
      <c r="O1358" s="13">
        <f t="shared" si="169"/>
        <v>0</v>
      </c>
      <c r="P1358" t="str">
        <f t="shared" si="170"/>
        <v>On Time</v>
      </c>
      <c r="Q1358" s="13">
        <f t="shared" si="171"/>
        <v>75.239722222206183</v>
      </c>
      <c r="R1358" s="13">
        <f t="shared" si="172"/>
        <v>0.79474537037458504</v>
      </c>
      <c r="S1358" s="13">
        <f t="shared" si="173"/>
        <v>1.0190856481494848</v>
      </c>
      <c r="T1358" t="str">
        <f t="shared" si="174"/>
        <v>On Time/Early</v>
      </c>
      <c r="U1358" t="str">
        <f t="shared" si="175"/>
        <v>Normal</v>
      </c>
      <c r="V1358" t="s">
        <v>102</v>
      </c>
    </row>
    <row r="1359" spans="1:22">
      <c r="A1359" t="s">
        <v>2023</v>
      </c>
      <c r="B1359" s="10">
        <v>43197.491620370369</v>
      </c>
      <c r="C1359" s="10">
        <v>43197.50577546296</v>
      </c>
      <c r="D1359" s="10">
        <v>43200.984537037039</v>
      </c>
      <c r="E1359" s="10">
        <v>43206.644884259258</v>
      </c>
      <c r="F1359" s="10">
        <v>43215</v>
      </c>
      <c r="G1359" t="s">
        <v>8</v>
      </c>
      <c r="H1359" t="s">
        <v>140</v>
      </c>
      <c r="I1359" t="s">
        <v>221</v>
      </c>
      <c r="J1359" s="11">
        <v>1</v>
      </c>
      <c r="K1359" s="12">
        <v>123</v>
      </c>
      <c r="L1359" s="12">
        <v>13.3</v>
      </c>
      <c r="M1359" s="13">
        <v>5</v>
      </c>
      <c r="N1359" s="13">
        <f t="shared" si="168"/>
        <v>9.1532638888893416</v>
      </c>
      <c r="O1359" s="13">
        <f t="shared" si="169"/>
        <v>0</v>
      </c>
      <c r="P1359" t="str">
        <f t="shared" si="170"/>
        <v>On Time</v>
      </c>
      <c r="Q1359" s="13">
        <f t="shared" si="171"/>
        <v>0.33972222218289971</v>
      </c>
      <c r="R1359" s="13">
        <f t="shared" si="172"/>
        <v>3.4787615740788169</v>
      </c>
      <c r="S1359" s="13">
        <f t="shared" si="173"/>
        <v>5.6603472222195705</v>
      </c>
      <c r="T1359" t="str">
        <f t="shared" si="174"/>
        <v>On Time/Early</v>
      </c>
      <c r="U1359" t="str">
        <f t="shared" si="175"/>
        <v>Normal</v>
      </c>
      <c r="V1359" t="s">
        <v>102</v>
      </c>
    </row>
    <row r="1360" spans="1:22">
      <c r="A1360" t="s">
        <v>2024</v>
      </c>
      <c r="B1360" s="10">
        <v>43197.560486111113</v>
      </c>
      <c r="C1360" s="10">
        <v>43197.56622685185</v>
      </c>
      <c r="D1360" s="10">
        <v>43200.952650462961</v>
      </c>
      <c r="E1360" s="10">
        <v>43217.911562499998</v>
      </c>
      <c r="F1360" s="10">
        <v>43222</v>
      </c>
      <c r="G1360" t="s">
        <v>16</v>
      </c>
      <c r="H1360" t="s">
        <v>1432</v>
      </c>
      <c r="I1360" t="s">
        <v>422</v>
      </c>
      <c r="J1360" s="11">
        <v>1</v>
      </c>
      <c r="K1360" s="12">
        <v>256</v>
      </c>
      <c r="L1360" s="12">
        <v>16.02</v>
      </c>
      <c r="M1360" s="13">
        <v>4</v>
      </c>
      <c r="N1360" s="13">
        <f t="shared" si="168"/>
        <v>20.351076388884394</v>
      </c>
      <c r="O1360" s="13">
        <f t="shared" si="169"/>
        <v>0</v>
      </c>
      <c r="P1360" t="str">
        <f t="shared" si="170"/>
        <v>On Time</v>
      </c>
      <c r="Q1360" s="13">
        <f t="shared" si="171"/>
        <v>0.13777777767973021</v>
      </c>
      <c r="R1360" s="13">
        <f t="shared" si="172"/>
        <v>3.3864236111112405</v>
      </c>
      <c r="S1360" s="13">
        <f t="shared" si="173"/>
        <v>16.958912037036498</v>
      </c>
      <c r="T1360" t="str">
        <f t="shared" si="174"/>
        <v>On Time/Early</v>
      </c>
      <c r="U1360" t="str">
        <f t="shared" si="175"/>
        <v>Normal</v>
      </c>
      <c r="V1360" t="s">
        <v>102</v>
      </c>
    </row>
    <row r="1361" spans="1:22">
      <c r="A1361" t="s">
        <v>2025</v>
      </c>
      <c r="B1361" s="10">
        <v>43197.781574074077</v>
      </c>
      <c r="C1361" s="10">
        <v>43197.797534722224</v>
      </c>
      <c r="D1361" s="10">
        <v>43199.797858796293</v>
      </c>
      <c r="E1361" s="10">
        <v>43203.919641203705</v>
      </c>
      <c r="F1361" s="10">
        <v>43217</v>
      </c>
      <c r="G1361" t="s">
        <v>20</v>
      </c>
      <c r="H1361" t="s">
        <v>1922</v>
      </c>
      <c r="I1361" t="s">
        <v>963</v>
      </c>
      <c r="J1361" s="11">
        <v>1</v>
      </c>
      <c r="K1361" s="12">
        <v>50</v>
      </c>
      <c r="L1361" s="12">
        <v>19.32</v>
      </c>
      <c r="M1361" s="13">
        <v>5</v>
      </c>
      <c r="N1361" s="13">
        <f t="shared" si="168"/>
        <v>6.1380671296283253</v>
      </c>
      <c r="O1361" s="13">
        <f t="shared" si="169"/>
        <v>0</v>
      </c>
      <c r="P1361" t="str">
        <f t="shared" si="170"/>
        <v>On Time</v>
      </c>
      <c r="Q1361" s="13">
        <f t="shared" si="171"/>
        <v>0.38305555551778525</v>
      </c>
      <c r="R1361" s="13">
        <f t="shared" si="172"/>
        <v>2.0003240740697947</v>
      </c>
      <c r="S1361" s="13">
        <f t="shared" si="173"/>
        <v>4.1217824074119562</v>
      </c>
      <c r="T1361" t="str">
        <f t="shared" si="174"/>
        <v>On Time/Early</v>
      </c>
      <c r="U1361" t="str">
        <f t="shared" si="175"/>
        <v>Normal</v>
      </c>
      <c r="V1361" t="s">
        <v>102</v>
      </c>
    </row>
    <row r="1362" spans="1:22">
      <c r="A1362" t="s">
        <v>2026</v>
      </c>
      <c r="B1362" s="10">
        <v>43197.848437499997</v>
      </c>
      <c r="C1362" s="10">
        <v>43197.857847222222</v>
      </c>
      <c r="D1362" s="10">
        <v>43203.978217592594</v>
      </c>
      <c r="E1362" s="10">
        <v>43214.820231481484</v>
      </c>
      <c r="F1362" s="10">
        <v>43216</v>
      </c>
      <c r="G1362" t="s">
        <v>20</v>
      </c>
      <c r="H1362" t="s">
        <v>104</v>
      </c>
      <c r="I1362" t="s">
        <v>252</v>
      </c>
      <c r="J1362" s="11">
        <v>1</v>
      </c>
      <c r="K1362" s="12">
        <v>39.5</v>
      </c>
      <c r="L1362" s="12">
        <v>22.93</v>
      </c>
      <c r="M1362" s="13">
        <v>1</v>
      </c>
      <c r="N1362" s="13">
        <f t="shared" si="168"/>
        <v>16.971793981487281</v>
      </c>
      <c r="O1362" s="13">
        <f t="shared" si="169"/>
        <v>0</v>
      </c>
      <c r="P1362" t="str">
        <f t="shared" si="170"/>
        <v>On Time</v>
      </c>
      <c r="Q1362" s="13">
        <f t="shared" si="171"/>
        <v>0.22583333338843659</v>
      </c>
      <c r="R1362" s="13">
        <f t="shared" si="172"/>
        <v>6.1203703703722567</v>
      </c>
      <c r="S1362" s="13">
        <f t="shared" si="173"/>
        <v>10.842013888890506</v>
      </c>
      <c r="T1362" t="str">
        <f t="shared" si="174"/>
        <v>On Time/Early</v>
      </c>
      <c r="U1362" t="str">
        <f t="shared" si="175"/>
        <v>Normal</v>
      </c>
      <c r="V1362" t="s">
        <v>102</v>
      </c>
    </row>
    <row r="1363" spans="1:22">
      <c r="A1363" t="s">
        <v>2027</v>
      </c>
      <c r="B1363" s="10">
        <v>43197.852129629631</v>
      </c>
      <c r="C1363" s="10">
        <v>43197.866747685184</v>
      </c>
      <c r="D1363" s="10">
        <v>43200.679872685185</v>
      </c>
      <c r="E1363" s="10">
        <v>43227.768379629626</v>
      </c>
      <c r="F1363" s="10">
        <v>43231</v>
      </c>
      <c r="G1363" t="s">
        <v>16</v>
      </c>
      <c r="H1363" t="s">
        <v>138</v>
      </c>
      <c r="I1363" t="s">
        <v>180</v>
      </c>
      <c r="J1363" s="11">
        <v>1</v>
      </c>
      <c r="K1363" s="12">
        <v>99</v>
      </c>
      <c r="L1363" s="12">
        <v>18.57</v>
      </c>
      <c r="M1363" s="13">
        <v>4</v>
      </c>
      <c r="N1363" s="13">
        <f t="shared" si="168"/>
        <v>29.916249999994761</v>
      </c>
      <c r="O1363" s="13">
        <f t="shared" si="169"/>
        <v>0</v>
      </c>
      <c r="P1363" t="str">
        <f t="shared" si="170"/>
        <v>On Time</v>
      </c>
      <c r="Q1363" s="13">
        <f t="shared" si="171"/>
        <v>0.35083333327202126</v>
      </c>
      <c r="R1363" s="13">
        <f t="shared" si="172"/>
        <v>2.8131250000005821</v>
      </c>
      <c r="S1363" s="13">
        <f t="shared" si="173"/>
        <v>27.088506944441178</v>
      </c>
      <c r="T1363" t="str">
        <f t="shared" si="174"/>
        <v>On Time/Early</v>
      </c>
      <c r="U1363" t="str">
        <f t="shared" si="175"/>
        <v>Normal</v>
      </c>
      <c r="V1363" t="s">
        <v>102</v>
      </c>
    </row>
    <row r="1364" spans="1:22">
      <c r="A1364" t="s">
        <v>2028</v>
      </c>
      <c r="B1364" s="10">
        <v>43198.424050925925</v>
      </c>
      <c r="C1364" s="10">
        <v>43198.437337962961</v>
      </c>
      <c r="D1364" s="10">
        <v>43200.651990740742</v>
      </c>
      <c r="E1364" s="10">
        <v>43213.932233796295</v>
      </c>
      <c r="F1364" s="10">
        <v>43228</v>
      </c>
      <c r="G1364" t="s">
        <v>110</v>
      </c>
      <c r="H1364" t="s">
        <v>2029</v>
      </c>
      <c r="I1364" t="s">
        <v>118</v>
      </c>
      <c r="J1364" s="11">
        <v>1</v>
      </c>
      <c r="K1364" s="12">
        <v>18.989999999999998</v>
      </c>
      <c r="L1364" s="12">
        <v>18.23</v>
      </c>
      <c r="M1364" s="13">
        <v>5</v>
      </c>
      <c r="N1364" s="13">
        <f t="shared" si="168"/>
        <v>15.508182870369637</v>
      </c>
      <c r="O1364" s="13">
        <f t="shared" si="169"/>
        <v>0</v>
      </c>
      <c r="P1364" t="str">
        <f t="shared" si="170"/>
        <v>On Time</v>
      </c>
      <c r="Q1364" s="13">
        <f t="shared" si="171"/>
        <v>0.31888888886896893</v>
      </c>
      <c r="R1364" s="13">
        <f t="shared" si="172"/>
        <v>2.2146527777804295</v>
      </c>
      <c r="S1364" s="13">
        <f t="shared" si="173"/>
        <v>13.280243055553001</v>
      </c>
      <c r="T1364" t="str">
        <f t="shared" si="174"/>
        <v>On Time/Early</v>
      </c>
      <c r="U1364" t="str">
        <f t="shared" si="175"/>
        <v>Normal</v>
      </c>
      <c r="V1364" t="s">
        <v>102</v>
      </c>
    </row>
    <row r="1365" spans="1:22">
      <c r="A1365" t="s">
        <v>2030</v>
      </c>
      <c r="B1365" s="10">
        <v>43198.481574074074</v>
      </c>
      <c r="C1365" s="10">
        <v>43198.493101851855</v>
      </c>
      <c r="D1365" s="10">
        <v>43199.793564814812</v>
      </c>
      <c r="E1365" s="10">
        <v>43208.774583333332</v>
      </c>
      <c r="F1365" s="10">
        <v>43229</v>
      </c>
      <c r="G1365" t="s">
        <v>8</v>
      </c>
      <c r="H1365" t="s">
        <v>245</v>
      </c>
      <c r="I1365" t="s">
        <v>128</v>
      </c>
      <c r="J1365" s="11">
        <v>1</v>
      </c>
      <c r="K1365" s="12">
        <v>99.9</v>
      </c>
      <c r="L1365" s="12">
        <v>21.65</v>
      </c>
      <c r="M1365" s="13">
        <v>5</v>
      </c>
      <c r="N1365" s="13">
        <f t="shared" si="168"/>
        <v>10.293009259257815</v>
      </c>
      <c r="O1365" s="13">
        <f t="shared" si="169"/>
        <v>0</v>
      </c>
      <c r="P1365" t="str">
        <f t="shared" si="170"/>
        <v>On Time</v>
      </c>
      <c r="Q1365" s="13">
        <f t="shared" si="171"/>
        <v>0.27666666673030704</v>
      </c>
      <c r="R1365" s="13">
        <f t="shared" si="172"/>
        <v>1.3004629629576812</v>
      </c>
      <c r="S1365" s="13">
        <f t="shared" si="173"/>
        <v>8.9810185185197042</v>
      </c>
      <c r="T1365" t="str">
        <f t="shared" si="174"/>
        <v>On Time/Early</v>
      </c>
      <c r="U1365" t="str">
        <f t="shared" si="175"/>
        <v>Normal</v>
      </c>
      <c r="V1365" t="s">
        <v>102</v>
      </c>
    </row>
    <row r="1366" spans="1:22">
      <c r="A1366" t="s">
        <v>2031</v>
      </c>
      <c r="B1366" s="10">
        <v>43198.502997685187</v>
      </c>
      <c r="C1366" s="10">
        <v>43198.510613425926</v>
      </c>
      <c r="D1366" s="10">
        <v>43199.987303240741</v>
      </c>
      <c r="E1366" s="10">
        <v>43209.617268518516</v>
      </c>
      <c r="F1366" s="10">
        <v>43215</v>
      </c>
      <c r="G1366" t="s">
        <v>8</v>
      </c>
      <c r="H1366" t="s">
        <v>2032</v>
      </c>
      <c r="I1366" t="s">
        <v>120</v>
      </c>
      <c r="J1366" s="11">
        <v>1</v>
      </c>
      <c r="K1366" s="12">
        <v>12.88</v>
      </c>
      <c r="L1366" s="12">
        <v>12.79</v>
      </c>
      <c r="M1366" s="13">
        <v>3</v>
      </c>
      <c r="N1366" s="13">
        <f t="shared" si="168"/>
        <v>11.114270833328192</v>
      </c>
      <c r="O1366" s="13">
        <f t="shared" si="169"/>
        <v>0</v>
      </c>
      <c r="P1366" t="str">
        <f t="shared" si="170"/>
        <v>On Time</v>
      </c>
      <c r="Q1366" s="13">
        <f t="shared" si="171"/>
        <v>0.18277777772163972</v>
      </c>
      <c r="R1366" s="13">
        <f t="shared" si="172"/>
        <v>1.4766898148154723</v>
      </c>
      <c r="S1366" s="13">
        <f t="shared" si="173"/>
        <v>9.6299652777743177</v>
      </c>
      <c r="T1366" t="str">
        <f t="shared" si="174"/>
        <v>On Time/Early</v>
      </c>
      <c r="U1366" t="str">
        <f t="shared" si="175"/>
        <v>Normal</v>
      </c>
      <c r="V1366" t="s">
        <v>102</v>
      </c>
    </row>
    <row r="1367" spans="1:22">
      <c r="A1367" t="s">
        <v>2033</v>
      </c>
      <c r="B1367" s="10">
        <v>43198.545451388891</v>
      </c>
      <c r="C1367" s="10">
        <v>43198.562731481485</v>
      </c>
      <c r="D1367" s="10">
        <v>43199.824895833335</v>
      </c>
      <c r="E1367" s="10">
        <v>43207.482222222221</v>
      </c>
      <c r="F1367" s="10">
        <v>43217</v>
      </c>
      <c r="G1367" t="s">
        <v>8</v>
      </c>
      <c r="H1367" t="s">
        <v>620</v>
      </c>
      <c r="I1367" t="s">
        <v>101</v>
      </c>
      <c r="J1367" s="11">
        <v>2</v>
      </c>
      <c r="K1367" s="12">
        <v>99.8</v>
      </c>
      <c r="L1367" s="12">
        <v>25.58</v>
      </c>
      <c r="M1367" s="13">
        <v>5</v>
      </c>
      <c r="N1367" s="13">
        <f t="shared" si="168"/>
        <v>8.9367708333302289</v>
      </c>
      <c r="O1367" s="13">
        <f t="shared" si="169"/>
        <v>0</v>
      </c>
      <c r="P1367" t="str">
        <f t="shared" si="170"/>
        <v>On Time</v>
      </c>
      <c r="Q1367" s="13">
        <f t="shared" si="171"/>
        <v>0.41472222225274891</v>
      </c>
      <c r="R1367" s="13">
        <f t="shared" si="172"/>
        <v>1.2621643518505152</v>
      </c>
      <c r="S1367" s="13">
        <f t="shared" si="173"/>
        <v>7.6573263888858492</v>
      </c>
      <c r="T1367" t="str">
        <f t="shared" si="174"/>
        <v>On Time/Early</v>
      </c>
      <c r="U1367" t="str">
        <f t="shared" si="175"/>
        <v>Normal</v>
      </c>
      <c r="V1367" t="s">
        <v>102</v>
      </c>
    </row>
    <row r="1368" spans="1:22">
      <c r="A1368" t="s">
        <v>2034</v>
      </c>
      <c r="B1368" s="10">
        <v>43198.656550925924</v>
      </c>
      <c r="C1368" s="10">
        <v>43199.674328703702</v>
      </c>
      <c r="D1368" s="10">
        <v>43200.813518518517</v>
      </c>
      <c r="E1368" s="10">
        <v>43206.758275462962</v>
      </c>
      <c r="F1368" s="10">
        <v>43224</v>
      </c>
      <c r="G1368" t="s">
        <v>8</v>
      </c>
      <c r="H1368" t="s">
        <v>403</v>
      </c>
      <c r="I1368" t="s">
        <v>246</v>
      </c>
      <c r="J1368" s="11">
        <v>1</v>
      </c>
      <c r="K1368" s="12">
        <v>208.9</v>
      </c>
      <c r="L1368" s="12">
        <v>89.91</v>
      </c>
      <c r="M1368" s="13">
        <v>5</v>
      </c>
      <c r="N1368" s="13">
        <f t="shared" si="168"/>
        <v>8.1017245370385353</v>
      </c>
      <c r="O1368" s="13">
        <f t="shared" si="169"/>
        <v>0</v>
      </c>
      <c r="P1368" t="str">
        <f t="shared" si="170"/>
        <v>On Time</v>
      </c>
      <c r="Q1368" s="13">
        <f t="shared" si="171"/>
        <v>24.426666666695382</v>
      </c>
      <c r="R1368" s="13">
        <f t="shared" si="172"/>
        <v>1.1391898148140172</v>
      </c>
      <c r="S1368" s="13">
        <f t="shared" si="173"/>
        <v>5.9447569444455439</v>
      </c>
      <c r="T1368" t="str">
        <f t="shared" si="174"/>
        <v>On Time/Early</v>
      </c>
      <c r="U1368" t="str">
        <f t="shared" si="175"/>
        <v>Normal</v>
      </c>
      <c r="V1368" t="s">
        <v>102</v>
      </c>
    </row>
    <row r="1369" spans="1:22">
      <c r="A1369" t="s">
        <v>2035</v>
      </c>
      <c r="B1369" s="10">
        <v>43198.807372685187</v>
      </c>
      <c r="C1369" s="10">
        <v>43200.731041666666</v>
      </c>
      <c r="D1369" s="10">
        <v>43201.817199074074</v>
      </c>
      <c r="E1369" s="10">
        <v>43222.772256944445</v>
      </c>
      <c r="F1369" s="10">
        <v>43227</v>
      </c>
      <c r="G1369" t="s">
        <v>23</v>
      </c>
      <c r="H1369" t="s">
        <v>275</v>
      </c>
      <c r="I1369" t="s">
        <v>34</v>
      </c>
      <c r="J1369" s="11">
        <v>1</v>
      </c>
      <c r="K1369" s="12">
        <v>1106.99</v>
      </c>
      <c r="L1369" s="12">
        <v>31.4</v>
      </c>
      <c r="M1369" s="13">
        <v>1</v>
      </c>
      <c r="N1369" s="13">
        <f t="shared" si="168"/>
        <v>23.964884259257815</v>
      </c>
      <c r="O1369" s="13">
        <f t="shared" si="169"/>
        <v>0</v>
      </c>
      <c r="P1369" t="str">
        <f t="shared" si="170"/>
        <v>On Time</v>
      </c>
      <c r="Q1369" s="13">
        <f t="shared" si="171"/>
        <v>46.168055555492174</v>
      </c>
      <c r="R1369" s="13">
        <f t="shared" si="172"/>
        <v>1.0861574074078817</v>
      </c>
      <c r="S1369" s="13">
        <f t="shared" si="173"/>
        <v>20.955057870371093</v>
      </c>
      <c r="T1369" t="str">
        <f t="shared" si="174"/>
        <v>On Time/Early</v>
      </c>
      <c r="U1369" t="str">
        <f t="shared" si="175"/>
        <v>Normal</v>
      </c>
      <c r="V1369" t="s">
        <v>102</v>
      </c>
    </row>
    <row r="1370" spans="1:22">
      <c r="A1370" t="s">
        <v>2036</v>
      </c>
      <c r="B1370" s="10">
        <v>43199.424502314818</v>
      </c>
      <c r="C1370" s="10">
        <v>43199.437847222223</v>
      </c>
      <c r="D1370" s="10">
        <v>43199.983958333331</v>
      </c>
      <c r="E1370" s="10">
        <v>43209.028726851851</v>
      </c>
      <c r="F1370" s="10">
        <v>43223</v>
      </c>
      <c r="G1370" t="s">
        <v>16</v>
      </c>
      <c r="H1370" t="s">
        <v>1008</v>
      </c>
      <c r="I1370" t="s">
        <v>185</v>
      </c>
      <c r="J1370" s="11">
        <v>1</v>
      </c>
      <c r="K1370" s="12">
        <v>28.49</v>
      </c>
      <c r="L1370" s="12">
        <v>18.23</v>
      </c>
      <c r="M1370" s="13">
        <v>5</v>
      </c>
      <c r="N1370" s="13">
        <f t="shared" si="168"/>
        <v>9.6042245370335877</v>
      </c>
      <c r="O1370" s="13">
        <f t="shared" si="169"/>
        <v>0</v>
      </c>
      <c r="P1370" t="str">
        <f t="shared" si="170"/>
        <v>On Time</v>
      </c>
      <c r="Q1370" s="13">
        <f t="shared" si="171"/>
        <v>0.32027777773328125</v>
      </c>
      <c r="R1370" s="13">
        <f t="shared" si="172"/>
        <v>0.54611111110716593</v>
      </c>
      <c r="S1370" s="13">
        <f t="shared" si="173"/>
        <v>9.0447685185208684</v>
      </c>
      <c r="T1370" t="str">
        <f t="shared" si="174"/>
        <v>On Time/Early</v>
      </c>
      <c r="U1370" t="str">
        <f t="shared" si="175"/>
        <v>Normal</v>
      </c>
      <c r="V1370" t="s">
        <v>102</v>
      </c>
    </row>
    <row r="1371" spans="1:22">
      <c r="A1371" t="s">
        <v>2037</v>
      </c>
      <c r="B1371" s="10">
        <v>43199.558240740742</v>
      </c>
      <c r="C1371" s="10">
        <v>43200.160081018519</v>
      </c>
      <c r="D1371" s="10">
        <v>43200.832453703704</v>
      </c>
      <c r="E1371" s="10">
        <v>43203.880254629628</v>
      </c>
      <c r="F1371" s="10">
        <v>43209</v>
      </c>
      <c r="G1371" t="s">
        <v>8</v>
      </c>
      <c r="H1371" t="s">
        <v>140</v>
      </c>
      <c r="I1371" t="s">
        <v>120</v>
      </c>
      <c r="J1371" s="11">
        <v>1</v>
      </c>
      <c r="K1371" s="12">
        <v>67.989999999999995</v>
      </c>
      <c r="L1371" s="12">
        <v>14.52</v>
      </c>
      <c r="M1371" s="13">
        <v>5</v>
      </c>
      <c r="N1371" s="13">
        <f t="shared" si="168"/>
        <v>4.3220138888864312</v>
      </c>
      <c r="O1371" s="13">
        <f t="shared" si="169"/>
        <v>0</v>
      </c>
      <c r="P1371" t="str">
        <f t="shared" si="170"/>
        <v>On Time</v>
      </c>
      <c r="Q1371" s="13">
        <f t="shared" si="171"/>
        <v>14.444166666653473</v>
      </c>
      <c r="R1371" s="13">
        <f t="shared" si="172"/>
        <v>0.67237268518510973</v>
      </c>
      <c r="S1371" s="13">
        <f t="shared" si="173"/>
        <v>3.0478009259240935</v>
      </c>
      <c r="T1371" t="str">
        <f t="shared" si="174"/>
        <v>On Time/Early</v>
      </c>
      <c r="U1371" t="str">
        <f t="shared" si="175"/>
        <v>Normal</v>
      </c>
      <c r="V1371" t="s">
        <v>102</v>
      </c>
    </row>
    <row r="1372" spans="1:22">
      <c r="A1372" t="s">
        <v>2038</v>
      </c>
      <c r="B1372" s="10">
        <v>43199.613807870373</v>
      </c>
      <c r="C1372" s="10">
        <v>43199.621701388889</v>
      </c>
      <c r="D1372" s="10">
        <v>43200.027025462965</v>
      </c>
      <c r="E1372" s="10">
        <v>43200.724629629629</v>
      </c>
      <c r="F1372" s="10">
        <v>43215</v>
      </c>
      <c r="G1372" t="s">
        <v>8</v>
      </c>
      <c r="H1372" t="s">
        <v>182</v>
      </c>
      <c r="I1372" t="s">
        <v>185</v>
      </c>
      <c r="J1372" s="11">
        <v>1</v>
      </c>
      <c r="K1372" s="12">
        <v>45</v>
      </c>
      <c r="L1372" s="12">
        <v>7.87</v>
      </c>
      <c r="M1372" s="13">
        <v>5</v>
      </c>
      <c r="N1372" s="13">
        <f t="shared" si="168"/>
        <v>1.1108217592554865</v>
      </c>
      <c r="O1372" s="13">
        <f t="shared" si="169"/>
        <v>0</v>
      </c>
      <c r="P1372" t="str">
        <f t="shared" si="170"/>
        <v>On Time</v>
      </c>
      <c r="Q1372" s="13">
        <f t="shared" si="171"/>
        <v>0.18944444437511265</v>
      </c>
      <c r="R1372" s="13">
        <f t="shared" si="172"/>
        <v>0.40532407407590654</v>
      </c>
      <c r="S1372" s="13">
        <f t="shared" si="173"/>
        <v>0.69760416666395031</v>
      </c>
      <c r="T1372" t="str">
        <f t="shared" si="174"/>
        <v>On Time/Early</v>
      </c>
      <c r="U1372" t="str">
        <f t="shared" si="175"/>
        <v>Normal</v>
      </c>
      <c r="V1372" t="s">
        <v>102</v>
      </c>
    </row>
    <row r="1373" spans="1:22">
      <c r="A1373" t="s">
        <v>2039</v>
      </c>
      <c r="B1373" s="10">
        <v>43199.698229166665</v>
      </c>
      <c r="C1373" s="10">
        <v>43199.705312500002</v>
      </c>
      <c r="D1373" s="10">
        <v>43200.933807870373</v>
      </c>
      <c r="E1373" s="10">
        <v>43214.842141203706</v>
      </c>
      <c r="F1373" s="10">
        <v>43237</v>
      </c>
      <c r="G1373" t="s">
        <v>16</v>
      </c>
      <c r="H1373" t="s">
        <v>138</v>
      </c>
      <c r="I1373" t="s">
        <v>180</v>
      </c>
      <c r="J1373" s="11">
        <v>1</v>
      </c>
      <c r="K1373" s="12">
        <v>92</v>
      </c>
      <c r="L1373" s="12">
        <v>21.59</v>
      </c>
      <c r="M1373" s="13">
        <v>5</v>
      </c>
      <c r="N1373" s="13">
        <f t="shared" si="168"/>
        <v>15.143912037041446</v>
      </c>
      <c r="O1373" s="13">
        <f t="shared" si="169"/>
        <v>0</v>
      </c>
      <c r="P1373" t="str">
        <f t="shared" si="170"/>
        <v>On Time</v>
      </c>
      <c r="Q1373" s="13">
        <f t="shared" si="171"/>
        <v>0.17000000010011718</v>
      </c>
      <c r="R1373" s="13">
        <f t="shared" si="172"/>
        <v>1.2284953703710926</v>
      </c>
      <c r="S1373" s="13">
        <f t="shared" si="173"/>
        <v>13.908333333332848</v>
      </c>
      <c r="T1373" t="str">
        <f t="shared" si="174"/>
        <v>On Time/Early</v>
      </c>
      <c r="U1373" t="str">
        <f t="shared" si="175"/>
        <v>Normal</v>
      </c>
      <c r="V1373" t="s">
        <v>102</v>
      </c>
    </row>
    <row r="1374" spans="1:22">
      <c r="A1374" t="s">
        <v>2040</v>
      </c>
      <c r="B1374" s="10">
        <v>43199.839918981481</v>
      </c>
      <c r="C1374" s="10">
        <v>43201.371759259258</v>
      </c>
      <c r="D1374" s="10">
        <v>43202.631249999999</v>
      </c>
      <c r="E1374" s="10">
        <v>43206.892083333332</v>
      </c>
      <c r="F1374" s="10">
        <v>43222</v>
      </c>
      <c r="G1374" t="s">
        <v>8</v>
      </c>
      <c r="H1374" t="s">
        <v>1604</v>
      </c>
      <c r="I1374" t="s">
        <v>180</v>
      </c>
      <c r="J1374" s="11">
        <v>1</v>
      </c>
      <c r="K1374" s="12">
        <v>114.9</v>
      </c>
      <c r="L1374" s="12">
        <v>14.89</v>
      </c>
      <c r="M1374" s="13">
        <v>5</v>
      </c>
      <c r="N1374" s="13">
        <f t="shared" si="168"/>
        <v>7.0521643518513883</v>
      </c>
      <c r="O1374" s="13">
        <f t="shared" si="169"/>
        <v>0</v>
      </c>
      <c r="P1374" t="str">
        <f t="shared" si="170"/>
        <v>On Time</v>
      </c>
      <c r="Q1374" s="13">
        <f t="shared" si="171"/>
        <v>36.764166666660458</v>
      </c>
      <c r="R1374" s="13">
        <f t="shared" si="172"/>
        <v>1.2594907407401479</v>
      </c>
      <c r="S1374" s="13">
        <f t="shared" si="173"/>
        <v>4.2608333333337214</v>
      </c>
      <c r="T1374" t="str">
        <f t="shared" si="174"/>
        <v>On Time/Early</v>
      </c>
      <c r="U1374" t="str">
        <f t="shared" si="175"/>
        <v>Normal</v>
      </c>
      <c r="V1374" t="s">
        <v>102</v>
      </c>
    </row>
    <row r="1375" spans="1:22">
      <c r="A1375" t="s">
        <v>2041</v>
      </c>
      <c r="B1375" s="10">
        <v>43200.013692129629</v>
      </c>
      <c r="C1375" s="10">
        <v>43200.024629629632</v>
      </c>
      <c r="D1375" s="10">
        <v>43200.764849537038</v>
      </c>
      <c r="E1375" s="10">
        <v>43223.827951388892</v>
      </c>
      <c r="F1375" s="10">
        <v>43227</v>
      </c>
      <c r="G1375" t="s">
        <v>43</v>
      </c>
      <c r="H1375" t="s">
        <v>2042</v>
      </c>
      <c r="I1375" t="s">
        <v>115</v>
      </c>
      <c r="J1375" s="11">
        <v>1</v>
      </c>
      <c r="K1375" s="12">
        <v>11.5</v>
      </c>
      <c r="L1375" s="12">
        <v>22.06</v>
      </c>
      <c r="M1375" s="13">
        <v>3</v>
      </c>
      <c r="N1375" s="13">
        <f t="shared" si="168"/>
        <v>23.814259259263054</v>
      </c>
      <c r="O1375" s="13">
        <f t="shared" si="169"/>
        <v>0</v>
      </c>
      <c r="P1375" t="str">
        <f t="shared" si="170"/>
        <v>On Time</v>
      </c>
      <c r="Q1375" s="13">
        <f t="shared" si="171"/>
        <v>0.26250000006984919</v>
      </c>
      <c r="R1375" s="13">
        <f t="shared" si="172"/>
        <v>0.74021990740584442</v>
      </c>
      <c r="S1375" s="13">
        <f t="shared" si="173"/>
        <v>23.063101851854299</v>
      </c>
      <c r="T1375" t="str">
        <f t="shared" si="174"/>
        <v>On Time/Early</v>
      </c>
      <c r="U1375" t="str">
        <f t="shared" si="175"/>
        <v>Normal</v>
      </c>
      <c r="V1375" t="s">
        <v>102</v>
      </c>
    </row>
    <row r="1376" spans="1:22">
      <c r="A1376" t="s">
        <v>2043</v>
      </c>
      <c r="B1376" s="10">
        <v>43200.021574074075</v>
      </c>
      <c r="C1376" s="10">
        <v>43200.034594907411</v>
      </c>
      <c r="D1376" s="10">
        <v>43207.910185185188</v>
      </c>
      <c r="E1376" s="10">
        <v>43241.842916666668</v>
      </c>
      <c r="F1376" s="10">
        <v>43224</v>
      </c>
      <c r="G1376" t="s">
        <v>23</v>
      </c>
      <c r="H1376" t="s">
        <v>275</v>
      </c>
      <c r="I1376" t="s">
        <v>185</v>
      </c>
      <c r="J1376" s="11">
        <v>1</v>
      </c>
      <c r="K1376" s="12">
        <v>69.900000000000006</v>
      </c>
      <c r="L1376" s="12">
        <v>27.22</v>
      </c>
      <c r="M1376" s="13">
        <v>3</v>
      </c>
      <c r="N1376" s="13">
        <f t="shared" si="168"/>
        <v>41.821342592593282</v>
      </c>
      <c r="O1376" s="13">
        <f t="shared" si="169"/>
        <v>17.842916666668316</v>
      </c>
      <c r="P1376" t="str">
        <f t="shared" si="170"/>
        <v>Delayed</v>
      </c>
      <c r="Q1376" s="13">
        <f t="shared" si="171"/>
        <v>0.31250000005820766</v>
      </c>
      <c r="R1376" s="13">
        <f t="shared" si="172"/>
        <v>7.8755902777775191</v>
      </c>
      <c r="S1376" s="13">
        <f t="shared" si="173"/>
        <v>33.932731481480005</v>
      </c>
      <c r="T1376" t="str">
        <f t="shared" si="174"/>
        <v>8+ Days Late</v>
      </c>
      <c r="U1376" t="str">
        <f t="shared" si="175"/>
        <v>Needs Review</v>
      </c>
      <c r="V1376" t="s">
        <v>102</v>
      </c>
    </row>
    <row r="1377" spans="1:22">
      <c r="A1377" t="s">
        <v>2044</v>
      </c>
      <c r="B1377" s="10">
        <v>43200.610266203701</v>
      </c>
      <c r="C1377" s="10">
        <v>43200.618888888886</v>
      </c>
      <c r="D1377" s="10">
        <v>43201.936377314814</v>
      </c>
      <c r="E1377" s="10">
        <v>43207.848796296297</v>
      </c>
      <c r="F1377" s="10">
        <v>43223</v>
      </c>
      <c r="G1377" t="s">
        <v>8</v>
      </c>
      <c r="H1377" t="s">
        <v>712</v>
      </c>
      <c r="I1377" t="s">
        <v>141</v>
      </c>
      <c r="J1377" s="11">
        <v>1</v>
      </c>
      <c r="K1377" s="12">
        <v>89.18</v>
      </c>
      <c r="L1377" s="12">
        <v>13.98</v>
      </c>
      <c r="M1377" s="13">
        <v>4</v>
      </c>
      <c r="N1377" s="13">
        <f t="shared" si="168"/>
        <v>7.2385300925961928</v>
      </c>
      <c r="O1377" s="13">
        <f t="shared" si="169"/>
        <v>0</v>
      </c>
      <c r="P1377" t="str">
        <f t="shared" si="170"/>
        <v>On Time</v>
      </c>
      <c r="Q1377" s="13">
        <f t="shared" si="171"/>
        <v>0.20694444444961846</v>
      </c>
      <c r="R1377" s="13">
        <f t="shared" si="172"/>
        <v>1.317488425927877</v>
      </c>
      <c r="S1377" s="13">
        <f t="shared" si="173"/>
        <v>5.9124189814829151</v>
      </c>
      <c r="T1377" t="str">
        <f t="shared" si="174"/>
        <v>On Time/Early</v>
      </c>
      <c r="U1377" t="str">
        <f t="shared" si="175"/>
        <v>Normal</v>
      </c>
      <c r="V1377" t="s">
        <v>102</v>
      </c>
    </row>
    <row r="1378" spans="1:22">
      <c r="A1378" t="s">
        <v>2045</v>
      </c>
      <c r="B1378" s="10">
        <v>43200.613310185188</v>
      </c>
      <c r="C1378" s="10">
        <v>43200.621759259258</v>
      </c>
      <c r="D1378" s="10">
        <v>43201.846122685187</v>
      </c>
      <c r="E1378" s="10">
        <v>43208.776030092595</v>
      </c>
      <c r="F1378" s="10">
        <v>43220</v>
      </c>
      <c r="G1378" t="s">
        <v>36</v>
      </c>
      <c r="H1378" t="s">
        <v>2046</v>
      </c>
      <c r="I1378" t="s">
        <v>753</v>
      </c>
      <c r="J1378" s="11">
        <v>1</v>
      </c>
      <c r="K1378" s="12">
        <v>34.9</v>
      </c>
      <c r="L1378" s="12">
        <v>13.47</v>
      </c>
      <c r="M1378" s="13">
        <v>5</v>
      </c>
      <c r="N1378" s="13">
        <f t="shared" si="168"/>
        <v>8.1627199074064265</v>
      </c>
      <c r="O1378" s="13">
        <f t="shared" si="169"/>
        <v>0</v>
      </c>
      <c r="P1378" t="str">
        <f t="shared" si="170"/>
        <v>On Time</v>
      </c>
      <c r="Q1378" s="13">
        <f t="shared" si="171"/>
        <v>0.20277777768205851</v>
      </c>
      <c r="R1378" s="13">
        <f t="shared" si="172"/>
        <v>1.224363425928459</v>
      </c>
      <c r="S1378" s="13">
        <f t="shared" si="173"/>
        <v>6.9299074074078817</v>
      </c>
      <c r="T1378" t="str">
        <f t="shared" si="174"/>
        <v>On Time/Early</v>
      </c>
      <c r="U1378" t="str">
        <f t="shared" si="175"/>
        <v>Normal</v>
      </c>
      <c r="V1378" t="s">
        <v>102</v>
      </c>
    </row>
    <row r="1379" spans="1:22">
      <c r="A1379" t="s">
        <v>2047</v>
      </c>
      <c r="B1379" s="10">
        <v>43200.723912037036</v>
      </c>
      <c r="C1379" s="10">
        <v>43200.730763888889</v>
      </c>
      <c r="D1379" s="10">
        <v>43201.945937500001</v>
      </c>
      <c r="E1379" s="10">
        <v>43207.856828703705</v>
      </c>
      <c r="F1379" s="10">
        <v>43231</v>
      </c>
      <c r="G1379" t="s">
        <v>30</v>
      </c>
      <c r="H1379" t="s">
        <v>1038</v>
      </c>
      <c r="I1379" t="s">
        <v>185</v>
      </c>
      <c r="J1379" s="11">
        <v>1</v>
      </c>
      <c r="K1379" s="12">
        <v>28.49</v>
      </c>
      <c r="L1379" s="12">
        <v>18.23</v>
      </c>
      <c r="M1379" s="13">
        <v>5</v>
      </c>
      <c r="N1379" s="13">
        <f t="shared" si="168"/>
        <v>7.132916666669189</v>
      </c>
      <c r="O1379" s="13">
        <f t="shared" si="169"/>
        <v>0</v>
      </c>
      <c r="P1379" t="str">
        <f t="shared" si="170"/>
        <v>On Time</v>
      </c>
      <c r="Q1379" s="13">
        <f t="shared" si="171"/>
        <v>0.16444444446824491</v>
      </c>
      <c r="R1379" s="13">
        <f t="shared" si="172"/>
        <v>1.2151736111118225</v>
      </c>
      <c r="S1379" s="13">
        <f t="shared" si="173"/>
        <v>5.9108912037045229</v>
      </c>
      <c r="T1379" t="str">
        <f t="shared" si="174"/>
        <v>On Time/Early</v>
      </c>
      <c r="U1379" t="str">
        <f t="shared" si="175"/>
        <v>Normal</v>
      </c>
      <c r="V1379" t="s">
        <v>102</v>
      </c>
    </row>
    <row r="1380" spans="1:22">
      <c r="A1380" t="s">
        <v>2048</v>
      </c>
      <c r="B1380" s="10">
        <v>43200.852175925924</v>
      </c>
      <c r="C1380" s="10">
        <v>43201.383634259262</v>
      </c>
      <c r="D1380" s="10">
        <v>43201.887743055559</v>
      </c>
      <c r="E1380" s="10">
        <v>43207.806423611109</v>
      </c>
      <c r="F1380" s="10">
        <v>43224</v>
      </c>
      <c r="G1380" t="s">
        <v>747</v>
      </c>
      <c r="H1380" t="s">
        <v>748</v>
      </c>
      <c r="I1380" t="s">
        <v>221</v>
      </c>
      <c r="J1380" s="11">
        <v>1</v>
      </c>
      <c r="K1380" s="12">
        <v>49</v>
      </c>
      <c r="L1380" s="12">
        <v>19.04</v>
      </c>
      <c r="M1380" s="13">
        <v>5</v>
      </c>
      <c r="N1380" s="13">
        <f t="shared" si="168"/>
        <v>6.9542476851856918</v>
      </c>
      <c r="O1380" s="13">
        <f t="shared" si="169"/>
        <v>0</v>
      </c>
      <c r="P1380" t="str">
        <f t="shared" si="170"/>
        <v>On Time</v>
      </c>
      <c r="Q1380" s="13">
        <f t="shared" si="171"/>
        <v>12.755000000121072</v>
      </c>
      <c r="R1380" s="13">
        <f t="shared" si="172"/>
        <v>0.50410879629635019</v>
      </c>
      <c r="S1380" s="13">
        <f t="shared" si="173"/>
        <v>5.9186805555509636</v>
      </c>
      <c r="T1380" t="str">
        <f t="shared" si="174"/>
        <v>On Time/Early</v>
      </c>
      <c r="U1380" t="str">
        <f t="shared" si="175"/>
        <v>Normal</v>
      </c>
      <c r="V1380" t="s">
        <v>102</v>
      </c>
    </row>
    <row r="1381" spans="1:22">
      <c r="A1381" t="s">
        <v>2049</v>
      </c>
      <c r="B1381" s="10">
        <v>43200.880266203705</v>
      </c>
      <c r="C1381" s="10">
        <v>43200.896354166667</v>
      </c>
      <c r="D1381" s="10">
        <v>43202.726712962962</v>
      </c>
      <c r="E1381" s="10">
        <v>43203.726076388892</v>
      </c>
      <c r="F1381" s="10">
        <v>43213</v>
      </c>
      <c r="G1381" t="s">
        <v>8</v>
      </c>
      <c r="H1381" t="s">
        <v>140</v>
      </c>
      <c r="I1381" t="s">
        <v>279</v>
      </c>
      <c r="J1381" s="11">
        <v>1</v>
      </c>
      <c r="K1381" s="12">
        <v>79.900000000000006</v>
      </c>
      <c r="L1381" s="12">
        <v>7.42</v>
      </c>
      <c r="M1381" s="13">
        <v>4</v>
      </c>
      <c r="N1381" s="13">
        <f t="shared" si="168"/>
        <v>2.8458101851865649</v>
      </c>
      <c r="O1381" s="13">
        <f t="shared" si="169"/>
        <v>0</v>
      </c>
      <c r="P1381" t="str">
        <f t="shared" si="170"/>
        <v>On Time</v>
      </c>
      <c r="Q1381" s="13">
        <f t="shared" si="171"/>
        <v>0.38611111108912155</v>
      </c>
      <c r="R1381" s="13">
        <f t="shared" si="172"/>
        <v>1.830358796294604</v>
      </c>
      <c r="S1381" s="13">
        <f t="shared" si="173"/>
        <v>0.99936342592991423</v>
      </c>
      <c r="T1381" t="str">
        <f t="shared" si="174"/>
        <v>On Time/Early</v>
      </c>
      <c r="U1381" t="str">
        <f t="shared" si="175"/>
        <v>Normal</v>
      </c>
      <c r="V1381" t="s">
        <v>102</v>
      </c>
    </row>
    <row r="1382" spans="1:22">
      <c r="A1382" t="s">
        <v>2050</v>
      </c>
      <c r="B1382" s="10">
        <v>43201.808217592596</v>
      </c>
      <c r="C1382" s="10">
        <v>43201.816192129627</v>
      </c>
      <c r="D1382" s="10">
        <v>43202.763414351852</v>
      </c>
      <c r="E1382" s="10">
        <v>43207.004641203705</v>
      </c>
      <c r="F1382" s="10">
        <v>43216</v>
      </c>
      <c r="G1382" t="s">
        <v>8</v>
      </c>
      <c r="H1382" t="s">
        <v>140</v>
      </c>
      <c r="I1382" t="s">
        <v>143</v>
      </c>
      <c r="J1382" s="11">
        <v>1</v>
      </c>
      <c r="K1382" s="12">
        <v>31.9</v>
      </c>
      <c r="L1382" s="12">
        <v>8.82</v>
      </c>
      <c r="M1382" s="13">
        <v>5</v>
      </c>
      <c r="N1382" s="13">
        <f t="shared" si="168"/>
        <v>5.1964236111089122</v>
      </c>
      <c r="O1382" s="13">
        <f t="shared" si="169"/>
        <v>0</v>
      </c>
      <c r="P1382" t="str">
        <f t="shared" si="170"/>
        <v>On Time</v>
      </c>
      <c r="Q1382" s="13">
        <f t="shared" si="171"/>
        <v>0.19138888875022531</v>
      </c>
      <c r="R1382" s="13">
        <f t="shared" si="172"/>
        <v>0.94722222222480923</v>
      </c>
      <c r="S1382" s="13">
        <f t="shared" si="173"/>
        <v>4.2412268518528435</v>
      </c>
      <c r="T1382" t="str">
        <f t="shared" si="174"/>
        <v>On Time/Early</v>
      </c>
      <c r="U1382" t="str">
        <f t="shared" si="175"/>
        <v>Normal</v>
      </c>
      <c r="V1382" t="s">
        <v>102</v>
      </c>
    </row>
    <row r="1383" spans="1:22">
      <c r="A1383" t="s">
        <v>2051</v>
      </c>
      <c r="B1383" s="10">
        <v>43202.335335648146</v>
      </c>
      <c r="C1383" s="10">
        <v>43203.524664351855</v>
      </c>
      <c r="D1383" s="10">
        <v>43208.837893518517</v>
      </c>
      <c r="E1383" s="10">
        <v>43216.852500000001</v>
      </c>
      <c r="F1383" s="10">
        <v>43228</v>
      </c>
      <c r="G1383" t="s">
        <v>20</v>
      </c>
      <c r="H1383" t="s">
        <v>503</v>
      </c>
      <c r="I1383" t="s">
        <v>235</v>
      </c>
      <c r="J1383" s="11">
        <v>1</v>
      </c>
      <c r="K1383" s="12">
        <v>99.9</v>
      </c>
      <c r="L1383" s="12">
        <v>23.28</v>
      </c>
      <c r="M1383" s="13">
        <v>4</v>
      </c>
      <c r="N1383" s="13">
        <f t="shared" si="168"/>
        <v>14.517164351855172</v>
      </c>
      <c r="O1383" s="13">
        <f t="shared" si="169"/>
        <v>0</v>
      </c>
      <c r="P1383" t="str">
        <f t="shared" si="170"/>
        <v>On Time</v>
      </c>
      <c r="Q1383" s="13">
        <f t="shared" si="171"/>
        <v>28.543888889020309</v>
      </c>
      <c r="R1383" s="13">
        <f t="shared" si="172"/>
        <v>5.3132291666624951</v>
      </c>
      <c r="S1383" s="13">
        <f t="shared" si="173"/>
        <v>8.0146064814834972</v>
      </c>
      <c r="T1383" t="str">
        <f t="shared" si="174"/>
        <v>On Time/Early</v>
      </c>
      <c r="U1383" t="str">
        <f t="shared" si="175"/>
        <v>Normal</v>
      </c>
      <c r="V1383" t="s">
        <v>102</v>
      </c>
    </row>
    <row r="1384" spans="1:22">
      <c r="A1384" t="s">
        <v>2052</v>
      </c>
      <c r="B1384" s="10">
        <v>43202.452314814815</v>
      </c>
      <c r="C1384" s="10">
        <v>43202.466331018521</v>
      </c>
      <c r="D1384" s="10">
        <v>43202.869340277779</v>
      </c>
      <c r="E1384" s="10">
        <v>43208.797789351855</v>
      </c>
      <c r="F1384" s="10">
        <v>43223</v>
      </c>
      <c r="G1384" t="s">
        <v>16</v>
      </c>
      <c r="H1384" t="s">
        <v>561</v>
      </c>
      <c r="I1384" t="s">
        <v>185</v>
      </c>
      <c r="J1384" s="11">
        <v>1</v>
      </c>
      <c r="K1384" s="12">
        <v>120.49</v>
      </c>
      <c r="L1384" s="12">
        <v>15.72</v>
      </c>
      <c r="M1384" s="13">
        <v>5</v>
      </c>
      <c r="N1384" s="13">
        <f t="shared" si="168"/>
        <v>6.3454745370399905</v>
      </c>
      <c r="O1384" s="13">
        <f t="shared" si="169"/>
        <v>0</v>
      </c>
      <c r="P1384" t="str">
        <f t="shared" si="170"/>
        <v>On Time</v>
      </c>
      <c r="Q1384" s="13">
        <f t="shared" si="171"/>
        <v>0.33638888894347474</v>
      </c>
      <c r="R1384" s="13">
        <f t="shared" si="172"/>
        <v>0.40300925925839692</v>
      </c>
      <c r="S1384" s="13">
        <f t="shared" si="173"/>
        <v>5.9284490740756155</v>
      </c>
      <c r="T1384" t="str">
        <f t="shared" si="174"/>
        <v>On Time/Early</v>
      </c>
      <c r="U1384" t="str">
        <f t="shared" si="175"/>
        <v>Normal</v>
      </c>
      <c r="V1384" t="s">
        <v>102</v>
      </c>
    </row>
    <row r="1385" spans="1:22">
      <c r="A1385" t="s">
        <v>2053</v>
      </c>
      <c r="B1385" s="10">
        <v>43202.460925925923</v>
      </c>
      <c r="C1385" s="10">
        <v>43202.480416666665</v>
      </c>
      <c r="D1385" s="10">
        <v>43202.911435185182</v>
      </c>
      <c r="E1385" s="10">
        <v>43203.915138888886</v>
      </c>
      <c r="F1385" s="10">
        <v>43217</v>
      </c>
      <c r="G1385" t="s">
        <v>8</v>
      </c>
      <c r="H1385" t="s">
        <v>140</v>
      </c>
      <c r="I1385" t="s">
        <v>141</v>
      </c>
      <c r="J1385" s="11">
        <v>1</v>
      </c>
      <c r="K1385" s="12">
        <v>44.99</v>
      </c>
      <c r="L1385" s="12">
        <v>7.39</v>
      </c>
      <c r="M1385" s="13">
        <v>5</v>
      </c>
      <c r="N1385" s="13">
        <f t="shared" si="168"/>
        <v>1.4542129629626288</v>
      </c>
      <c r="O1385" s="13">
        <f t="shared" si="169"/>
        <v>0</v>
      </c>
      <c r="P1385" t="str">
        <f t="shared" si="170"/>
        <v>On Time</v>
      </c>
      <c r="Q1385" s="13">
        <f t="shared" si="171"/>
        <v>0.46777777781244367</v>
      </c>
      <c r="R1385" s="13">
        <f t="shared" si="172"/>
        <v>0.43101851851679385</v>
      </c>
      <c r="S1385" s="13">
        <f t="shared" si="173"/>
        <v>1.0037037037036498</v>
      </c>
      <c r="T1385" t="str">
        <f t="shared" si="174"/>
        <v>On Time/Early</v>
      </c>
      <c r="U1385" t="str">
        <f t="shared" si="175"/>
        <v>Normal</v>
      </c>
      <c r="V1385" t="s">
        <v>102</v>
      </c>
    </row>
    <row r="1386" spans="1:22">
      <c r="A1386" t="s">
        <v>2054</v>
      </c>
      <c r="B1386" s="10">
        <v>43202.725868055553</v>
      </c>
      <c r="C1386" s="10">
        <v>43203.091273148151</v>
      </c>
      <c r="D1386" s="10">
        <v>43207.740868055553</v>
      </c>
      <c r="E1386" s="10">
        <v>43208.748888888891</v>
      </c>
      <c r="F1386" s="10">
        <v>43214</v>
      </c>
      <c r="G1386" t="s">
        <v>8</v>
      </c>
      <c r="H1386" t="s">
        <v>140</v>
      </c>
      <c r="I1386" t="s">
        <v>380</v>
      </c>
      <c r="J1386" s="11">
        <v>1</v>
      </c>
      <c r="K1386" s="12">
        <v>19.95</v>
      </c>
      <c r="L1386" s="12">
        <v>8.2899999999999991</v>
      </c>
      <c r="M1386" s="13">
        <v>5</v>
      </c>
      <c r="N1386" s="13">
        <f t="shared" si="168"/>
        <v>6.0230208333377959</v>
      </c>
      <c r="O1386" s="13">
        <f t="shared" si="169"/>
        <v>0</v>
      </c>
      <c r="P1386" t="str">
        <f t="shared" si="170"/>
        <v>On Time</v>
      </c>
      <c r="Q1386" s="13">
        <f t="shared" si="171"/>
        <v>8.7697222223505378</v>
      </c>
      <c r="R1386" s="13">
        <f t="shared" si="172"/>
        <v>4.6495949074014788</v>
      </c>
      <c r="S1386" s="13">
        <f t="shared" si="173"/>
        <v>1.008020833338378</v>
      </c>
      <c r="T1386" t="str">
        <f t="shared" si="174"/>
        <v>On Time/Early</v>
      </c>
      <c r="U1386" t="str">
        <f t="shared" si="175"/>
        <v>Normal</v>
      </c>
      <c r="V1386" t="s">
        <v>102</v>
      </c>
    </row>
    <row r="1387" spans="1:22">
      <c r="A1387" t="s">
        <v>2055</v>
      </c>
      <c r="B1387" s="10">
        <v>43203.397488425922</v>
      </c>
      <c r="C1387" s="10">
        <v>43203.411203703705</v>
      </c>
      <c r="D1387" s="10">
        <v>43206.532500000001</v>
      </c>
      <c r="E1387" s="10">
        <v>43209.898020833331</v>
      </c>
      <c r="F1387" s="10">
        <v>43237</v>
      </c>
      <c r="G1387" t="s">
        <v>16</v>
      </c>
      <c r="H1387" t="s">
        <v>138</v>
      </c>
      <c r="I1387" t="s">
        <v>180</v>
      </c>
      <c r="J1387" s="11">
        <v>1</v>
      </c>
      <c r="K1387" s="12">
        <v>89</v>
      </c>
      <c r="L1387" s="12">
        <v>18.5</v>
      </c>
      <c r="M1387" s="13">
        <v>5</v>
      </c>
      <c r="N1387" s="13">
        <f t="shared" si="168"/>
        <v>6.5005324074081727</v>
      </c>
      <c r="O1387" s="13">
        <f t="shared" si="169"/>
        <v>0</v>
      </c>
      <c r="P1387" t="str">
        <f t="shared" si="170"/>
        <v>On Time</v>
      </c>
      <c r="Q1387" s="13">
        <f t="shared" si="171"/>
        <v>0.32916666677920148</v>
      </c>
      <c r="R1387" s="13">
        <f t="shared" si="172"/>
        <v>3.1212962962963502</v>
      </c>
      <c r="S1387" s="13">
        <f t="shared" si="173"/>
        <v>3.3655208333293558</v>
      </c>
      <c r="T1387" t="str">
        <f t="shared" si="174"/>
        <v>On Time/Early</v>
      </c>
      <c r="U1387" t="str">
        <f t="shared" si="175"/>
        <v>Normal</v>
      </c>
      <c r="V1387" t="s">
        <v>102</v>
      </c>
    </row>
    <row r="1388" spans="1:22">
      <c r="A1388" t="s">
        <v>2056</v>
      </c>
      <c r="B1388" s="10">
        <v>43203.426087962966</v>
      </c>
      <c r="C1388" s="10">
        <v>43204.660243055558</v>
      </c>
      <c r="D1388" s="10">
        <v>43207.091562499998</v>
      </c>
      <c r="E1388" s="10">
        <v>43208.786423611113</v>
      </c>
      <c r="F1388" s="10">
        <v>43220</v>
      </c>
      <c r="G1388" t="s">
        <v>8</v>
      </c>
      <c r="H1388" t="s">
        <v>179</v>
      </c>
      <c r="I1388" t="s">
        <v>136</v>
      </c>
      <c r="J1388" s="11">
        <v>1</v>
      </c>
      <c r="K1388" s="12">
        <v>40.9</v>
      </c>
      <c r="L1388" s="12">
        <v>7.39</v>
      </c>
      <c r="M1388" s="13">
        <v>4</v>
      </c>
      <c r="N1388" s="13">
        <f t="shared" si="168"/>
        <v>5.3603356481471565</v>
      </c>
      <c r="O1388" s="13">
        <f t="shared" si="169"/>
        <v>0</v>
      </c>
      <c r="P1388" t="str">
        <f t="shared" si="170"/>
        <v>On Time</v>
      </c>
      <c r="Q1388" s="13">
        <f t="shared" si="171"/>
        <v>29.619722222210839</v>
      </c>
      <c r="R1388" s="13">
        <f t="shared" si="172"/>
        <v>2.4313194444403052</v>
      </c>
      <c r="S1388" s="13">
        <f t="shared" si="173"/>
        <v>1.6948611111147329</v>
      </c>
      <c r="T1388" t="str">
        <f t="shared" si="174"/>
        <v>On Time/Early</v>
      </c>
      <c r="U1388" t="str">
        <f t="shared" si="175"/>
        <v>Normal</v>
      </c>
      <c r="V1388" t="s">
        <v>102</v>
      </c>
    </row>
    <row r="1389" spans="1:22">
      <c r="A1389" t="s">
        <v>2057</v>
      </c>
      <c r="B1389" s="10">
        <v>43203.79959490741</v>
      </c>
      <c r="C1389" s="10">
        <v>43203.814270833333</v>
      </c>
      <c r="D1389" s="10">
        <v>43206.99454861111</v>
      </c>
      <c r="E1389" s="10">
        <v>43229.853425925925</v>
      </c>
      <c r="F1389" s="10">
        <v>43229</v>
      </c>
      <c r="G1389" t="s">
        <v>16</v>
      </c>
      <c r="H1389" t="s">
        <v>852</v>
      </c>
      <c r="I1389" t="s">
        <v>44</v>
      </c>
      <c r="J1389" s="11">
        <v>1</v>
      </c>
      <c r="K1389" s="12">
        <v>130</v>
      </c>
      <c r="L1389" s="12">
        <v>23.45</v>
      </c>
      <c r="M1389" s="13">
        <v>5</v>
      </c>
      <c r="N1389" s="13">
        <f t="shared" si="168"/>
        <v>26.053831018514757</v>
      </c>
      <c r="O1389" s="13">
        <f t="shared" si="169"/>
        <v>0.85342592592496658</v>
      </c>
      <c r="P1389" t="str">
        <f t="shared" si="170"/>
        <v>Delayed</v>
      </c>
      <c r="Q1389" s="13">
        <f t="shared" si="171"/>
        <v>0.35222222213633358</v>
      </c>
      <c r="R1389" s="13">
        <f t="shared" si="172"/>
        <v>3.1802777777775191</v>
      </c>
      <c r="S1389" s="13">
        <f t="shared" si="173"/>
        <v>22.85887731481489</v>
      </c>
      <c r="T1389" t="str">
        <f t="shared" si="174"/>
        <v>1-3 Days Late</v>
      </c>
      <c r="U1389" t="str">
        <f t="shared" si="175"/>
        <v>Needs Review</v>
      </c>
      <c r="V1389" t="s">
        <v>102</v>
      </c>
    </row>
    <row r="1390" spans="1:22">
      <c r="A1390" t="s">
        <v>2058</v>
      </c>
      <c r="B1390" s="10">
        <v>43204.40320601852</v>
      </c>
      <c r="C1390" s="10">
        <v>43204.411261574074</v>
      </c>
      <c r="D1390" s="10">
        <v>43220.588194444441</v>
      </c>
      <c r="E1390" s="10">
        <v>43223.547696759262</v>
      </c>
      <c r="F1390" s="10">
        <v>43231</v>
      </c>
      <c r="G1390" t="s">
        <v>8</v>
      </c>
      <c r="H1390" t="s">
        <v>520</v>
      </c>
      <c r="I1390" t="s">
        <v>34</v>
      </c>
      <c r="J1390" s="11">
        <v>1</v>
      </c>
      <c r="K1390" s="12">
        <v>225</v>
      </c>
      <c r="L1390" s="12">
        <v>36.72</v>
      </c>
      <c r="M1390" s="13">
        <v>5</v>
      </c>
      <c r="N1390" s="13">
        <f t="shared" si="168"/>
        <v>19.144490740742185</v>
      </c>
      <c r="O1390" s="13">
        <f t="shared" si="169"/>
        <v>0</v>
      </c>
      <c r="P1390" t="str">
        <f t="shared" si="170"/>
        <v>On Time</v>
      </c>
      <c r="Q1390" s="13">
        <f t="shared" si="171"/>
        <v>0.19333333329996094</v>
      </c>
      <c r="R1390" s="13">
        <f t="shared" si="172"/>
        <v>16.176932870366727</v>
      </c>
      <c r="S1390" s="13">
        <f t="shared" si="173"/>
        <v>2.9595023148212931</v>
      </c>
      <c r="T1390" t="str">
        <f t="shared" si="174"/>
        <v>On Time/Early</v>
      </c>
      <c r="U1390" t="str">
        <f t="shared" si="175"/>
        <v>Normal</v>
      </c>
      <c r="V1390" t="s">
        <v>102</v>
      </c>
    </row>
    <row r="1391" spans="1:22">
      <c r="A1391" t="s">
        <v>2059</v>
      </c>
      <c r="B1391" s="10">
        <v>43204.476342592592</v>
      </c>
      <c r="C1391" s="10">
        <v>43204.482824074075</v>
      </c>
      <c r="D1391" s="10">
        <v>43208.98400462963</v>
      </c>
      <c r="E1391" s="10">
        <v>43215.976863425924</v>
      </c>
      <c r="F1391" s="10">
        <v>43230</v>
      </c>
      <c r="G1391" t="s">
        <v>20</v>
      </c>
      <c r="H1391" t="s">
        <v>2060</v>
      </c>
      <c r="I1391" t="s">
        <v>118</v>
      </c>
      <c r="J1391" s="11">
        <v>1</v>
      </c>
      <c r="K1391" s="12">
        <v>231.54</v>
      </c>
      <c r="L1391" s="12">
        <v>19.5</v>
      </c>
      <c r="M1391" s="13">
        <v>5</v>
      </c>
      <c r="N1391" s="13">
        <f t="shared" si="168"/>
        <v>11.500520833331393</v>
      </c>
      <c r="O1391" s="13">
        <f t="shared" si="169"/>
        <v>0</v>
      </c>
      <c r="P1391" t="str">
        <f t="shared" si="170"/>
        <v>On Time</v>
      </c>
      <c r="Q1391" s="13">
        <f t="shared" si="171"/>
        <v>0.15555555559694767</v>
      </c>
      <c r="R1391" s="13">
        <f t="shared" si="172"/>
        <v>4.5011805555550382</v>
      </c>
      <c r="S1391" s="13">
        <f t="shared" si="173"/>
        <v>6.9928587962931488</v>
      </c>
      <c r="T1391" t="str">
        <f t="shared" si="174"/>
        <v>On Time/Early</v>
      </c>
      <c r="U1391" t="str">
        <f t="shared" si="175"/>
        <v>Normal</v>
      </c>
      <c r="V1391" t="s">
        <v>102</v>
      </c>
    </row>
    <row r="1392" spans="1:22">
      <c r="A1392" t="s">
        <v>2061</v>
      </c>
      <c r="B1392" s="10">
        <v>43204.5705787037</v>
      </c>
      <c r="C1392" s="10">
        <v>43204.579988425925</v>
      </c>
      <c r="D1392" s="10">
        <v>43209.619363425925</v>
      </c>
      <c r="E1392" s="10">
        <v>43218.654097222221</v>
      </c>
      <c r="F1392" s="10">
        <v>43216</v>
      </c>
      <c r="G1392" t="s">
        <v>8</v>
      </c>
      <c r="H1392" t="s">
        <v>140</v>
      </c>
      <c r="I1392" t="s">
        <v>141</v>
      </c>
      <c r="J1392" s="11">
        <v>2</v>
      </c>
      <c r="K1392" s="12">
        <v>48</v>
      </c>
      <c r="L1392" s="12">
        <v>16.579999999999998</v>
      </c>
      <c r="M1392" s="13">
        <v>4</v>
      </c>
      <c r="N1392" s="13">
        <f t="shared" si="168"/>
        <v>14.083518518520577</v>
      </c>
      <c r="O1392" s="13">
        <f t="shared" si="169"/>
        <v>2.6540972222210257</v>
      </c>
      <c r="P1392" t="str">
        <f t="shared" si="170"/>
        <v>Delayed</v>
      </c>
      <c r="Q1392" s="13">
        <f t="shared" si="171"/>
        <v>0.22583333338843659</v>
      </c>
      <c r="R1392" s="13">
        <f t="shared" si="172"/>
        <v>5.039375000000291</v>
      </c>
      <c r="S1392" s="13">
        <f t="shared" si="173"/>
        <v>9.0347337962957681</v>
      </c>
      <c r="T1392" t="str">
        <f t="shared" si="174"/>
        <v>1-3 Days Late</v>
      </c>
      <c r="U1392" t="str">
        <f t="shared" si="175"/>
        <v>Needs Review</v>
      </c>
      <c r="V1392" t="s">
        <v>102</v>
      </c>
    </row>
    <row r="1393" spans="1:22">
      <c r="A1393" t="s">
        <v>2062</v>
      </c>
      <c r="B1393" s="10">
        <v>43205.487743055557</v>
      </c>
      <c r="C1393" s="10">
        <v>43205.496759259258</v>
      </c>
      <c r="D1393" s="10">
        <v>43207.618576388886</v>
      </c>
      <c r="E1393" s="10">
        <v>43215.560347222221</v>
      </c>
      <c r="F1393" s="10">
        <v>43229</v>
      </c>
      <c r="G1393" t="s">
        <v>36</v>
      </c>
      <c r="H1393" t="s">
        <v>2063</v>
      </c>
      <c r="I1393" t="s">
        <v>252</v>
      </c>
      <c r="J1393" s="11">
        <v>1</v>
      </c>
      <c r="K1393" s="12">
        <v>40</v>
      </c>
      <c r="L1393" s="12">
        <v>19.32</v>
      </c>
      <c r="M1393" s="13">
        <v>4</v>
      </c>
      <c r="N1393" s="13">
        <f t="shared" si="168"/>
        <v>10.07260416666395</v>
      </c>
      <c r="O1393" s="13">
        <f t="shared" si="169"/>
        <v>0</v>
      </c>
      <c r="P1393" t="str">
        <f t="shared" si="170"/>
        <v>On Time</v>
      </c>
      <c r="Q1393" s="13">
        <f t="shared" si="171"/>
        <v>0.21638888883171603</v>
      </c>
      <c r="R1393" s="13">
        <f t="shared" si="172"/>
        <v>2.1218171296277433</v>
      </c>
      <c r="S1393" s="13">
        <f t="shared" si="173"/>
        <v>7.9417708333348855</v>
      </c>
      <c r="T1393" t="str">
        <f t="shared" si="174"/>
        <v>On Time/Early</v>
      </c>
      <c r="U1393" t="str">
        <f t="shared" si="175"/>
        <v>Normal</v>
      </c>
      <c r="V1393" t="s">
        <v>102</v>
      </c>
    </row>
    <row r="1394" spans="1:22">
      <c r="A1394" t="s">
        <v>2064</v>
      </c>
      <c r="B1394" s="10">
        <v>43205.831099537034</v>
      </c>
      <c r="C1394" s="10">
        <v>43207.174930555557</v>
      </c>
      <c r="D1394" s="10">
        <v>43208.79954861111</v>
      </c>
      <c r="E1394" s="10">
        <v>43216.423344907409</v>
      </c>
      <c r="F1394" s="10">
        <v>43236</v>
      </c>
      <c r="G1394" t="s">
        <v>33</v>
      </c>
      <c r="H1394" t="s">
        <v>2065</v>
      </c>
      <c r="I1394" t="s">
        <v>180</v>
      </c>
      <c r="J1394" s="11">
        <v>1</v>
      </c>
      <c r="K1394" s="12">
        <v>95</v>
      </c>
      <c r="L1394" s="12">
        <v>23.25</v>
      </c>
      <c r="M1394" s="13">
        <v>4</v>
      </c>
      <c r="N1394" s="13">
        <f t="shared" si="168"/>
        <v>10.592245370375167</v>
      </c>
      <c r="O1394" s="13">
        <f t="shared" si="169"/>
        <v>0</v>
      </c>
      <c r="P1394" t="str">
        <f t="shared" si="170"/>
        <v>On Time</v>
      </c>
      <c r="Q1394" s="13">
        <f t="shared" si="171"/>
        <v>32.251944444549736</v>
      </c>
      <c r="R1394" s="13">
        <f t="shared" si="172"/>
        <v>1.624618055553583</v>
      </c>
      <c r="S1394" s="13">
        <f t="shared" si="173"/>
        <v>7.6237962962986785</v>
      </c>
      <c r="T1394" t="str">
        <f t="shared" si="174"/>
        <v>On Time/Early</v>
      </c>
      <c r="U1394" t="str">
        <f t="shared" si="175"/>
        <v>Normal</v>
      </c>
      <c r="V1394" t="s">
        <v>102</v>
      </c>
    </row>
    <row r="1395" spans="1:22">
      <c r="A1395" t="s">
        <v>2066</v>
      </c>
      <c r="B1395" s="10">
        <v>43205.84207175926</v>
      </c>
      <c r="C1395" s="10">
        <v>43205.854710648149</v>
      </c>
      <c r="D1395" s="10">
        <v>43207.929594907408</v>
      </c>
      <c r="E1395" s="10">
        <v>43214.550729166665</v>
      </c>
      <c r="F1395" s="10">
        <v>43230</v>
      </c>
      <c r="G1395" t="s">
        <v>8</v>
      </c>
      <c r="H1395" t="s">
        <v>1442</v>
      </c>
      <c r="I1395" t="s">
        <v>141</v>
      </c>
      <c r="J1395" s="11">
        <v>1</v>
      </c>
      <c r="K1395" s="12">
        <v>339</v>
      </c>
      <c r="L1395" s="12">
        <v>105.54</v>
      </c>
      <c r="M1395" s="13">
        <v>5</v>
      </c>
      <c r="N1395" s="13">
        <f t="shared" si="168"/>
        <v>8.7086574074055534</v>
      </c>
      <c r="O1395" s="13">
        <f t="shared" si="169"/>
        <v>0</v>
      </c>
      <c r="P1395" t="str">
        <f t="shared" si="170"/>
        <v>On Time</v>
      </c>
      <c r="Q1395" s="13">
        <f t="shared" si="171"/>
        <v>0.30333333334419876</v>
      </c>
      <c r="R1395" s="13">
        <f t="shared" si="172"/>
        <v>2.0748842592583969</v>
      </c>
      <c r="S1395" s="13">
        <f t="shared" si="173"/>
        <v>6.6211342592578148</v>
      </c>
      <c r="T1395" t="str">
        <f t="shared" si="174"/>
        <v>On Time/Early</v>
      </c>
      <c r="U1395" t="str">
        <f t="shared" si="175"/>
        <v>Normal</v>
      </c>
      <c r="V1395" t="s">
        <v>102</v>
      </c>
    </row>
    <row r="1396" spans="1:22">
      <c r="A1396" t="s">
        <v>2067</v>
      </c>
      <c r="B1396" s="10">
        <v>43205.865428240744</v>
      </c>
      <c r="C1396" s="10">
        <v>43205.87190972222</v>
      </c>
      <c r="D1396" s="10">
        <v>43207.008611111109</v>
      </c>
      <c r="E1396" s="10">
        <v>43209.010243055556</v>
      </c>
      <c r="F1396" s="10">
        <v>43223</v>
      </c>
      <c r="G1396" t="s">
        <v>16</v>
      </c>
      <c r="H1396" t="s">
        <v>2068</v>
      </c>
      <c r="I1396" t="s">
        <v>101</v>
      </c>
      <c r="J1396" s="11">
        <v>1</v>
      </c>
      <c r="K1396" s="12">
        <v>24.9</v>
      </c>
      <c r="L1396" s="12">
        <v>7.55</v>
      </c>
      <c r="M1396" s="13">
        <v>5</v>
      </c>
      <c r="N1396" s="13">
        <f t="shared" si="168"/>
        <v>3.1448148148119799</v>
      </c>
      <c r="O1396" s="13">
        <f t="shared" si="169"/>
        <v>0</v>
      </c>
      <c r="P1396" t="str">
        <f t="shared" si="170"/>
        <v>On Time</v>
      </c>
      <c r="Q1396" s="13">
        <f t="shared" si="171"/>
        <v>0.15555555542232469</v>
      </c>
      <c r="R1396" s="13">
        <f t="shared" si="172"/>
        <v>1.1367013888884685</v>
      </c>
      <c r="S1396" s="13">
        <f t="shared" si="173"/>
        <v>2.0016319444475812</v>
      </c>
      <c r="T1396" t="str">
        <f t="shared" si="174"/>
        <v>On Time/Early</v>
      </c>
      <c r="U1396" t="str">
        <f t="shared" si="175"/>
        <v>Normal</v>
      </c>
      <c r="V1396" t="s">
        <v>102</v>
      </c>
    </row>
    <row r="1397" spans="1:22">
      <c r="A1397" t="s">
        <v>2069</v>
      </c>
      <c r="B1397" s="10">
        <v>43205.866388888891</v>
      </c>
      <c r="C1397" s="10">
        <v>43205.881828703707</v>
      </c>
      <c r="D1397" s="10">
        <v>43207.935219907406</v>
      </c>
      <c r="E1397" s="10">
        <v>43208.952453703707</v>
      </c>
      <c r="F1397" s="10">
        <v>43220</v>
      </c>
      <c r="G1397" t="s">
        <v>8</v>
      </c>
      <c r="H1397" t="s">
        <v>1966</v>
      </c>
      <c r="I1397" t="s">
        <v>143</v>
      </c>
      <c r="J1397" s="11">
        <v>1</v>
      </c>
      <c r="K1397" s="12">
        <v>53.9</v>
      </c>
      <c r="L1397" s="12">
        <v>8.8800000000000008</v>
      </c>
      <c r="M1397" s="13">
        <v>1</v>
      </c>
      <c r="N1397" s="13">
        <f t="shared" si="168"/>
        <v>3.0860648148154723</v>
      </c>
      <c r="O1397" s="13">
        <f t="shared" si="169"/>
        <v>0</v>
      </c>
      <c r="P1397" t="str">
        <f t="shared" si="170"/>
        <v>On Time</v>
      </c>
      <c r="Q1397" s="13">
        <f t="shared" si="171"/>
        <v>0.37055555556435138</v>
      </c>
      <c r="R1397" s="13">
        <f t="shared" si="172"/>
        <v>2.0533912036989932</v>
      </c>
      <c r="S1397" s="13">
        <f t="shared" si="173"/>
        <v>1.0172337963012978</v>
      </c>
      <c r="T1397" t="str">
        <f t="shared" si="174"/>
        <v>On Time/Early</v>
      </c>
      <c r="U1397" t="str">
        <f t="shared" si="175"/>
        <v>Normal</v>
      </c>
      <c r="V1397" t="s">
        <v>102</v>
      </c>
    </row>
    <row r="1398" spans="1:22">
      <c r="A1398" t="s">
        <v>2070</v>
      </c>
      <c r="B1398" s="10">
        <v>43206.017951388887</v>
      </c>
      <c r="C1398" s="10">
        <v>43206.024664351855</v>
      </c>
      <c r="D1398" s="10">
        <v>43209.672835648147</v>
      </c>
      <c r="E1398" s="10">
        <v>43210.695821759262</v>
      </c>
      <c r="F1398" s="10">
        <v>43216</v>
      </c>
      <c r="G1398" t="s">
        <v>8</v>
      </c>
      <c r="H1398" t="s">
        <v>161</v>
      </c>
      <c r="I1398" t="s">
        <v>141</v>
      </c>
      <c r="J1398" s="11">
        <v>1</v>
      </c>
      <c r="K1398" s="12">
        <v>62.9</v>
      </c>
      <c r="L1398" s="12">
        <v>8.8800000000000008</v>
      </c>
      <c r="M1398" s="13">
        <v>3</v>
      </c>
      <c r="N1398" s="13">
        <f t="shared" si="168"/>
        <v>4.6778703703748761</v>
      </c>
      <c r="O1398" s="13">
        <f t="shared" si="169"/>
        <v>0</v>
      </c>
      <c r="P1398" t="str">
        <f t="shared" si="170"/>
        <v>On Time</v>
      </c>
      <c r="Q1398" s="13">
        <f t="shared" si="171"/>
        <v>0.16111111122881994</v>
      </c>
      <c r="R1398" s="13">
        <f t="shared" si="172"/>
        <v>3.6481712962922757</v>
      </c>
      <c r="S1398" s="13">
        <f t="shared" si="173"/>
        <v>1.0229861111147329</v>
      </c>
      <c r="T1398" t="str">
        <f t="shared" si="174"/>
        <v>On Time/Early</v>
      </c>
      <c r="U1398" t="str">
        <f t="shared" si="175"/>
        <v>Normal</v>
      </c>
      <c r="V1398" t="s">
        <v>102</v>
      </c>
    </row>
    <row r="1399" spans="1:22">
      <c r="A1399" t="s">
        <v>2071</v>
      </c>
      <c r="B1399" s="10">
        <v>43206.69740740741</v>
      </c>
      <c r="C1399" s="10">
        <v>43206.732129629629</v>
      </c>
      <c r="D1399" s="10">
        <v>43208.647951388892</v>
      </c>
      <c r="E1399" s="10">
        <v>43213.933923611112</v>
      </c>
      <c r="F1399" s="10">
        <v>43234</v>
      </c>
      <c r="G1399" t="s">
        <v>30</v>
      </c>
      <c r="H1399" t="s">
        <v>2072</v>
      </c>
      <c r="I1399" t="s">
        <v>141</v>
      </c>
      <c r="J1399" s="11">
        <v>1</v>
      </c>
      <c r="K1399" s="12">
        <v>17.899999999999999</v>
      </c>
      <c r="L1399" s="12">
        <v>18.23</v>
      </c>
      <c r="M1399" s="13">
        <v>5</v>
      </c>
      <c r="N1399" s="13">
        <f t="shared" si="168"/>
        <v>7.2365162037021946</v>
      </c>
      <c r="O1399" s="13">
        <f t="shared" si="169"/>
        <v>0</v>
      </c>
      <c r="P1399" t="str">
        <f t="shared" si="170"/>
        <v>On Time</v>
      </c>
      <c r="Q1399" s="13">
        <f t="shared" si="171"/>
        <v>0.83333333325572312</v>
      </c>
      <c r="R1399" s="13">
        <f t="shared" si="172"/>
        <v>1.9158217592630535</v>
      </c>
      <c r="S1399" s="13">
        <f t="shared" si="173"/>
        <v>5.2859722222201526</v>
      </c>
      <c r="T1399" t="str">
        <f t="shared" si="174"/>
        <v>On Time/Early</v>
      </c>
      <c r="U1399" t="str">
        <f t="shared" si="175"/>
        <v>Normal</v>
      </c>
      <c r="V1399" t="s">
        <v>102</v>
      </c>
    </row>
    <row r="1400" spans="1:22">
      <c r="A1400" t="s">
        <v>2073</v>
      </c>
      <c r="B1400" s="10">
        <v>43206.992766203701</v>
      </c>
      <c r="C1400" s="10">
        <v>43207.008125</v>
      </c>
      <c r="D1400" s="10">
        <v>43208.689166666663</v>
      </c>
      <c r="E1400" s="10">
        <v>43214.610254629632</v>
      </c>
      <c r="F1400" s="10">
        <v>43227</v>
      </c>
      <c r="G1400" t="s">
        <v>8</v>
      </c>
      <c r="H1400" t="s">
        <v>2074</v>
      </c>
      <c r="I1400" t="s">
        <v>368</v>
      </c>
      <c r="J1400" s="11">
        <v>1</v>
      </c>
      <c r="K1400" s="12">
        <v>639</v>
      </c>
      <c r="L1400" s="12">
        <v>31.2</v>
      </c>
      <c r="M1400" s="13">
        <v>5</v>
      </c>
      <c r="N1400" s="13">
        <f t="shared" si="168"/>
        <v>7.6174884259307873</v>
      </c>
      <c r="O1400" s="13">
        <f t="shared" si="169"/>
        <v>0</v>
      </c>
      <c r="P1400" t="str">
        <f t="shared" si="170"/>
        <v>On Time</v>
      </c>
      <c r="Q1400" s="13">
        <f t="shared" si="171"/>
        <v>0.36861111118923873</v>
      </c>
      <c r="R1400" s="13">
        <f t="shared" si="172"/>
        <v>1.6810416666630772</v>
      </c>
      <c r="S1400" s="13">
        <f t="shared" si="173"/>
        <v>5.9210879629681585</v>
      </c>
      <c r="T1400" t="str">
        <f t="shared" si="174"/>
        <v>On Time/Early</v>
      </c>
      <c r="U1400" t="str">
        <f t="shared" si="175"/>
        <v>Normal</v>
      </c>
      <c r="V1400" t="s">
        <v>102</v>
      </c>
    </row>
    <row r="1401" spans="1:22">
      <c r="A1401" t="s">
        <v>2075</v>
      </c>
      <c r="B1401" s="10">
        <v>43207.476145833331</v>
      </c>
      <c r="C1401" s="10">
        <v>43209.118761574071</v>
      </c>
      <c r="D1401" s="10">
        <v>43215.370833333334</v>
      </c>
      <c r="E1401" s="10">
        <v>43223.91300925926</v>
      </c>
      <c r="F1401" s="10">
        <v>43229</v>
      </c>
      <c r="G1401" t="s">
        <v>20</v>
      </c>
      <c r="H1401" t="s">
        <v>752</v>
      </c>
      <c r="I1401" t="s">
        <v>143</v>
      </c>
      <c r="J1401" s="11">
        <v>1</v>
      </c>
      <c r="K1401" s="12">
        <v>117.7</v>
      </c>
      <c r="L1401" s="12">
        <v>18.7</v>
      </c>
      <c r="M1401" s="13">
        <v>5</v>
      </c>
      <c r="N1401" s="13">
        <f t="shared" si="168"/>
        <v>16.436863425929914</v>
      </c>
      <c r="O1401" s="13">
        <f t="shared" si="169"/>
        <v>0</v>
      </c>
      <c r="P1401" t="str">
        <f t="shared" si="170"/>
        <v>On Time</v>
      </c>
      <c r="Q1401" s="13">
        <f t="shared" si="171"/>
        <v>39.422777777770534</v>
      </c>
      <c r="R1401" s="13">
        <f t="shared" si="172"/>
        <v>6.2520717592633446</v>
      </c>
      <c r="S1401" s="13">
        <f t="shared" si="173"/>
        <v>8.5421759259261307</v>
      </c>
      <c r="T1401" t="str">
        <f t="shared" si="174"/>
        <v>On Time/Early</v>
      </c>
      <c r="U1401" t="str">
        <f t="shared" si="175"/>
        <v>Normal</v>
      </c>
      <c r="V1401" t="s">
        <v>102</v>
      </c>
    </row>
    <row r="1402" spans="1:22">
      <c r="A1402" t="s">
        <v>2076</v>
      </c>
      <c r="B1402" s="10">
        <v>43207.500393518516</v>
      </c>
      <c r="C1402" s="10">
        <v>43207.520914351851</v>
      </c>
      <c r="D1402" s="10">
        <v>43208.81763888889</v>
      </c>
      <c r="E1402" s="10">
        <v>43213.762928240743</v>
      </c>
      <c r="F1402" s="10">
        <v>43224</v>
      </c>
      <c r="G1402" t="s">
        <v>8</v>
      </c>
      <c r="H1402" t="s">
        <v>140</v>
      </c>
      <c r="I1402" t="s">
        <v>963</v>
      </c>
      <c r="J1402" s="11">
        <v>1</v>
      </c>
      <c r="K1402" s="12">
        <v>54.4</v>
      </c>
      <c r="L1402" s="12">
        <v>8.8800000000000008</v>
      </c>
      <c r="M1402" s="13">
        <v>5</v>
      </c>
      <c r="N1402" s="13">
        <f t="shared" si="168"/>
        <v>6.2625347222274286</v>
      </c>
      <c r="O1402" s="13">
        <f t="shared" si="169"/>
        <v>0</v>
      </c>
      <c r="P1402" t="str">
        <f t="shared" si="170"/>
        <v>On Time</v>
      </c>
      <c r="Q1402" s="13">
        <f t="shared" si="171"/>
        <v>0.49250000005122274</v>
      </c>
      <c r="R1402" s="13">
        <f t="shared" si="172"/>
        <v>1.2967245370382443</v>
      </c>
      <c r="S1402" s="13">
        <f t="shared" si="173"/>
        <v>4.9452893518537167</v>
      </c>
      <c r="T1402" t="str">
        <f t="shared" si="174"/>
        <v>On Time/Early</v>
      </c>
      <c r="U1402" t="str">
        <f t="shared" si="175"/>
        <v>Normal</v>
      </c>
      <c r="V1402" t="s">
        <v>102</v>
      </c>
    </row>
    <row r="1403" spans="1:22">
      <c r="A1403" t="s">
        <v>2077</v>
      </c>
      <c r="B1403" s="10">
        <v>43207.537037037036</v>
      </c>
      <c r="C1403" s="10">
        <v>43209.118888888886</v>
      </c>
      <c r="D1403" s="10">
        <v>43209.850624999999</v>
      </c>
      <c r="E1403" s="10">
        <v>43214.799641203703</v>
      </c>
      <c r="F1403" s="10">
        <v>43230</v>
      </c>
      <c r="G1403" t="s">
        <v>20</v>
      </c>
      <c r="H1403" t="s">
        <v>104</v>
      </c>
      <c r="I1403" t="s">
        <v>118</v>
      </c>
      <c r="J1403" s="11">
        <v>2</v>
      </c>
      <c r="K1403" s="12">
        <v>54.98</v>
      </c>
      <c r="L1403" s="12">
        <v>30.46</v>
      </c>
      <c r="M1403" s="13">
        <v>2</v>
      </c>
      <c r="N1403" s="13">
        <f t="shared" si="168"/>
        <v>7.2626041666662786</v>
      </c>
      <c r="O1403" s="13">
        <f t="shared" si="169"/>
        <v>0</v>
      </c>
      <c r="P1403" t="str">
        <f t="shared" si="170"/>
        <v>On Time</v>
      </c>
      <c r="Q1403" s="13">
        <f t="shared" si="171"/>
        <v>37.964444444398396</v>
      </c>
      <c r="R1403" s="13">
        <f t="shared" si="172"/>
        <v>0.73173611111269565</v>
      </c>
      <c r="S1403" s="13">
        <f t="shared" si="173"/>
        <v>4.9490162037036498</v>
      </c>
      <c r="T1403" t="str">
        <f t="shared" si="174"/>
        <v>On Time/Early</v>
      </c>
      <c r="U1403" t="str">
        <f t="shared" si="175"/>
        <v>Normal</v>
      </c>
      <c r="V1403" t="s">
        <v>102</v>
      </c>
    </row>
    <row r="1404" spans="1:22">
      <c r="A1404" t="s">
        <v>2078</v>
      </c>
      <c r="B1404" s="10">
        <v>43207.603715277779</v>
      </c>
      <c r="C1404" s="10">
        <v>43207.620127314818</v>
      </c>
      <c r="D1404" s="10">
        <v>43213.999791666669</v>
      </c>
      <c r="E1404" s="10">
        <v>43220.880300925928</v>
      </c>
      <c r="F1404" s="10">
        <v>43230</v>
      </c>
      <c r="G1404" t="s">
        <v>8</v>
      </c>
      <c r="H1404" t="s">
        <v>1466</v>
      </c>
      <c r="I1404" t="s">
        <v>112</v>
      </c>
      <c r="J1404" s="11">
        <v>1</v>
      </c>
      <c r="K1404" s="12">
        <v>78.45</v>
      </c>
      <c r="L1404" s="12">
        <v>12.99</v>
      </c>
      <c r="M1404" s="13">
        <v>4</v>
      </c>
      <c r="N1404" s="13">
        <f t="shared" si="168"/>
        <v>13.276585648149194</v>
      </c>
      <c r="O1404" s="13">
        <f t="shared" si="169"/>
        <v>0</v>
      </c>
      <c r="P1404" t="str">
        <f t="shared" si="170"/>
        <v>On Time</v>
      </c>
      <c r="Q1404" s="13">
        <f t="shared" si="171"/>
        <v>0.39388888893881813</v>
      </c>
      <c r="R1404" s="13">
        <f t="shared" si="172"/>
        <v>6.3796643518508063</v>
      </c>
      <c r="S1404" s="13">
        <f t="shared" si="173"/>
        <v>6.88050925925927</v>
      </c>
      <c r="T1404" t="str">
        <f t="shared" si="174"/>
        <v>On Time/Early</v>
      </c>
      <c r="U1404" t="str">
        <f t="shared" si="175"/>
        <v>Normal</v>
      </c>
      <c r="V1404" t="s">
        <v>102</v>
      </c>
    </row>
    <row r="1405" spans="1:22">
      <c r="A1405" t="s">
        <v>2079</v>
      </c>
      <c r="B1405" s="10">
        <v>43207.61582175926</v>
      </c>
      <c r="C1405" s="10">
        <v>43207.631493055553</v>
      </c>
      <c r="D1405" s="10">
        <v>43208.909351851849</v>
      </c>
      <c r="E1405" s="10">
        <v>43220.769282407404</v>
      </c>
      <c r="F1405" s="10">
        <v>43236</v>
      </c>
      <c r="G1405" t="s">
        <v>36</v>
      </c>
      <c r="H1405" t="s">
        <v>2080</v>
      </c>
      <c r="I1405" t="s">
        <v>118</v>
      </c>
      <c r="J1405" s="11">
        <v>1</v>
      </c>
      <c r="K1405" s="12">
        <v>44.99</v>
      </c>
      <c r="L1405" s="12">
        <v>18.23</v>
      </c>
      <c r="M1405" s="13">
        <v>4</v>
      </c>
      <c r="N1405" s="13">
        <f t="shared" si="168"/>
        <v>13.153460648143664</v>
      </c>
      <c r="O1405" s="13">
        <f t="shared" si="169"/>
        <v>0</v>
      </c>
      <c r="P1405" t="str">
        <f t="shared" si="170"/>
        <v>On Time</v>
      </c>
      <c r="Q1405" s="13">
        <f t="shared" si="171"/>
        <v>0.37611111102160066</v>
      </c>
      <c r="R1405" s="13">
        <f t="shared" si="172"/>
        <v>1.2778587962966412</v>
      </c>
      <c r="S1405" s="13">
        <f t="shared" si="173"/>
        <v>11.859930555554456</v>
      </c>
      <c r="T1405" t="str">
        <f t="shared" si="174"/>
        <v>On Time/Early</v>
      </c>
      <c r="U1405" t="str">
        <f t="shared" si="175"/>
        <v>Normal</v>
      </c>
      <c r="V1405" t="s">
        <v>102</v>
      </c>
    </row>
    <row r="1406" spans="1:22">
      <c r="A1406" t="s">
        <v>2081</v>
      </c>
      <c r="B1406" s="10">
        <v>43207.705729166664</v>
      </c>
      <c r="C1406" s="10">
        <v>43208.107812499999</v>
      </c>
      <c r="D1406" s="10">
        <v>43208.987407407411</v>
      </c>
      <c r="E1406" s="10">
        <v>43224.936631944445</v>
      </c>
      <c r="F1406" s="10">
        <v>43245</v>
      </c>
      <c r="G1406" t="s">
        <v>16</v>
      </c>
      <c r="H1406" t="s">
        <v>138</v>
      </c>
      <c r="I1406" t="s">
        <v>136</v>
      </c>
      <c r="J1406" s="11">
        <v>1</v>
      </c>
      <c r="K1406" s="12">
        <v>86.99</v>
      </c>
      <c r="L1406" s="12">
        <v>18.190000000000001</v>
      </c>
      <c r="M1406" s="13">
        <v>4</v>
      </c>
      <c r="N1406" s="13">
        <f t="shared" si="168"/>
        <v>17.230902777781012</v>
      </c>
      <c r="O1406" s="13">
        <f t="shared" si="169"/>
        <v>0</v>
      </c>
      <c r="P1406" t="str">
        <f t="shared" si="170"/>
        <v>On Time</v>
      </c>
      <c r="Q1406" s="13">
        <f t="shared" si="171"/>
        <v>9.6500000000232831</v>
      </c>
      <c r="R1406" s="13">
        <f t="shared" si="172"/>
        <v>0.87959490741195623</v>
      </c>
      <c r="S1406" s="13">
        <f t="shared" si="173"/>
        <v>15.949224537034752</v>
      </c>
      <c r="T1406" t="str">
        <f t="shared" si="174"/>
        <v>On Time/Early</v>
      </c>
      <c r="U1406" t="str">
        <f t="shared" si="175"/>
        <v>Normal</v>
      </c>
      <c r="V1406" t="s">
        <v>102</v>
      </c>
    </row>
    <row r="1407" spans="1:22">
      <c r="A1407" t="s">
        <v>2082</v>
      </c>
      <c r="B1407" s="10">
        <v>43208.348819444444</v>
      </c>
      <c r="C1407" s="10">
        <v>43209.0940162037</v>
      </c>
      <c r="D1407" s="10">
        <v>43210.759444444448</v>
      </c>
      <c r="E1407" s="10">
        <v>43214.672025462962</v>
      </c>
      <c r="F1407" s="10">
        <v>43220</v>
      </c>
      <c r="G1407" t="s">
        <v>8</v>
      </c>
      <c r="H1407" t="s">
        <v>140</v>
      </c>
      <c r="I1407" t="s">
        <v>120</v>
      </c>
      <c r="J1407" s="11">
        <v>1</v>
      </c>
      <c r="K1407" s="12">
        <v>240.9</v>
      </c>
      <c r="L1407" s="12">
        <v>10.6</v>
      </c>
      <c r="M1407" s="13">
        <v>5</v>
      </c>
      <c r="N1407" s="13">
        <f t="shared" si="168"/>
        <v>6.323206018518249</v>
      </c>
      <c r="O1407" s="13">
        <f t="shared" si="169"/>
        <v>0</v>
      </c>
      <c r="P1407" t="str">
        <f t="shared" si="170"/>
        <v>On Time</v>
      </c>
      <c r="Q1407" s="13">
        <f t="shared" si="171"/>
        <v>17.884722222166602</v>
      </c>
      <c r="R1407" s="13">
        <f t="shared" si="172"/>
        <v>1.6654282407471328</v>
      </c>
      <c r="S1407" s="13">
        <f t="shared" si="173"/>
        <v>3.9125810185141745</v>
      </c>
      <c r="T1407" t="str">
        <f t="shared" si="174"/>
        <v>On Time/Early</v>
      </c>
      <c r="U1407" t="str">
        <f t="shared" si="175"/>
        <v>Normal</v>
      </c>
      <c r="V1407" t="s">
        <v>102</v>
      </c>
    </row>
    <row r="1408" spans="1:22">
      <c r="A1408" t="s">
        <v>2083</v>
      </c>
      <c r="B1408" s="10">
        <v>43208.416597222225</v>
      </c>
      <c r="C1408" s="10">
        <v>43209.413425925923</v>
      </c>
      <c r="D1408" s="10">
        <v>43213.783946759257</v>
      </c>
      <c r="E1408" s="10">
        <v>43216.84920138889</v>
      </c>
      <c r="F1408" s="10">
        <v>43231</v>
      </c>
      <c r="G1408" t="s">
        <v>8</v>
      </c>
      <c r="H1408" t="s">
        <v>620</v>
      </c>
      <c r="I1408" t="s">
        <v>221</v>
      </c>
      <c r="J1408" s="11">
        <v>1</v>
      </c>
      <c r="K1408" s="12">
        <v>209</v>
      </c>
      <c r="L1408" s="12">
        <v>0</v>
      </c>
      <c r="M1408" s="13">
        <v>5</v>
      </c>
      <c r="N1408" s="13">
        <f t="shared" si="168"/>
        <v>8.4326041666645324</v>
      </c>
      <c r="O1408" s="13">
        <f t="shared" si="169"/>
        <v>0</v>
      </c>
      <c r="P1408" t="str">
        <f t="shared" si="170"/>
        <v>On Time</v>
      </c>
      <c r="Q1408" s="13">
        <f t="shared" si="171"/>
        <v>23.923888888733927</v>
      </c>
      <c r="R1408" s="13">
        <f t="shared" si="172"/>
        <v>4.3705208333340124</v>
      </c>
      <c r="S1408" s="13">
        <f t="shared" si="173"/>
        <v>3.065254629633273</v>
      </c>
      <c r="T1408" t="str">
        <f t="shared" si="174"/>
        <v>On Time/Early</v>
      </c>
      <c r="U1408" t="str">
        <f t="shared" si="175"/>
        <v>Normal</v>
      </c>
      <c r="V1408" t="s">
        <v>102</v>
      </c>
    </row>
    <row r="1409" spans="1:22">
      <c r="A1409" t="s">
        <v>2084</v>
      </c>
      <c r="B1409" s="10">
        <v>43208.479317129626</v>
      </c>
      <c r="C1409" s="10">
        <v>43208.494305555556</v>
      </c>
      <c r="D1409" s="10">
        <v>43208.978159722225</v>
      </c>
      <c r="E1409" s="10">
        <v>43222.563819444447</v>
      </c>
      <c r="F1409" s="10">
        <v>43235</v>
      </c>
      <c r="G1409" t="s">
        <v>43</v>
      </c>
      <c r="H1409" t="s">
        <v>318</v>
      </c>
      <c r="I1409" t="s">
        <v>120</v>
      </c>
      <c r="J1409" s="11">
        <v>2</v>
      </c>
      <c r="K1409" s="12">
        <v>134</v>
      </c>
      <c r="L1409" s="12">
        <v>34.36</v>
      </c>
      <c r="M1409" s="13">
        <v>5</v>
      </c>
      <c r="N1409" s="13">
        <f t="shared" si="168"/>
        <v>14.084502314821293</v>
      </c>
      <c r="O1409" s="13">
        <f t="shared" si="169"/>
        <v>0</v>
      </c>
      <c r="P1409" t="str">
        <f t="shared" si="170"/>
        <v>On Time</v>
      </c>
      <c r="Q1409" s="13">
        <f t="shared" si="171"/>
        <v>0.35972222231794149</v>
      </c>
      <c r="R1409" s="13">
        <f t="shared" si="172"/>
        <v>0.48385416666860692</v>
      </c>
      <c r="S1409" s="13">
        <f t="shared" si="173"/>
        <v>13.585659722222772</v>
      </c>
      <c r="T1409" t="str">
        <f t="shared" si="174"/>
        <v>On Time/Early</v>
      </c>
      <c r="U1409" t="str">
        <f t="shared" si="175"/>
        <v>Normal</v>
      </c>
      <c r="V1409" t="s">
        <v>102</v>
      </c>
    </row>
    <row r="1410" spans="1:22">
      <c r="A1410" t="s">
        <v>2085</v>
      </c>
      <c r="B1410" s="10">
        <v>43208.551238425927</v>
      </c>
      <c r="C1410" s="10">
        <v>43208.563668981478</v>
      </c>
      <c r="D1410" s="10">
        <v>43209.036030092589</v>
      </c>
      <c r="E1410" s="10">
        <v>43213.614293981482</v>
      </c>
      <c r="F1410" s="10">
        <v>43255</v>
      </c>
      <c r="G1410" t="s">
        <v>16</v>
      </c>
      <c r="H1410" t="s">
        <v>2086</v>
      </c>
      <c r="I1410" t="s">
        <v>154</v>
      </c>
      <c r="J1410" s="11">
        <v>1</v>
      </c>
      <c r="K1410" s="12">
        <v>16.899999999999999</v>
      </c>
      <c r="L1410" s="12">
        <v>15.23</v>
      </c>
      <c r="M1410" s="13">
        <v>5</v>
      </c>
      <c r="N1410" s="13">
        <f t="shared" ref="N1410:N1473" si="176">IFERROR(E1410-B1410,"")</f>
        <v>5.0630555555544561</v>
      </c>
      <c r="O1410" s="13">
        <f t="shared" ref="O1410:O1473" si="177">IFERROR(MAX(0,E1410-F1410),"")</f>
        <v>0</v>
      </c>
      <c r="P1410" t="str">
        <f t="shared" ref="P1410:P1473" si="178">IF(O1410&gt;0,"Delayed","On Time")</f>
        <v>On Time</v>
      </c>
      <c r="Q1410" s="13">
        <f t="shared" ref="Q1410:Q1473" si="179">IFERROR((C1410-B1410)*24,"")</f>
        <v>0.29833333322312683</v>
      </c>
      <c r="R1410" s="13">
        <f t="shared" ref="R1410:R1473" si="180">IFERROR(D1410-C1410,"")</f>
        <v>0.47236111111124046</v>
      </c>
      <c r="S1410" s="13">
        <f t="shared" ref="S1410:S1473" si="181">IFERROR(E1410-D1410,"")</f>
        <v>4.578263888892252</v>
      </c>
      <c r="T1410" t="str">
        <f t="shared" ref="T1410:T1473" si="182">IF(O1410=0,"On Time/Early",IF(O1410&lt;=3,"1-3 Days Late",IF(O1410&lt;=7,"4-7 Days Late","8+ Days Late")))</f>
        <v>On Time/Early</v>
      </c>
      <c r="U1410" t="str">
        <f t="shared" ref="U1410:U1473" si="183">IF(P1410="Delayed","Needs Review","Normal")</f>
        <v>Normal</v>
      </c>
      <c r="V1410" t="s">
        <v>102</v>
      </c>
    </row>
    <row r="1411" spans="1:22">
      <c r="A1411" t="s">
        <v>2087</v>
      </c>
      <c r="B1411" s="10">
        <v>43208.595937500002</v>
      </c>
      <c r="C1411" s="10">
        <v>43209.119467592594</v>
      </c>
      <c r="D1411" s="10">
        <v>43210.033148148148</v>
      </c>
      <c r="E1411" s="10">
        <v>43216.685162037036</v>
      </c>
      <c r="F1411" s="10">
        <v>43231</v>
      </c>
      <c r="G1411" t="s">
        <v>20</v>
      </c>
      <c r="H1411" t="s">
        <v>104</v>
      </c>
      <c r="I1411" t="s">
        <v>101</v>
      </c>
      <c r="J1411" s="11">
        <v>2</v>
      </c>
      <c r="K1411" s="12">
        <v>23.98</v>
      </c>
      <c r="L1411" s="12">
        <v>26.94</v>
      </c>
      <c r="M1411" s="13">
        <v>2</v>
      </c>
      <c r="N1411" s="13">
        <f t="shared" si="176"/>
        <v>8.0892245370341698</v>
      </c>
      <c r="O1411" s="13">
        <f t="shared" si="177"/>
        <v>0</v>
      </c>
      <c r="P1411" t="str">
        <f t="shared" si="178"/>
        <v>On Time</v>
      </c>
      <c r="Q1411" s="13">
        <f t="shared" si="179"/>
        <v>12.564722222217824</v>
      </c>
      <c r="R1411" s="13">
        <f t="shared" si="180"/>
        <v>0.91368055555358296</v>
      </c>
      <c r="S1411" s="13">
        <f t="shared" si="181"/>
        <v>6.6520138888881775</v>
      </c>
      <c r="T1411" t="str">
        <f t="shared" si="182"/>
        <v>On Time/Early</v>
      </c>
      <c r="U1411" t="str">
        <f t="shared" si="183"/>
        <v>Normal</v>
      </c>
      <c r="V1411" t="s">
        <v>102</v>
      </c>
    </row>
    <row r="1412" spans="1:22">
      <c r="A1412" t="s">
        <v>2088</v>
      </c>
      <c r="B1412" s="10">
        <v>43208.628263888888</v>
      </c>
      <c r="C1412" s="10">
        <v>43208.635787037034</v>
      </c>
      <c r="D1412" s="10">
        <v>43228.586111111108</v>
      </c>
      <c r="E1412" s="10">
        <v>43229.786099537036</v>
      </c>
      <c r="F1412" s="10">
        <v>43231</v>
      </c>
      <c r="G1412" t="s">
        <v>8</v>
      </c>
      <c r="H1412" t="s">
        <v>140</v>
      </c>
      <c r="I1412" t="s">
        <v>221</v>
      </c>
      <c r="J1412" s="11">
        <v>1</v>
      </c>
      <c r="K1412" s="12">
        <v>149.9</v>
      </c>
      <c r="L1412" s="12">
        <v>7.91</v>
      </c>
      <c r="M1412" s="13">
        <v>1</v>
      </c>
      <c r="N1412" s="13">
        <f t="shared" si="176"/>
        <v>21.157835648147739</v>
      </c>
      <c r="O1412" s="13">
        <f t="shared" si="177"/>
        <v>0</v>
      </c>
      <c r="P1412" t="str">
        <f t="shared" si="178"/>
        <v>On Time</v>
      </c>
      <c r="Q1412" s="13">
        <f t="shared" si="179"/>
        <v>0.18055555550381541</v>
      </c>
      <c r="R1412" s="13">
        <f t="shared" si="180"/>
        <v>19.95032407407416</v>
      </c>
      <c r="S1412" s="13">
        <f t="shared" si="181"/>
        <v>1.1999884259275859</v>
      </c>
      <c r="T1412" t="str">
        <f t="shared" si="182"/>
        <v>On Time/Early</v>
      </c>
      <c r="U1412" t="str">
        <f t="shared" si="183"/>
        <v>Normal</v>
      </c>
      <c r="V1412" t="s">
        <v>102</v>
      </c>
    </row>
    <row r="1413" spans="1:22">
      <c r="A1413" t="s">
        <v>2089</v>
      </c>
      <c r="B1413" s="10">
        <v>43208.705625000002</v>
      </c>
      <c r="C1413" s="10">
        <v>43210.31627314815</v>
      </c>
      <c r="D1413" s="10">
        <v>43213.447442129633</v>
      </c>
      <c r="E1413" s="10">
        <v>43217.926736111112</v>
      </c>
      <c r="F1413" s="10">
        <v>43242</v>
      </c>
      <c r="G1413" t="s">
        <v>36</v>
      </c>
      <c r="H1413" t="s">
        <v>467</v>
      </c>
      <c r="I1413" t="s">
        <v>221</v>
      </c>
      <c r="J1413" s="11">
        <v>1</v>
      </c>
      <c r="K1413" s="12">
        <v>110</v>
      </c>
      <c r="L1413" s="12">
        <v>0</v>
      </c>
      <c r="M1413" s="13">
        <v>5</v>
      </c>
      <c r="N1413" s="13">
        <f t="shared" si="176"/>
        <v>9.2211111111100763</v>
      </c>
      <c r="O1413" s="13">
        <f t="shared" si="177"/>
        <v>0</v>
      </c>
      <c r="P1413" t="str">
        <f t="shared" si="178"/>
        <v>On Time</v>
      </c>
      <c r="Q1413" s="13">
        <f t="shared" si="179"/>
        <v>38.65555555553874</v>
      </c>
      <c r="R1413" s="13">
        <f t="shared" si="180"/>
        <v>3.1311689814829151</v>
      </c>
      <c r="S1413" s="13">
        <f t="shared" si="181"/>
        <v>4.4792939814797137</v>
      </c>
      <c r="T1413" t="str">
        <f t="shared" si="182"/>
        <v>On Time/Early</v>
      </c>
      <c r="U1413" t="str">
        <f t="shared" si="183"/>
        <v>Normal</v>
      </c>
      <c r="V1413" t="s">
        <v>102</v>
      </c>
    </row>
    <row r="1414" spans="1:22">
      <c r="A1414" t="s">
        <v>2090</v>
      </c>
      <c r="B1414" s="10">
        <v>43208.880983796298</v>
      </c>
      <c r="C1414" s="10">
        <v>43208.896168981482</v>
      </c>
      <c r="D1414" s="10">
        <v>43209.92224537037</v>
      </c>
      <c r="E1414" s="10">
        <v>43227.710914351854</v>
      </c>
      <c r="F1414" s="10">
        <v>43231</v>
      </c>
      <c r="G1414" t="s">
        <v>16</v>
      </c>
      <c r="H1414" t="s">
        <v>992</v>
      </c>
      <c r="I1414" t="s">
        <v>136</v>
      </c>
      <c r="J1414" s="11">
        <v>1</v>
      </c>
      <c r="K1414" s="12">
        <v>68.900000000000006</v>
      </c>
      <c r="L1414" s="12">
        <v>18.36</v>
      </c>
      <c r="M1414" s="13">
        <v>5</v>
      </c>
      <c r="N1414" s="13">
        <f t="shared" si="176"/>
        <v>18.82993055555562</v>
      </c>
      <c r="O1414" s="13">
        <f t="shared" si="177"/>
        <v>0</v>
      </c>
      <c r="P1414" t="str">
        <f t="shared" si="178"/>
        <v>On Time</v>
      </c>
      <c r="Q1414" s="13">
        <f t="shared" si="179"/>
        <v>0.36444444442167878</v>
      </c>
      <c r="R1414" s="13">
        <f t="shared" si="180"/>
        <v>1.0260763888873043</v>
      </c>
      <c r="S1414" s="13">
        <f t="shared" si="181"/>
        <v>17.788668981484079</v>
      </c>
      <c r="T1414" t="str">
        <f t="shared" si="182"/>
        <v>On Time/Early</v>
      </c>
      <c r="U1414" t="str">
        <f t="shared" si="183"/>
        <v>Normal</v>
      </c>
      <c r="V1414" t="s">
        <v>102</v>
      </c>
    </row>
    <row r="1415" spans="1:22">
      <c r="A1415" t="s">
        <v>2091</v>
      </c>
      <c r="B1415" s="10">
        <v>43208.952152777776</v>
      </c>
      <c r="C1415" s="10">
        <v>43210.302256944444</v>
      </c>
      <c r="D1415" s="10">
        <v>43210.929479166669</v>
      </c>
      <c r="E1415" s="10">
        <v>43224.874131944445</v>
      </c>
      <c r="F1415" s="10">
        <v>43235</v>
      </c>
      <c r="G1415" t="s">
        <v>16</v>
      </c>
      <c r="H1415" t="s">
        <v>448</v>
      </c>
      <c r="I1415" t="s">
        <v>180</v>
      </c>
      <c r="J1415" s="11">
        <v>1</v>
      </c>
      <c r="K1415" s="12">
        <v>35.99</v>
      </c>
      <c r="L1415" s="12">
        <v>19.32</v>
      </c>
      <c r="M1415" s="13">
        <v>3</v>
      </c>
      <c r="N1415" s="13">
        <f t="shared" si="176"/>
        <v>15.921979166669189</v>
      </c>
      <c r="O1415" s="13">
        <f t="shared" si="177"/>
        <v>0</v>
      </c>
      <c r="P1415" t="str">
        <f t="shared" si="178"/>
        <v>On Time</v>
      </c>
      <c r="Q1415" s="13">
        <f t="shared" si="179"/>
        <v>32.402500000025611</v>
      </c>
      <c r="R1415" s="13">
        <f t="shared" si="180"/>
        <v>0.62722222222510027</v>
      </c>
      <c r="S1415" s="13">
        <f t="shared" si="181"/>
        <v>13.944652777776355</v>
      </c>
      <c r="T1415" t="str">
        <f t="shared" si="182"/>
        <v>On Time/Early</v>
      </c>
      <c r="U1415" t="str">
        <f t="shared" si="183"/>
        <v>Normal</v>
      </c>
      <c r="V1415" t="s">
        <v>102</v>
      </c>
    </row>
    <row r="1416" spans="1:22">
      <c r="A1416" t="s">
        <v>2092</v>
      </c>
      <c r="B1416" s="10">
        <v>43208.955914351849</v>
      </c>
      <c r="C1416" s="10">
        <v>43208.966145833336</v>
      </c>
      <c r="D1416" s="10">
        <v>43209.765810185185</v>
      </c>
      <c r="E1416" s="10">
        <v>43215.051886574074</v>
      </c>
      <c r="F1416" s="10">
        <v>43234</v>
      </c>
      <c r="G1416" t="s">
        <v>36</v>
      </c>
      <c r="H1416" t="s">
        <v>467</v>
      </c>
      <c r="I1416" t="s">
        <v>101</v>
      </c>
      <c r="J1416" s="11">
        <v>1</v>
      </c>
      <c r="K1416" s="12">
        <v>35</v>
      </c>
      <c r="L1416" s="12">
        <v>16.32</v>
      </c>
      <c r="M1416" s="13">
        <v>5</v>
      </c>
      <c r="N1416" s="13">
        <f t="shared" si="176"/>
        <v>6.0959722222251003</v>
      </c>
      <c r="O1416" s="13">
        <f t="shared" si="177"/>
        <v>0</v>
      </c>
      <c r="P1416" t="str">
        <f t="shared" si="178"/>
        <v>On Time</v>
      </c>
      <c r="Q1416" s="13">
        <f t="shared" si="179"/>
        <v>0.2455555556807667</v>
      </c>
      <c r="R1416" s="13">
        <f t="shared" si="180"/>
        <v>0.79966435184906004</v>
      </c>
      <c r="S1416" s="13">
        <f t="shared" si="181"/>
        <v>5.2860763888893416</v>
      </c>
      <c r="T1416" t="str">
        <f t="shared" si="182"/>
        <v>On Time/Early</v>
      </c>
      <c r="U1416" t="str">
        <f t="shared" si="183"/>
        <v>Normal</v>
      </c>
      <c r="V1416" t="s">
        <v>102</v>
      </c>
    </row>
    <row r="1417" spans="1:22">
      <c r="A1417" t="s">
        <v>2093</v>
      </c>
      <c r="B1417" s="10">
        <v>43208.961041666669</v>
      </c>
      <c r="C1417" s="10">
        <v>43208.969027777777</v>
      </c>
      <c r="D1417" s="10">
        <v>43210.957361111112</v>
      </c>
      <c r="E1417" s="10">
        <v>43215.851851851854</v>
      </c>
      <c r="F1417" s="10">
        <v>43238</v>
      </c>
      <c r="G1417" t="s">
        <v>8</v>
      </c>
      <c r="H1417" t="s">
        <v>403</v>
      </c>
      <c r="I1417" t="s">
        <v>141</v>
      </c>
      <c r="J1417" s="11">
        <v>1</v>
      </c>
      <c r="K1417" s="12">
        <v>91.5</v>
      </c>
      <c r="L1417" s="12">
        <v>57.5</v>
      </c>
      <c r="M1417" s="13">
        <v>5</v>
      </c>
      <c r="N1417" s="13">
        <f t="shared" si="176"/>
        <v>6.8908101851848187</v>
      </c>
      <c r="O1417" s="13">
        <f t="shared" si="177"/>
        <v>0</v>
      </c>
      <c r="P1417" t="str">
        <f t="shared" si="178"/>
        <v>On Time</v>
      </c>
      <c r="Q1417" s="13">
        <f t="shared" si="179"/>
        <v>0.19166666659293696</v>
      </c>
      <c r="R1417" s="13">
        <f t="shared" si="180"/>
        <v>1.9883333333345945</v>
      </c>
      <c r="S1417" s="13">
        <f t="shared" si="181"/>
        <v>4.8944907407421852</v>
      </c>
      <c r="T1417" t="str">
        <f t="shared" si="182"/>
        <v>On Time/Early</v>
      </c>
      <c r="U1417" t="str">
        <f t="shared" si="183"/>
        <v>Normal</v>
      </c>
      <c r="V1417" t="s">
        <v>102</v>
      </c>
    </row>
    <row r="1418" spans="1:22">
      <c r="A1418" t="s">
        <v>2094</v>
      </c>
      <c r="B1418" s="10">
        <v>43209.048634259256</v>
      </c>
      <c r="C1418" s="10">
        <v>43209.062673611108</v>
      </c>
      <c r="D1418" s="10">
        <v>43209.752569444441</v>
      </c>
      <c r="E1418" s="10">
        <v>43210.786516203705</v>
      </c>
      <c r="F1418" s="10">
        <v>43228</v>
      </c>
      <c r="G1418" t="s">
        <v>8</v>
      </c>
      <c r="H1418" t="s">
        <v>243</v>
      </c>
      <c r="I1418" t="s">
        <v>101</v>
      </c>
      <c r="J1418" s="11">
        <v>1</v>
      </c>
      <c r="K1418" s="12">
        <v>69.900000000000006</v>
      </c>
      <c r="L1418" s="12">
        <v>12.43</v>
      </c>
      <c r="M1418" s="13">
        <v>5</v>
      </c>
      <c r="N1418" s="13">
        <f t="shared" si="176"/>
        <v>1.7378819444493274</v>
      </c>
      <c r="O1418" s="13">
        <f t="shared" si="177"/>
        <v>0</v>
      </c>
      <c r="P1418" t="str">
        <f t="shared" si="178"/>
        <v>On Time</v>
      </c>
      <c r="Q1418" s="13">
        <f t="shared" si="179"/>
        <v>0.33694444445427507</v>
      </c>
      <c r="R1418" s="13">
        <f t="shared" si="180"/>
        <v>0.68989583333313931</v>
      </c>
      <c r="S1418" s="13">
        <f t="shared" si="181"/>
        <v>1.0339467592639267</v>
      </c>
      <c r="T1418" t="str">
        <f t="shared" si="182"/>
        <v>On Time/Early</v>
      </c>
      <c r="U1418" t="str">
        <f t="shared" si="183"/>
        <v>Normal</v>
      </c>
      <c r="V1418" t="s">
        <v>102</v>
      </c>
    </row>
    <row r="1419" spans="1:22">
      <c r="A1419" t="s">
        <v>2095</v>
      </c>
      <c r="B1419" s="10">
        <v>43209.418842592589</v>
      </c>
      <c r="C1419" s="10">
        <v>43209.42728009259</v>
      </c>
      <c r="D1419" s="10">
        <v>43209.835636574076</v>
      </c>
      <c r="E1419" s="10">
        <v>43215.78601851852</v>
      </c>
      <c r="F1419" s="10">
        <v>43230</v>
      </c>
      <c r="G1419" t="s">
        <v>20</v>
      </c>
      <c r="H1419" t="s">
        <v>104</v>
      </c>
      <c r="I1419" t="s">
        <v>101</v>
      </c>
      <c r="J1419" s="11">
        <v>1</v>
      </c>
      <c r="K1419" s="12">
        <v>59.8</v>
      </c>
      <c r="L1419" s="12">
        <v>23</v>
      </c>
      <c r="M1419" s="13">
        <v>5</v>
      </c>
      <c r="N1419" s="13">
        <f t="shared" si="176"/>
        <v>6.3671759259304963</v>
      </c>
      <c r="O1419" s="13">
        <f t="shared" si="177"/>
        <v>0</v>
      </c>
      <c r="P1419" t="str">
        <f t="shared" si="178"/>
        <v>On Time</v>
      </c>
      <c r="Q1419" s="13">
        <f t="shared" si="179"/>
        <v>0.20250000001396984</v>
      </c>
      <c r="R1419" s="13">
        <f t="shared" si="180"/>
        <v>0.40835648148640757</v>
      </c>
      <c r="S1419" s="13">
        <f t="shared" si="181"/>
        <v>5.9503819444435067</v>
      </c>
      <c r="T1419" t="str">
        <f t="shared" si="182"/>
        <v>On Time/Early</v>
      </c>
      <c r="U1419" t="str">
        <f t="shared" si="183"/>
        <v>Normal</v>
      </c>
      <c r="V1419" t="s">
        <v>102</v>
      </c>
    </row>
    <row r="1420" spans="1:22">
      <c r="A1420" t="s">
        <v>2096</v>
      </c>
      <c r="B1420" s="10">
        <v>43209.682581018518</v>
      </c>
      <c r="C1420" s="10">
        <v>43209.691122685188</v>
      </c>
      <c r="D1420" s="10">
        <v>43210.033645833333</v>
      </c>
      <c r="E1420" s="10">
        <v>43222.986909722225</v>
      </c>
      <c r="F1420" s="10">
        <v>43237</v>
      </c>
      <c r="G1420" t="s">
        <v>20</v>
      </c>
      <c r="H1420" t="s">
        <v>190</v>
      </c>
      <c r="I1420" t="s">
        <v>118</v>
      </c>
      <c r="J1420" s="11">
        <v>1</v>
      </c>
      <c r="K1420" s="12">
        <v>29.99</v>
      </c>
      <c r="L1420" s="12">
        <v>18.23</v>
      </c>
      <c r="M1420" s="13">
        <v>5</v>
      </c>
      <c r="N1420" s="13">
        <f t="shared" si="176"/>
        <v>13.304328703707142</v>
      </c>
      <c r="O1420" s="13">
        <f t="shared" si="177"/>
        <v>0</v>
      </c>
      <c r="P1420" t="str">
        <f t="shared" si="178"/>
        <v>On Time</v>
      </c>
      <c r="Q1420" s="13">
        <f t="shared" si="179"/>
        <v>0.20500000007450581</v>
      </c>
      <c r="R1420" s="13">
        <f t="shared" si="180"/>
        <v>0.34252314814511919</v>
      </c>
      <c r="S1420" s="13">
        <f t="shared" si="181"/>
        <v>12.953263888892252</v>
      </c>
      <c r="T1420" t="str">
        <f t="shared" si="182"/>
        <v>On Time/Early</v>
      </c>
      <c r="U1420" t="str">
        <f t="shared" si="183"/>
        <v>Normal</v>
      </c>
      <c r="V1420" t="s">
        <v>102</v>
      </c>
    </row>
    <row r="1421" spans="1:22">
      <c r="A1421" t="s">
        <v>2097</v>
      </c>
      <c r="B1421" s="10">
        <v>43209.689965277779</v>
      </c>
      <c r="C1421" s="10">
        <v>43209.713622685187</v>
      </c>
      <c r="D1421" s="10">
        <v>43210.877789351849</v>
      </c>
      <c r="E1421" s="10">
        <v>43217.835300925923</v>
      </c>
      <c r="F1421" s="10">
        <v>43237</v>
      </c>
      <c r="G1421" t="s">
        <v>16</v>
      </c>
      <c r="H1421" t="s">
        <v>2098</v>
      </c>
      <c r="I1421" t="s">
        <v>185</v>
      </c>
      <c r="J1421" s="11">
        <v>1</v>
      </c>
      <c r="K1421" s="12">
        <v>27.9</v>
      </c>
      <c r="L1421" s="12">
        <v>18.23</v>
      </c>
      <c r="M1421" s="13">
        <v>5</v>
      </c>
      <c r="N1421" s="13">
        <f t="shared" si="176"/>
        <v>8.145335648143373</v>
      </c>
      <c r="O1421" s="13">
        <f t="shared" si="177"/>
        <v>0</v>
      </c>
      <c r="P1421" t="str">
        <f t="shared" si="178"/>
        <v>On Time</v>
      </c>
      <c r="Q1421" s="13">
        <f t="shared" si="179"/>
        <v>0.56777777778916061</v>
      </c>
      <c r="R1421" s="13">
        <f t="shared" si="180"/>
        <v>1.164166666661913</v>
      </c>
      <c r="S1421" s="13">
        <f t="shared" si="181"/>
        <v>6.9575115740735782</v>
      </c>
      <c r="T1421" t="str">
        <f t="shared" si="182"/>
        <v>On Time/Early</v>
      </c>
      <c r="U1421" t="str">
        <f t="shared" si="183"/>
        <v>Normal</v>
      </c>
      <c r="V1421" t="s">
        <v>102</v>
      </c>
    </row>
    <row r="1422" spans="1:22">
      <c r="A1422" t="s">
        <v>2099</v>
      </c>
      <c r="B1422" s="10">
        <v>43209.694328703707</v>
      </c>
      <c r="C1422" s="10">
        <v>43209.707361111112</v>
      </c>
      <c r="D1422" s="10">
        <v>43210.90724537037</v>
      </c>
      <c r="E1422" s="10">
        <v>43213.787858796299</v>
      </c>
      <c r="F1422" s="10">
        <v>43228</v>
      </c>
      <c r="G1422" t="s">
        <v>8</v>
      </c>
      <c r="H1422" t="s">
        <v>140</v>
      </c>
      <c r="I1422" t="s">
        <v>58</v>
      </c>
      <c r="J1422" s="11">
        <v>1</v>
      </c>
      <c r="K1422" s="12">
        <v>330</v>
      </c>
      <c r="L1422" s="12">
        <v>10.07</v>
      </c>
      <c r="M1422" s="13">
        <v>5</v>
      </c>
      <c r="N1422" s="13">
        <f t="shared" si="176"/>
        <v>4.0935300925921183</v>
      </c>
      <c r="O1422" s="13">
        <f t="shared" si="177"/>
        <v>0</v>
      </c>
      <c r="P1422" t="str">
        <f t="shared" si="178"/>
        <v>On Time</v>
      </c>
      <c r="Q1422" s="13">
        <f t="shared" si="179"/>
        <v>0.31277777772629634</v>
      </c>
      <c r="R1422" s="13">
        <f t="shared" si="180"/>
        <v>1.1998842592583969</v>
      </c>
      <c r="S1422" s="13">
        <f t="shared" si="181"/>
        <v>2.880613425928459</v>
      </c>
      <c r="T1422" t="str">
        <f t="shared" si="182"/>
        <v>On Time/Early</v>
      </c>
      <c r="U1422" t="str">
        <f t="shared" si="183"/>
        <v>Normal</v>
      </c>
      <c r="V1422" t="s">
        <v>102</v>
      </c>
    </row>
    <row r="1423" spans="1:22">
      <c r="A1423" t="s">
        <v>2100</v>
      </c>
      <c r="B1423" s="10">
        <v>43209.969155092593</v>
      </c>
      <c r="C1423" s="10">
        <v>43210.257731481484</v>
      </c>
      <c r="D1423" s="10">
        <v>43213.839155092595</v>
      </c>
      <c r="E1423" s="10">
        <v>43234.669085648151</v>
      </c>
      <c r="F1423" s="10">
        <v>43242</v>
      </c>
      <c r="G1423" t="s">
        <v>8</v>
      </c>
      <c r="H1423" t="s">
        <v>2101</v>
      </c>
      <c r="I1423" t="s">
        <v>841</v>
      </c>
      <c r="J1423" s="11">
        <v>1</v>
      </c>
      <c r="K1423" s="12">
        <v>849.99</v>
      </c>
      <c r="L1423" s="12">
        <v>26.99</v>
      </c>
      <c r="M1423" s="13">
        <v>5</v>
      </c>
      <c r="N1423" s="13">
        <f t="shared" si="176"/>
        <v>24.69993055555824</v>
      </c>
      <c r="O1423" s="13">
        <f t="shared" si="177"/>
        <v>0</v>
      </c>
      <c r="P1423" t="str">
        <f t="shared" si="178"/>
        <v>On Time</v>
      </c>
      <c r="Q1423" s="13">
        <f t="shared" si="179"/>
        <v>6.9258333334000781</v>
      </c>
      <c r="R1423" s="13">
        <f t="shared" si="180"/>
        <v>3.5814236111109494</v>
      </c>
      <c r="S1423" s="13">
        <f t="shared" si="181"/>
        <v>20.82993055555562</v>
      </c>
      <c r="T1423" t="str">
        <f t="shared" si="182"/>
        <v>On Time/Early</v>
      </c>
      <c r="U1423" t="str">
        <f t="shared" si="183"/>
        <v>Normal</v>
      </c>
      <c r="V1423" t="s">
        <v>102</v>
      </c>
    </row>
    <row r="1424" spans="1:22">
      <c r="A1424" t="s">
        <v>2102</v>
      </c>
      <c r="B1424" s="10">
        <v>43210.615243055552</v>
      </c>
      <c r="C1424" s="10">
        <v>43214.777199074073</v>
      </c>
      <c r="D1424" s="10">
        <v>43211.063958333332</v>
      </c>
      <c r="E1424" s="10">
        <v>43220.550451388888</v>
      </c>
      <c r="F1424" s="10">
        <v>43236</v>
      </c>
      <c r="G1424" t="s">
        <v>8</v>
      </c>
      <c r="H1424" t="s">
        <v>2103</v>
      </c>
      <c r="I1424" t="s">
        <v>112</v>
      </c>
      <c r="J1424" s="11">
        <v>2</v>
      </c>
      <c r="K1424" s="12">
        <v>78.89</v>
      </c>
      <c r="L1424" s="12">
        <v>32.1</v>
      </c>
      <c r="M1424" s="13">
        <v>5</v>
      </c>
      <c r="N1424" s="13">
        <f t="shared" si="176"/>
        <v>9.9352083333360497</v>
      </c>
      <c r="O1424" s="13">
        <f t="shared" si="177"/>
        <v>0</v>
      </c>
      <c r="P1424" t="str">
        <f t="shared" si="178"/>
        <v>On Time</v>
      </c>
      <c r="Q1424" s="13">
        <f t="shared" si="179"/>
        <v>99.886944444500841</v>
      </c>
      <c r="R1424" s="13">
        <f t="shared" si="180"/>
        <v>-3.71324074074073</v>
      </c>
      <c r="S1424" s="13">
        <f t="shared" si="181"/>
        <v>9.4864930555559113</v>
      </c>
      <c r="T1424" t="str">
        <f t="shared" si="182"/>
        <v>On Time/Early</v>
      </c>
      <c r="U1424" t="str">
        <f t="shared" si="183"/>
        <v>Normal</v>
      </c>
      <c r="V1424" t="s">
        <v>102</v>
      </c>
    </row>
    <row r="1425" spans="1:22">
      <c r="A1425" t="s">
        <v>2104</v>
      </c>
      <c r="B1425" s="10">
        <v>43210.950787037036</v>
      </c>
      <c r="C1425" s="10">
        <v>43214.811342592591</v>
      </c>
      <c r="D1425" s="10">
        <v>43213.796400462961</v>
      </c>
      <c r="E1425" s="10">
        <v>43224.821168981478</v>
      </c>
      <c r="F1425" s="10">
        <v>43244</v>
      </c>
      <c r="G1425" t="s">
        <v>30</v>
      </c>
      <c r="H1425" t="s">
        <v>2105</v>
      </c>
      <c r="I1425" t="s">
        <v>31</v>
      </c>
      <c r="J1425" s="11">
        <v>1</v>
      </c>
      <c r="K1425" s="12">
        <v>5.99</v>
      </c>
      <c r="L1425" s="12">
        <v>19.32</v>
      </c>
      <c r="M1425" s="13">
        <v>5</v>
      </c>
      <c r="N1425" s="13">
        <f t="shared" si="176"/>
        <v>13.87038194444176</v>
      </c>
      <c r="O1425" s="13">
        <f t="shared" si="177"/>
        <v>0</v>
      </c>
      <c r="P1425" t="str">
        <f t="shared" si="178"/>
        <v>On Time</v>
      </c>
      <c r="Q1425" s="13">
        <f t="shared" si="179"/>
        <v>92.653333333320916</v>
      </c>
      <c r="R1425" s="13">
        <f t="shared" si="180"/>
        <v>-1.0149421296300716</v>
      </c>
      <c r="S1425" s="13">
        <f t="shared" si="181"/>
        <v>11.024768518516794</v>
      </c>
      <c r="T1425" t="str">
        <f t="shared" si="182"/>
        <v>On Time/Early</v>
      </c>
      <c r="U1425" t="str">
        <f t="shared" si="183"/>
        <v>Normal</v>
      </c>
      <c r="V1425" t="s">
        <v>102</v>
      </c>
    </row>
    <row r="1426" spans="1:22">
      <c r="A1426" t="s">
        <v>2106</v>
      </c>
      <c r="B1426" s="10">
        <v>43211.545115740744</v>
      </c>
      <c r="C1426" s="10">
        <v>43214.753993055558</v>
      </c>
      <c r="D1426" s="10">
        <v>43214.088194444441</v>
      </c>
      <c r="E1426" s="10">
        <v>43231.966412037036</v>
      </c>
      <c r="F1426" s="10">
        <v>43236</v>
      </c>
      <c r="G1426" t="s">
        <v>23</v>
      </c>
      <c r="H1426" t="s">
        <v>275</v>
      </c>
      <c r="I1426" t="s">
        <v>180</v>
      </c>
      <c r="J1426" s="11">
        <v>1</v>
      </c>
      <c r="K1426" s="12">
        <v>89.9</v>
      </c>
      <c r="L1426" s="12">
        <v>18.559999999999999</v>
      </c>
      <c r="M1426" s="13">
        <v>5</v>
      </c>
      <c r="N1426" s="13">
        <f t="shared" si="176"/>
        <v>20.421296296291985</v>
      </c>
      <c r="O1426" s="13">
        <f t="shared" si="177"/>
        <v>0</v>
      </c>
      <c r="P1426" t="str">
        <f t="shared" si="178"/>
        <v>On Time</v>
      </c>
      <c r="Q1426" s="13">
        <f t="shared" si="179"/>
        <v>77.013055555522442</v>
      </c>
      <c r="R1426" s="13">
        <f t="shared" si="180"/>
        <v>-0.66579861111677019</v>
      </c>
      <c r="S1426" s="13">
        <f t="shared" si="181"/>
        <v>17.87821759259532</v>
      </c>
      <c r="T1426" t="str">
        <f t="shared" si="182"/>
        <v>On Time/Early</v>
      </c>
      <c r="U1426" t="str">
        <f t="shared" si="183"/>
        <v>Normal</v>
      </c>
      <c r="V1426" t="s">
        <v>102</v>
      </c>
    </row>
    <row r="1427" spans="1:22">
      <c r="A1427" t="s">
        <v>2107</v>
      </c>
      <c r="B1427" s="10">
        <v>43211.579444444447</v>
      </c>
      <c r="C1427" s="10">
        <v>43214.808981481481</v>
      </c>
      <c r="D1427" s="10">
        <v>43213.734571759262</v>
      </c>
      <c r="E1427" s="10">
        <v>43227.899201388886</v>
      </c>
      <c r="F1427" s="10">
        <v>43236</v>
      </c>
      <c r="G1427" t="s">
        <v>43</v>
      </c>
      <c r="H1427" t="s">
        <v>398</v>
      </c>
      <c r="I1427" t="s">
        <v>120</v>
      </c>
      <c r="J1427" s="11">
        <v>1</v>
      </c>
      <c r="K1427" s="12">
        <v>59.99</v>
      </c>
      <c r="L1427" s="12">
        <v>17.13</v>
      </c>
      <c r="M1427" s="13">
        <v>5</v>
      </c>
      <c r="N1427" s="13">
        <f t="shared" si="176"/>
        <v>16.319756944438268</v>
      </c>
      <c r="O1427" s="13">
        <f t="shared" si="177"/>
        <v>0</v>
      </c>
      <c r="P1427" t="str">
        <f t="shared" si="178"/>
        <v>On Time</v>
      </c>
      <c r="Q1427" s="13">
        <f t="shared" si="179"/>
        <v>77.50888888881309</v>
      </c>
      <c r="R1427" s="13">
        <f t="shared" si="180"/>
        <v>-1.0744097222195705</v>
      </c>
      <c r="S1427" s="13">
        <f t="shared" si="181"/>
        <v>14.16462962962396</v>
      </c>
      <c r="T1427" t="str">
        <f t="shared" si="182"/>
        <v>On Time/Early</v>
      </c>
      <c r="U1427" t="str">
        <f t="shared" si="183"/>
        <v>Normal</v>
      </c>
      <c r="V1427" t="s">
        <v>102</v>
      </c>
    </row>
    <row r="1428" spans="1:22">
      <c r="A1428" t="s">
        <v>2108</v>
      </c>
      <c r="B1428" s="10">
        <v>43211.598530092589</v>
      </c>
      <c r="C1428" s="10">
        <v>43214.750254629631</v>
      </c>
      <c r="D1428" s="10">
        <v>43213.846238425926</v>
      </c>
      <c r="E1428" s="10">
        <v>43215.886689814812</v>
      </c>
      <c r="F1428" s="10">
        <v>43237</v>
      </c>
      <c r="G1428" t="s">
        <v>320</v>
      </c>
      <c r="H1428" t="s">
        <v>321</v>
      </c>
      <c r="I1428" t="s">
        <v>143</v>
      </c>
      <c r="J1428" s="11">
        <v>1</v>
      </c>
      <c r="K1428" s="12">
        <v>129.9</v>
      </c>
      <c r="L1428" s="12">
        <v>15.79</v>
      </c>
      <c r="M1428" s="13">
        <v>1</v>
      </c>
      <c r="N1428" s="13">
        <f t="shared" si="176"/>
        <v>4.2881597222221899</v>
      </c>
      <c r="O1428" s="13">
        <f t="shared" si="177"/>
        <v>0</v>
      </c>
      <c r="P1428" t="str">
        <f t="shared" si="178"/>
        <v>On Time</v>
      </c>
      <c r="Q1428" s="13">
        <f t="shared" si="179"/>
        <v>75.641388888994697</v>
      </c>
      <c r="R1428" s="13">
        <f t="shared" si="180"/>
        <v>-0.90401620370539604</v>
      </c>
      <c r="S1428" s="13">
        <f t="shared" si="181"/>
        <v>2.0404513888861402</v>
      </c>
      <c r="T1428" t="str">
        <f t="shared" si="182"/>
        <v>On Time/Early</v>
      </c>
      <c r="U1428" t="str">
        <f t="shared" si="183"/>
        <v>Normal</v>
      </c>
      <c r="V1428" t="s">
        <v>102</v>
      </c>
    </row>
    <row r="1429" spans="1:22">
      <c r="A1429" t="s">
        <v>2109</v>
      </c>
      <c r="B1429" s="10">
        <v>43211.945636574077</v>
      </c>
      <c r="C1429" s="10">
        <v>43214.803599537037</v>
      </c>
      <c r="D1429" s="10">
        <v>43214.783761574072</v>
      </c>
      <c r="E1429" s="10">
        <v>43220.665925925925</v>
      </c>
      <c r="F1429" s="10">
        <v>43237</v>
      </c>
      <c r="G1429" t="s">
        <v>8</v>
      </c>
      <c r="H1429" t="s">
        <v>1483</v>
      </c>
      <c r="I1429" t="s">
        <v>180</v>
      </c>
      <c r="J1429" s="11">
        <v>1</v>
      </c>
      <c r="K1429" s="12">
        <v>29.99</v>
      </c>
      <c r="L1429" s="12">
        <v>12.79</v>
      </c>
      <c r="M1429" s="13">
        <v>3</v>
      </c>
      <c r="N1429" s="13">
        <f t="shared" si="176"/>
        <v>8.7202893518478959</v>
      </c>
      <c r="O1429" s="13">
        <f t="shared" si="177"/>
        <v>0</v>
      </c>
      <c r="P1429" t="str">
        <f t="shared" si="178"/>
        <v>On Time</v>
      </c>
      <c r="Q1429" s="13">
        <f t="shared" si="179"/>
        <v>68.591111111047212</v>
      </c>
      <c r="R1429" s="13">
        <f t="shared" si="180"/>
        <v>-1.9837962965539191E-2</v>
      </c>
      <c r="S1429" s="13">
        <f t="shared" si="181"/>
        <v>5.8821643518531346</v>
      </c>
      <c r="T1429" t="str">
        <f t="shared" si="182"/>
        <v>On Time/Early</v>
      </c>
      <c r="U1429" t="str">
        <f t="shared" si="183"/>
        <v>Normal</v>
      </c>
      <c r="V1429" t="s">
        <v>102</v>
      </c>
    </row>
    <row r="1430" spans="1:22">
      <c r="A1430" t="s">
        <v>2110</v>
      </c>
      <c r="B1430" s="10">
        <v>43212.618587962963</v>
      </c>
      <c r="C1430" s="10">
        <v>43215.160821759258</v>
      </c>
      <c r="D1430" s="10">
        <v>43215.629861111112</v>
      </c>
      <c r="E1430" s="10">
        <v>43222.885289351849</v>
      </c>
      <c r="F1430" s="10">
        <v>43236</v>
      </c>
      <c r="G1430" t="s">
        <v>30</v>
      </c>
      <c r="H1430" t="s">
        <v>365</v>
      </c>
      <c r="I1430" t="s">
        <v>177</v>
      </c>
      <c r="J1430" s="11">
        <v>1</v>
      </c>
      <c r="K1430" s="12">
        <v>199</v>
      </c>
      <c r="L1430" s="12">
        <v>22.47</v>
      </c>
      <c r="M1430" s="13">
        <v>5</v>
      </c>
      <c r="N1430" s="13">
        <f t="shared" si="176"/>
        <v>10.266701388885849</v>
      </c>
      <c r="O1430" s="13">
        <f t="shared" si="177"/>
        <v>0</v>
      </c>
      <c r="P1430" t="str">
        <f t="shared" si="178"/>
        <v>On Time</v>
      </c>
      <c r="Q1430" s="13">
        <f t="shared" si="179"/>
        <v>61.01361111109145</v>
      </c>
      <c r="R1430" s="13">
        <f t="shared" si="180"/>
        <v>0.46903935185400769</v>
      </c>
      <c r="S1430" s="13">
        <f t="shared" si="181"/>
        <v>7.2554282407363644</v>
      </c>
      <c r="T1430" t="str">
        <f t="shared" si="182"/>
        <v>On Time/Early</v>
      </c>
      <c r="U1430" t="str">
        <f t="shared" si="183"/>
        <v>Normal</v>
      </c>
      <c r="V1430" t="s">
        <v>102</v>
      </c>
    </row>
    <row r="1431" spans="1:22">
      <c r="A1431" t="s">
        <v>2111</v>
      </c>
      <c r="B1431" s="10">
        <v>43212.779606481483</v>
      </c>
      <c r="C1431" s="10">
        <v>43214.803946759261</v>
      </c>
      <c r="D1431" s="10">
        <v>43216.484027777777</v>
      </c>
      <c r="E1431" s="10">
        <v>43227.855243055557</v>
      </c>
      <c r="F1431" s="10">
        <v>43235</v>
      </c>
      <c r="G1431" t="s">
        <v>43</v>
      </c>
      <c r="H1431" t="s">
        <v>153</v>
      </c>
      <c r="I1431" t="s">
        <v>141</v>
      </c>
      <c r="J1431" s="11">
        <v>1</v>
      </c>
      <c r="K1431" s="12">
        <v>233.5</v>
      </c>
      <c r="L1431" s="12">
        <v>42.39</v>
      </c>
      <c r="M1431" s="13">
        <v>4</v>
      </c>
      <c r="N1431" s="13">
        <f t="shared" si="176"/>
        <v>15.075636574074451</v>
      </c>
      <c r="O1431" s="13">
        <f t="shared" si="177"/>
        <v>0</v>
      </c>
      <c r="P1431" t="str">
        <f t="shared" si="178"/>
        <v>On Time</v>
      </c>
      <c r="Q1431" s="13">
        <f t="shared" si="179"/>
        <v>48.584166666667443</v>
      </c>
      <c r="R1431" s="13">
        <f t="shared" si="180"/>
        <v>1.6800810185159207</v>
      </c>
      <c r="S1431" s="13">
        <f t="shared" si="181"/>
        <v>11.37121527778072</v>
      </c>
      <c r="T1431" t="str">
        <f t="shared" si="182"/>
        <v>On Time/Early</v>
      </c>
      <c r="U1431" t="str">
        <f t="shared" si="183"/>
        <v>Normal</v>
      </c>
      <c r="V1431" t="s">
        <v>102</v>
      </c>
    </row>
    <row r="1432" spans="1:22">
      <c r="A1432" t="s">
        <v>2112</v>
      </c>
      <c r="B1432" s="10">
        <v>43212.855555555558</v>
      </c>
      <c r="C1432" s="10">
        <v>43214.789826388886</v>
      </c>
      <c r="D1432" s="10">
        <v>43214.8046412037</v>
      </c>
      <c r="E1432" s="10">
        <v>43217.867268518516</v>
      </c>
      <c r="F1432" s="10">
        <v>43234</v>
      </c>
      <c r="G1432" t="s">
        <v>36</v>
      </c>
      <c r="H1432" t="s">
        <v>467</v>
      </c>
      <c r="I1432" t="s">
        <v>180</v>
      </c>
      <c r="J1432" s="11">
        <v>1</v>
      </c>
      <c r="K1432" s="12">
        <v>74.900000000000006</v>
      </c>
      <c r="L1432" s="12">
        <v>18.100000000000001</v>
      </c>
      <c r="M1432" s="13">
        <v>5</v>
      </c>
      <c r="N1432" s="13">
        <f t="shared" si="176"/>
        <v>5.0117129629579722</v>
      </c>
      <c r="O1432" s="13">
        <f t="shared" si="177"/>
        <v>0</v>
      </c>
      <c r="P1432" t="str">
        <f t="shared" si="178"/>
        <v>On Time</v>
      </c>
      <c r="Q1432" s="13">
        <f t="shared" si="179"/>
        <v>46.422499999869615</v>
      </c>
      <c r="R1432" s="13">
        <f t="shared" si="180"/>
        <v>1.4814814814599231E-2</v>
      </c>
      <c r="S1432" s="13">
        <f t="shared" si="181"/>
        <v>3.0626273148154723</v>
      </c>
      <c r="T1432" t="str">
        <f t="shared" si="182"/>
        <v>On Time/Early</v>
      </c>
      <c r="U1432" t="str">
        <f t="shared" si="183"/>
        <v>Normal</v>
      </c>
      <c r="V1432" t="s">
        <v>102</v>
      </c>
    </row>
    <row r="1433" spans="1:22">
      <c r="A1433" t="s">
        <v>2113</v>
      </c>
      <c r="B1433" s="10">
        <v>43212.962245370371</v>
      </c>
      <c r="C1433" s="10">
        <v>43214.808263888888</v>
      </c>
      <c r="D1433" s="10">
        <v>43213.794502314813</v>
      </c>
      <c r="E1433" s="10">
        <v>43214.804571759261</v>
      </c>
      <c r="F1433" s="10">
        <v>43230</v>
      </c>
      <c r="G1433" t="s">
        <v>8</v>
      </c>
      <c r="H1433" t="s">
        <v>309</v>
      </c>
      <c r="I1433" t="s">
        <v>339</v>
      </c>
      <c r="J1433" s="11">
        <v>3</v>
      </c>
      <c r="K1433" s="12">
        <v>100.97</v>
      </c>
      <c r="L1433" s="12">
        <v>23.97</v>
      </c>
      <c r="M1433" s="13">
        <v>1</v>
      </c>
      <c r="N1433" s="13">
        <f t="shared" si="176"/>
        <v>1.8423263888907968</v>
      </c>
      <c r="O1433" s="13">
        <f t="shared" si="177"/>
        <v>0</v>
      </c>
      <c r="P1433" t="str">
        <f t="shared" si="178"/>
        <v>On Time</v>
      </c>
      <c r="Q1433" s="13">
        <f t="shared" si="179"/>
        <v>44.304444444424007</v>
      </c>
      <c r="R1433" s="13">
        <f t="shared" si="180"/>
        <v>-1.0137615740750334</v>
      </c>
      <c r="S1433" s="13">
        <f t="shared" si="181"/>
        <v>1.0100694444481633</v>
      </c>
      <c r="T1433" t="str">
        <f t="shared" si="182"/>
        <v>On Time/Early</v>
      </c>
      <c r="U1433" t="str">
        <f t="shared" si="183"/>
        <v>Normal</v>
      </c>
      <c r="V1433" t="s">
        <v>102</v>
      </c>
    </row>
    <row r="1434" spans="1:22">
      <c r="A1434" t="s">
        <v>2114</v>
      </c>
      <c r="B1434" s="10">
        <v>43213.500011574077</v>
      </c>
      <c r="C1434" s="10">
        <v>43214.803773148145</v>
      </c>
      <c r="D1434" s="10">
        <v>43215.574999999997</v>
      </c>
      <c r="E1434" s="10">
        <v>43217.019803240742</v>
      </c>
      <c r="F1434" s="10">
        <v>43230</v>
      </c>
      <c r="G1434" t="s">
        <v>8</v>
      </c>
      <c r="H1434" t="s">
        <v>171</v>
      </c>
      <c r="I1434" t="s">
        <v>185</v>
      </c>
      <c r="J1434" s="11">
        <v>1</v>
      </c>
      <c r="K1434" s="12">
        <v>13.9</v>
      </c>
      <c r="L1434" s="12">
        <v>7.39</v>
      </c>
      <c r="M1434" s="13">
        <v>4</v>
      </c>
      <c r="N1434" s="13">
        <f t="shared" si="176"/>
        <v>3.5197916666656965</v>
      </c>
      <c r="O1434" s="13">
        <f t="shared" si="177"/>
        <v>0</v>
      </c>
      <c r="P1434" t="str">
        <f t="shared" si="178"/>
        <v>On Time</v>
      </c>
      <c r="Q1434" s="13">
        <f t="shared" si="179"/>
        <v>31.290277777647134</v>
      </c>
      <c r="R1434" s="13">
        <f t="shared" si="180"/>
        <v>0.77122685185167938</v>
      </c>
      <c r="S1434" s="13">
        <f t="shared" si="181"/>
        <v>1.4448032407453866</v>
      </c>
      <c r="T1434" t="str">
        <f t="shared" si="182"/>
        <v>On Time/Early</v>
      </c>
      <c r="U1434" t="str">
        <f t="shared" si="183"/>
        <v>Normal</v>
      </c>
      <c r="V1434" t="s">
        <v>102</v>
      </c>
    </row>
    <row r="1435" spans="1:22">
      <c r="A1435" t="s">
        <v>2115</v>
      </c>
      <c r="B1435" s="10">
        <v>43213.678344907406</v>
      </c>
      <c r="C1435" s="10">
        <v>43214.738969907405</v>
      </c>
      <c r="D1435" s="10">
        <v>43214.801122685189</v>
      </c>
      <c r="E1435" s="10">
        <v>43218.483958333331</v>
      </c>
      <c r="F1435" s="10">
        <v>43243</v>
      </c>
      <c r="G1435" t="s">
        <v>16</v>
      </c>
      <c r="H1435" t="s">
        <v>1432</v>
      </c>
      <c r="I1435" t="s">
        <v>1087</v>
      </c>
      <c r="J1435" s="11">
        <v>2</v>
      </c>
      <c r="K1435" s="12">
        <v>15.36</v>
      </c>
      <c r="L1435" s="12">
        <v>36.46</v>
      </c>
      <c r="M1435" s="13">
        <v>5</v>
      </c>
      <c r="N1435" s="13">
        <f t="shared" si="176"/>
        <v>4.8056134259240935</v>
      </c>
      <c r="O1435" s="13">
        <f t="shared" si="177"/>
        <v>0</v>
      </c>
      <c r="P1435" t="str">
        <f t="shared" si="178"/>
        <v>On Time</v>
      </c>
      <c r="Q1435" s="13">
        <f t="shared" si="179"/>
        <v>25.45499999995809</v>
      </c>
      <c r="R1435" s="13">
        <f t="shared" si="180"/>
        <v>6.215277778392192E-2</v>
      </c>
      <c r="S1435" s="13">
        <f t="shared" si="181"/>
        <v>3.6828356481419178</v>
      </c>
      <c r="T1435" t="str">
        <f t="shared" si="182"/>
        <v>On Time/Early</v>
      </c>
      <c r="U1435" t="str">
        <f t="shared" si="183"/>
        <v>Normal</v>
      </c>
      <c r="V1435" t="s">
        <v>102</v>
      </c>
    </row>
    <row r="1436" spans="1:22">
      <c r="A1436" t="s">
        <v>2116</v>
      </c>
      <c r="B1436" s="10">
        <v>43213.896550925929</v>
      </c>
      <c r="C1436" s="10">
        <v>43214.770208333335</v>
      </c>
      <c r="D1436" s="10">
        <v>43215.53125</v>
      </c>
      <c r="E1436" s="10">
        <v>43228.747800925928</v>
      </c>
      <c r="F1436" s="10">
        <v>43235</v>
      </c>
      <c r="G1436" t="s">
        <v>30</v>
      </c>
      <c r="H1436" t="s">
        <v>2117</v>
      </c>
      <c r="I1436" t="s">
        <v>136</v>
      </c>
      <c r="J1436" s="11">
        <v>1</v>
      </c>
      <c r="K1436" s="12">
        <v>281</v>
      </c>
      <c r="L1436" s="12">
        <v>28.05</v>
      </c>
      <c r="M1436" s="13">
        <v>4</v>
      </c>
      <c r="N1436" s="13">
        <f t="shared" si="176"/>
        <v>14.851249999999709</v>
      </c>
      <c r="O1436" s="13">
        <f t="shared" si="177"/>
        <v>0</v>
      </c>
      <c r="P1436" t="str">
        <f t="shared" si="178"/>
        <v>On Time</v>
      </c>
      <c r="Q1436" s="13">
        <f t="shared" si="179"/>
        <v>20.967777777754236</v>
      </c>
      <c r="R1436" s="13">
        <f t="shared" si="180"/>
        <v>0.76104166666482342</v>
      </c>
      <c r="S1436" s="13">
        <f t="shared" si="181"/>
        <v>13.216550925928459</v>
      </c>
      <c r="T1436" t="str">
        <f t="shared" si="182"/>
        <v>On Time/Early</v>
      </c>
      <c r="U1436" t="str">
        <f t="shared" si="183"/>
        <v>Normal</v>
      </c>
      <c r="V1436" t="s">
        <v>102</v>
      </c>
    </row>
    <row r="1437" spans="1:22">
      <c r="A1437" t="s">
        <v>2118</v>
      </c>
      <c r="B1437" s="10">
        <v>43214.508310185185</v>
      </c>
      <c r="C1437" s="10">
        <v>43215.160810185182</v>
      </c>
      <c r="D1437" s="10">
        <v>43215.634027777778</v>
      </c>
      <c r="E1437" s="10">
        <v>43221.003888888888</v>
      </c>
      <c r="F1437" s="10">
        <v>43236</v>
      </c>
      <c r="G1437" t="s">
        <v>20</v>
      </c>
      <c r="H1437" t="s">
        <v>104</v>
      </c>
      <c r="I1437" t="s">
        <v>141</v>
      </c>
      <c r="J1437" s="11">
        <v>1</v>
      </c>
      <c r="K1437" s="12">
        <v>265</v>
      </c>
      <c r="L1437" s="12">
        <v>18.05</v>
      </c>
      <c r="M1437" s="13">
        <v>5</v>
      </c>
      <c r="N1437" s="13">
        <f t="shared" si="176"/>
        <v>6.4955787037033588</v>
      </c>
      <c r="O1437" s="13">
        <f t="shared" si="177"/>
        <v>0</v>
      </c>
      <c r="P1437" t="str">
        <f t="shared" si="178"/>
        <v>On Time</v>
      </c>
      <c r="Q1437" s="13">
        <f t="shared" si="179"/>
        <v>15.659999999916181</v>
      </c>
      <c r="R1437" s="13">
        <f t="shared" si="180"/>
        <v>0.47321759259648388</v>
      </c>
      <c r="S1437" s="13">
        <f t="shared" si="181"/>
        <v>5.3698611111103673</v>
      </c>
      <c r="T1437" t="str">
        <f t="shared" si="182"/>
        <v>On Time/Early</v>
      </c>
      <c r="U1437" t="str">
        <f t="shared" si="183"/>
        <v>Normal</v>
      </c>
      <c r="V1437" t="s">
        <v>102</v>
      </c>
    </row>
    <row r="1438" spans="1:22">
      <c r="A1438" t="s">
        <v>2119</v>
      </c>
      <c r="B1438" s="10">
        <v>43214.643761574072</v>
      </c>
      <c r="C1438" s="10">
        <v>43214.788819444446</v>
      </c>
      <c r="D1438" s="10">
        <v>43216.520833333336</v>
      </c>
      <c r="E1438" s="10">
        <v>43222.642395833333</v>
      </c>
      <c r="F1438" s="10">
        <v>43230</v>
      </c>
      <c r="G1438" t="s">
        <v>8</v>
      </c>
      <c r="H1438" t="s">
        <v>2120</v>
      </c>
      <c r="I1438" t="s">
        <v>141</v>
      </c>
      <c r="J1438" s="11">
        <v>1</v>
      </c>
      <c r="K1438" s="12">
        <v>28.99</v>
      </c>
      <c r="L1438" s="12">
        <v>12.79</v>
      </c>
      <c r="M1438" s="13">
        <v>5</v>
      </c>
      <c r="N1438" s="13">
        <f t="shared" si="176"/>
        <v>7.9986342592601432</v>
      </c>
      <c r="O1438" s="13">
        <f t="shared" si="177"/>
        <v>0</v>
      </c>
      <c r="P1438" t="str">
        <f t="shared" si="178"/>
        <v>On Time</v>
      </c>
      <c r="Q1438" s="13">
        <f t="shared" si="179"/>
        <v>3.4813888889621012</v>
      </c>
      <c r="R1438" s="13">
        <f t="shared" si="180"/>
        <v>1.7320138888899237</v>
      </c>
      <c r="S1438" s="13">
        <f t="shared" si="181"/>
        <v>6.1215624999967986</v>
      </c>
      <c r="T1438" t="str">
        <f t="shared" si="182"/>
        <v>On Time/Early</v>
      </c>
      <c r="U1438" t="str">
        <f t="shared" si="183"/>
        <v>Normal</v>
      </c>
      <c r="V1438" t="s">
        <v>102</v>
      </c>
    </row>
    <row r="1439" spans="1:22">
      <c r="A1439" t="s">
        <v>2121</v>
      </c>
      <c r="B1439" s="10">
        <v>43214.682847222219</v>
      </c>
      <c r="C1439" s="10">
        <v>43214.804965277777</v>
      </c>
      <c r="D1439" s="10">
        <v>43215.628472222219</v>
      </c>
      <c r="E1439" s="10">
        <v>43220.645474537036</v>
      </c>
      <c r="F1439" s="10">
        <v>43237</v>
      </c>
      <c r="G1439" t="s">
        <v>8</v>
      </c>
      <c r="H1439" t="s">
        <v>140</v>
      </c>
      <c r="I1439" t="s">
        <v>120</v>
      </c>
      <c r="J1439" s="11">
        <v>1</v>
      </c>
      <c r="K1439" s="12">
        <v>79.989999999999995</v>
      </c>
      <c r="L1439" s="12">
        <v>13.92</v>
      </c>
      <c r="M1439" s="13">
        <v>5</v>
      </c>
      <c r="N1439" s="13">
        <f t="shared" si="176"/>
        <v>5.9626273148169275</v>
      </c>
      <c r="O1439" s="13">
        <f t="shared" si="177"/>
        <v>0</v>
      </c>
      <c r="P1439" t="str">
        <f t="shared" si="178"/>
        <v>On Time</v>
      </c>
      <c r="Q1439" s="13">
        <f t="shared" si="179"/>
        <v>2.9308333334047347</v>
      </c>
      <c r="R1439" s="13">
        <f t="shared" si="180"/>
        <v>0.82350694444176042</v>
      </c>
      <c r="S1439" s="13">
        <f t="shared" si="181"/>
        <v>5.0170023148166365</v>
      </c>
      <c r="T1439" t="str">
        <f t="shared" si="182"/>
        <v>On Time/Early</v>
      </c>
      <c r="U1439" t="str">
        <f t="shared" si="183"/>
        <v>Normal</v>
      </c>
      <c r="V1439" t="s">
        <v>102</v>
      </c>
    </row>
    <row r="1440" spans="1:22">
      <c r="A1440" t="s">
        <v>2122</v>
      </c>
      <c r="B1440" s="10">
        <v>43214.716770833336</v>
      </c>
      <c r="C1440" s="10">
        <v>43216.174259259256</v>
      </c>
      <c r="D1440" s="10">
        <v>43216.57916666667</v>
      </c>
      <c r="E1440" s="10">
        <v>43228.697685185187</v>
      </c>
      <c r="F1440" s="10">
        <v>43241</v>
      </c>
      <c r="G1440" t="s">
        <v>20</v>
      </c>
      <c r="H1440" t="s">
        <v>2123</v>
      </c>
      <c r="I1440" t="s">
        <v>185</v>
      </c>
      <c r="J1440" s="11">
        <v>1</v>
      </c>
      <c r="K1440" s="12">
        <v>19</v>
      </c>
      <c r="L1440" s="12">
        <v>18.23</v>
      </c>
      <c r="M1440" s="13">
        <v>4</v>
      </c>
      <c r="N1440" s="13">
        <f t="shared" si="176"/>
        <v>13.980914351850515</v>
      </c>
      <c r="O1440" s="13">
        <f t="shared" si="177"/>
        <v>0</v>
      </c>
      <c r="P1440" t="str">
        <f t="shared" si="178"/>
        <v>On Time</v>
      </c>
      <c r="Q1440" s="13">
        <f t="shared" si="179"/>
        <v>34.979722222080454</v>
      </c>
      <c r="R1440" s="13">
        <f t="shared" si="180"/>
        <v>0.40490740741370246</v>
      </c>
      <c r="S1440" s="13">
        <f t="shared" si="181"/>
        <v>12.118518518516794</v>
      </c>
      <c r="T1440" t="str">
        <f t="shared" si="182"/>
        <v>On Time/Early</v>
      </c>
      <c r="U1440" t="str">
        <f t="shared" si="183"/>
        <v>Normal</v>
      </c>
      <c r="V1440" t="s">
        <v>102</v>
      </c>
    </row>
    <row r="1441" spans="1:22">
      <c r="A1441" t="s">
        <v>2124</v>
      </c>
      <c r="B1441" s="10">
        <v>43214.717719907407</v>
      </c>
      <c r="C1441" s="10">
        <v>43215.619247685187</v>
      </c>
      <c r="D1441" s="10">
        <v>43216.53125</v>
      </c>
      <c r="E1441" s="10">
        <v>43229.879282407404</v>
      </c>
      <c r="F1441" s="10">
        <v>43256</v>
      </c>
      <c r="G1441" t="s">
        <v>1444</v>
      </c>
      <c r="H1441" t="s">
        <v>1445</v>
      </c>
      <c r="I1441" t="s">
        <v>44</v>
      </c>
      <c r="J1441" s="11">
        <v>1</v>
      </c>
      <c r="K1441" s="12">
        <v>77.5</v>
      </c>
      <c r="L1441" s="12">
        <v>51.04</v>
      </c>
      <c r="M1441" s="13">
        <v>3</v>
      </c>
      <c r="N1441" s="13">
        <f t="shared" si="176"/>
        <v>15.161562499997672</v>
      </c>
      <c r="O1441" s="13">
        <f t="shared" si="177"/>
        <v>0</v>
      </c>
      <c r="P1441" t="str">
        <f t="shared" si="178"/>
        <v>On Time</v>
      </c>
      <c r="Q1441" s="13">
        <f t="shared" si="179"/>
        <v>21.636666666716337</v>
      </c>
      <c r="R1441" s="13">
        <f t="shared" si="180"/>
        <v>0.91200231481343508</v>
      </c>
      <c r="S1441" s="13">
        <f t="shared" si="181"/>
        <v>13.348032407404389</v>
      </c>
      <c r="T1441" t="str">
        <f t="shared" si="182"/>
        <v>On Time/Early</v>
      </c>
      <c r="U1441" t="str">
        <f t="shared" si="183"/>
        <v>Normal</v>
      </c>
      <c r="V1441" t="s">
        <v>102</v>
      </c>
    </row>
    <row r="1442" spans="1:22">
      <c r="A1442" t="s">
        <v>2125</v>
      </c>
      <c r="B1442" s="10">
        <v>43214.858854166669</v>
      </c>
      <c r="C1442" s="10">
        <v>43216.163425925923</v>
      </c>
      <c r="D1442" s="10">
        <v>43216.57708333333</v>
      </c>
      <c r="E1442" s="10">
        <v>43224.745150462964</v>
      </c>
      <c r="F1442" s="10">
        <v>43242</v>
      </c>
      <c r="G1442" t="s">
        <v>33</v>
      </c>
      <c r="H1442" t="s">
        <v>356</v>
      </c>
      <c r="I1442" t="s">
        <v>180</v>
      </c>
      <c r="J1442" s="11">
        <v>3</v>
      </c>
      <c r="K1442" s="12">
        <v>93</v>
      </c>
      <c r="L1442" s="12">
        <v>54.69</v>
      </c>
      <c r="M1442" s="13">
        <v>1</v>
      </c>
      <c r="N1442" s="13">
        <f t="shared" si="176"/>
        <v>9.8862962962957681</v>
      </c>
      <c r="O1442" s="13">
        <f t="shared" si="177"/>
        <v>0</v>
      </c>
      <c r="P1442" t="str">
        <f t="shared" si="178"/>
        <v>On Time</v>
      </c>
      <c r="Q1442" s="13">
        <f t="shared" si="179"/>
        <v>31.309722222096752</v>
      </c>
      <c r="R1442" s="13">
        <f t="shared" si="180"/>
        <v>0.41365740740729962</v>
      </c>
      <c r="S1442" s="13">
        <f t="shared" si="181"/>
        <v>8.1680671296344372</v>
      </c>
      <c r="T1442" t="str">
        <f t="shared" si="182"/>
        <v>On Time/Early</v>
      </c>
      <c r="U1442" t="str">
        <f t="shared" si="183"/>
        <v>Normal</v>
      </c>
      <c r="V1442" t="s">
        <v>102</v>
      </c>
    </row>
    <row r="1443" spans="1:22">
      <c r="A1443" t="s">
        <v>2126</v>
      </c>
      <c r="B1443" s="10">
        <v>43214.864432870374</v>
      </c>
      <c r="C1443" s="10">
        <v>43214.872060185182</v>
      </c>
      <c r="D1443" s="10">
        <v>43216.520833333336</v>
      </c>
      <c r="E1443" s="10">
        <v>43220.793530092589</v>
      </c>
      <c r="F1443" s="10">
        <v>43224</v>
      </c>
      <c r="G1443" t="s">
        <v>8</v>
      </c>
      <c r="H1443" t="s">
        <v>140</v>
      </c>
      <c r="I1443" t="s">
        <v>141</v>
      </c>
      <c r="J1443" s="11">
        <v>1</v>
      </c>
      <c r="K1443" s="12">
        <v>89</v>
      </c>
      <c r="L1443" s="12">
        <v>20.67</v>
      </c>
      <c r="M1443" s="13">
        <v>5</v>
      </c>
      <c r="N1443" s="13">
        <f t="shared" si="176"/>
        <v>5.929097222215205</v>
      </c>
      <c r="O1443" s="13">
        <f t="shared" si="177"/>
        <v>0</v>
      </c>
      <c r="P1443" t="str">
        <f t="shared" si="178"/>
        <v>On Time</v>
      </c>
      <c r="Q1443" s="13">
        <f t="shared" si="179"/>
        <v>0.1830555553897284</v>
      </c>
      <c r="R1443" s="13">
        <f t="shared" si="180"/>
        <v>1.6487731481538503</v>
      </c>
      <c r="S1443" s="13">
        <f t="shared" si="181"/>
        <v>4.2726967592534493</v>
      </c>
      <c r="T1443" t="str">
        <f t="shared" si="182"/>
        <v>On Time/Early</v>
      </c>
      <c r="U1443" t="str">
        <f t="shared" si="183"/>
        <v>Normal</v>
      </c>
      <c r="V1443" t="s">
        <v>102</v>
      </c>
    </row>
    <row r="1444" spans="1:22">
      <c r="A1444" t="s">
        <v>2127</v>
      </c>
      <c r="B1444" s="10">
        <v>43215.449664351851</v>
      </c>
      <c r="C1444" s="10">
        <v>43215.464641203704</v>
      </c>
      <c r="D1444" s="10">
        <v>43216.638888888891</v>
      </c>
      <c r="E1444" s="10">
        <v>43217.521481481483</v>
      </c>
      <c r="F1444" s="10">
        <v>43230</v>
      </c>
      <c r="G1444" t="s">
        <v>8</v>
      </c>
      <c r="H1444" t="s">
        <v>140</v>
      </c>
      <c r="I1444" t="s">
        <v>44</v>
      </c>
      <c r="J1444" s="11">
        <v>2</v>
      </c>
      <c r="K1444" s="12">
        <v>160</v>
      </c>
      <c r="L1444" s="12">
        <v>14.86</v>
      </c>
      <c r="M1444" s="13">
        <v>5</v>
      </c>
      <c r="N1444" s="13">
        <f t="shared" si="176"/>
        <v>2.0718171296321088</v>
      </c>
      <c r="O1444" s="13">
        <f t="shared" si="177"/>
        <v>0</v>
      </c>
      <c r="P1444" t="str">
        <f t="shared" si="178"/>
        <v>On Time</v>
      </c>
      <c r="Q1444" s="13">
        <f t="shared" si="179"/>
        <v>0.35944444447522983</v>
      </c>
      <c r="R1444" s="13">
        <f t="shared" si="180"/>
        <v>1.174247685186856</v>
      </c>
      <c r="S1444" s="13">
        <f t="shared" si="181"/>
        <v>0.88259259259211831</v>
      </c>
      <c r="T1444" t="str">
        <f t="shared" si="182"/>
        <v>On Time/Early</v>
      </c>
      <c r="U1444" t="str">
        <f t="shared" si="183"/>
        <v>Normal</v>
      </c>
      <c r="V1444" t="s">
        <v>102</v>
      </c>
    </row>
    <row r="1445" spans="1:22">
      <c r="A1445" t="s">
        <v>2128</v>
      </c>
      <c r="B1445" s="10">
        <v>43215.604988425926</v>
      </c>
      <c r="C1445" s="10">
        <v>43216.160868055558</v>
      </c>
      <c r="D1445" s="10">
        <v>43217.479166666664</v>
      </c>
      <c r="E1445" s="10">
        <v>43232.553773148145</v>
      </c>
      <c r="F1445" s="10">
        <v>43248</v>
      </c>
      <c r="G1445" t="s">
        <v>134</v>
      </c>
      <c r="H1445" t="s">
        <v>1107</v>
      </c>
      <c r="I1445" t="s">
        <v>149</v>
      </c>
      <c r="J1445" s="11">
        <v>1</v>
      </c>
      <c r="K1445" s="12">
        <v>122.99</v>
      </c>
      <c r="L1445" s="12">
        <v>0</v>
      </c>
      <c r="M1445" s="13">
        <v>5</v>
      </c>
      <c r="N1445" s="13">
        <f t="shared" si="176"/>
        <v>16.948784722218988</v>
      </c>
      <c r="O1445" s="13">
        <f t="shared" si="177"/>
        <v>0</v>
      </c>
      <c r="P1445" t="str">
        <f t="shared" si="178"/>
        <v>On Time</v>
      </c>
      <c r="Q1445" s="13">
        <f t="shared" si="179"/>
        <v>13.341111111163627</v>
      </c>
      <c r="R1445" s="13">
        <f t="shared" si="180"/>
        <v>1.3182986111060018</v>
      </c>
      <c r="S1445" s="13">
        <f t="shared" si="181"/>
        <v>15.074606481481169</v>
      </c>
      <c r="T1445" t="str">
        <f t="shared" si="182"/>
        <v>On Time/Early</v>
      </c>
      <c r="U1445" t="str">
        <f t="shared" si="183"/>
        <v>Normal</v>
      </c>
      <c r="V1445" t="s">
        <v>102</v>
      </c>
    </row>
    <row r="1446" spans="1:22">
      <c r="A1446" t="s">
        <v>2129</v>
      </c>
      <c r="B1446" s="10">
        <v>43215.618368055555</v>
      </c>
      <c r="C1446" s="10">
        <v>43215.633483796293</v>
      </c>
      <c r="D1446" s="10">
        <v>43216.594444444447</v>
      </c>
      <c r="E1446" s="10">
        <v>43224.804675925923</v>
      </c>
      <c r="F1446" s="10">
        <v>43234</v>
      </c>
      <c r="G1446" t="s">
        <v>277</v>
      </c>
      <c r="H1446" t="s">
        <v>335</v>
      </c>
      <c r="I1446" t="s">
        <v>141</v>
      </c>
      <c r="J1446" s="11">
        <v>1</v>
      </c>
      <c r="K1446" s="12">
        <v>189</v>
      </c>
      <c r="L1446" s="12">
        <v>115.47</v>
      </c>
      <c r="M1446" s="13">
        <v>5</v>
      </c>
      <c r="N1446" s="13">
        <f t="shared" si="176"/>
        <v>9.1863078703681822</v>
      </c>
      <c r="O1446" s="13">
        <f t="shared" si="177"/>
        <v>0</v>
      </c>
      <c r="P1446" t="str">
        <f t="shared" si="178"/>
        <v>On Time</v>
      </c>
      <c r="Q1446" s="13">
        <f t="shared" si="179"/>
        <v>0.3627777777146548</v>
      </c>
      <c r="R1446" s="13">
        <f t="shared" si="180"/>
        <v>0.9609606481535593</v>
      </c>
      <c r="S1446" s="13">
        <f t="shared" si="181"/>
        <v>8.2102314814765123</v>
      </c>
      <c r="T1446" t="str">
        <f t="shared" si="182"/>
        <v>On Time/Early</v>
      </c>
      <c r="U1446" t="str">
        <f t="shared" si="183"/>
        <v>Normal</v>
      </c>
      <c r="V1446" t="s">
        <v>102</v>
      </c>
    </row>
    <row r="1447" spans="1:22">
      <c r="A1447" t="s">
        <v>2130</v>
      </c>
      <c r="B1447" s="10">
        <v>43215.634050925924</v>
      </c>
      <c r="C1447" s="10">
        <v>43215.64603009259</v>
      </c>
      <c r="D1447" s="10">
        <v>43217.459027777775</v>
      </c>
      <c r="E1447" s="10">
        <v>43224.675416666665</v>
      </c>
      <c r="F1447" s="10">
        <v>43245</v>
      </c>
      <c r="G1447" t="s">
        <v>16</v>
      </c>
      <c r="H1447" t="s">
        <v>138</v>
      </c>
      <c r="I1447" t="s">
        <v>136</v>
      </c>
      <c r="J1447" s="11">
        <v>1</v>
      </c>
      <c r="K1447" s="12">
        <v>129</v>
      </c>
      <c r="L1447" s="12">
        <v>19.87</v>
      </c>
      <c r="M1447" s="13">
        <v>3</v>
      </c>
      <c r="N1447" s="13">
        <f t="shared" si="176"/>
        <v>9.04136574074073</v>
      </c>
      <c r="O1447" s="13">
        <f t="shared" si="177"/>
        <v>0</v>
      </c>
      <c r="P1447" t="str">
        <f t="shared" si="178"/>
        <v>On Time</v>
      </c>
      <c r="Q1447" s="13">
        <f t="shared" si="179"/>
        <v>0.28749999997671694</v>
      </c>
      <c r="R1447" s="13">
        <f t="shared" si="180"/>
        <v>1.8129976851851097</v>
      </c>
      <c r="S1447" s="13">
        <f t="shared" si="181"/>
        <v>7.2163888888899237</v>
      </c>
      <c r="T1447" t="str">
        <f t="shared" si="182"/>
        <v>On Time/Early</v>
      </c>
      <c r="U1447" t="str">
        <f t="shared" si="183"/>
        <v>Normal</v>
      </c>
      <c r="V1447" t="s">
        <v>102</v>
      </c>
    </row>
    <row r="1448" spans="1:22">
      <c r="A1448" t="s">
        <v>2131</v>
      </c>
      <c r="B1448" s="10">
        <v>43215.663599537038</v>
      </c>
      <c r="C1448" s="10">
        <v>43215.703935185185</v>
      </c>
      <c r="D1448" s="10">
        <v>43216.59652777778</v>
      </c>
      <c r="E1448" s="10">
        <v>43217.905914351853</v>
      </c>
      <c r="F1448" s="10">
        <v>43229</v>
      </c>
      <c r="G1448" t="s">
        <v>8</v>
      </c>
      <c r="H1448" t="s">
        <v>140</v>
      </c>
      <c r="I1448" t="s">
        <v>34</v>
      </c>
      <c r="J1448" s="11">
        <v>1</v>
      </c>
      <c r="K1448" s="12">
        <v>45</v>
      </c>
      <c r="L1448" s="12">
        <v>11.15</v>
      </c>
      <c r="M1448" s="13">
        <v>4</v>
      </c>
      <c r="N1448" s="13">
        <f t="shared" si="176"/>
        <v>2.2423148148154723</v>
      </c>
      <c r="O1448" s="13">
        <f t="shared" si="177"/>
        <v>0</v>
      </c>
      <c r="P1448" t="str">
        <f t="shared" si="178"/>
        <v>On Time</v>
      </c>
      <c r="Q1448" s="13">
        <f t="shared" si="179"/>
        <v>0.96805555553874001</v>
      </c>
      <c r="R1448" s="13">
        <f t="shared" si="180"/>
        <v>0.89259259259415558</v>
      </c>
      <c r="S1448" s="13">
        <f t="shared" si="181"/>
        <v>1.3093865740738693</v>
      </c>
      <c r="T1448" t="str">
        <f t="shared" si="182"/>
        <v>On Time/Early</v>
      </c>
      <c r="U1448" t="str">
        <f t="shared" si="183"/>
        <v>Normal</v>
      </c>
      <c r="V1448" t="s">
        <v>102</v>
      </c>
    </row>
    <row r="1449" spans="1:22">
      <c r="A1449" t="s">
        <v>2132</v>
      </c>
      <c r="B1449" s="10">
        <v>43215.703206018516</v>
      </c>
      <c r="C1449" s="10">
        <v>43217.146481481483</v>
      </c>
      <c r="D1449" s="10">
        <v>43222.495833333334</v>
      </c>
      <c r="E1449" s="10">
        <v>43227.841736111113</v>
      </c>
      <c r="F1449" s="10">
        <v>43238</v>
      </c>
      <c r="G1449" t="s">
        <v>8</v>
      </c>
      <c r="H1449" t="s">
        <v>140</v>
      </c>
      <c r="I1449" t="s">
        <v>221</v>
      </c>
      <c r="J1449" s="11">
        <v>2</v>
      </c>
      <c r="K1449" s="12">
        <v>260</v>
      </c>
      <c r="L1449" s="12">
        <v>60.96</v>
      </c>
      <c r="M1449" s="13">
        <v>4</v>
      </c>
      <c r="N1449" s="13">
        <f t="shared" si="176"/>
        <v>12.138530092597648</v>
      </c>
      <c r="O1449" s="13">
        <f t="shared" si="177"/>
        <v>0</v>
      </c>
      <c r="P1449" t="str">
        <f t="shared" si="178"/>
        <v>On Time</v>
      </c>
      <c r="Q1449" s="13">
        <f t="shared" si="179"/>
        <v>34.638611111207865</v>
      </c>
      <c r="R1449" s="13">
        <f t="shared" si="180"/>
        <v>5.3493518518516794</v>
      </c>
      <c r="S1449" s="13">
        <f t="shared" si="181"/>
        <v>5.3459027777789743</v>
      </c>
      <c r="T1449" t="str">
        <f t="shared" si="182"/>
        <v>On Time/Early</v>
      </c>
      <c r="U1449" t="str">
        <f t="shared" si="183"/>
        <v>Normal</v>
      </c>
      <c r="V1449" t="s">
        <v>102</v>
      </c>
    </row>
    <row r="1450" spans="1:22">
      <c r="A1450" t="s">
        <v>2133</v>
      </c>
      <c r="B1450" s="10">
        <v>43215.719560185185</v>
      </c>
      <c r="C1450" s="10">
        <v>43217.160624999997</v>
      </c>
      <c r="D1450" s="10">
        <v>43217.420138888891</v>
      </c>
      <c r="E1450" s="10">
        <v>43234.560358796298</v>
      </c>
      <c r="F1450" s="10">
        <v>43248</v>
      </c>
      <c r="G1450" t="s">
        <v>36</v>
      </c>
      <c r="H1450" t="s">
        <v>2134</v>
      </c>
      <c r="I1450" t="s">
        <v>128</v>
      </c>
      <c r="J1450" s="11">
        <v>1</v>
      </c>
      <c r="K1450" s="12">
        <v>29.9</v>
      </c>
      <c r="L1450" s="12">
        <v>18.23</v>
      </c>
      <c r="M1450" s="13">
        <v>5</v>
      </c>
      <c r="N1450" s="13">
        <f t="shared" si="176"/>
        <v>18.840798611112405</v>
      </c>
      <c r="O1450" s="13">
        <f t="shared" si="177"/>
        <v>0</v>
      </c>
      <c r="P1450" t="str">
        <f t="shared" si="178"/>
        <v>On Time</v>
      </c>
      <c r="Q1450" s="13">
        <f t="shared" si="179"/>
        <v>34.585555555473547</v>
      </c>
      <c r="R1450" s="13">
        <f t="shared" si="180"/>
        <v>0.25951388889370719</v>
      </c>
      <c r="S1450" s="13">
        <f t="shared" si="181"/>
        <v>17.1402199074073</v>
      </c>
      <c r="T1450" t="str">
        <f t="shared" si="182"/>
        <v>On Time/Early</v>
      </c>
      <c r="U1450" t="str">
        <f t="shared" si="183"/>
        <v>Normal</v>
      </c>
      <c r="V1450" t="s">
        <v>102</v>
      </c>
    </row>
    <row r="1451" spans="1:22">
      <c r="A1451" t="s">
        <v>2135</v>
      </c>
      <c r="B1451" s="10">
        <v>43215.739988425928</v>
      </c>
      <c r="C1451" s="10">
        <v>43215.800208333334</v>
      </c>
      <c r="D1451" s="10">
        <v>43216.574999999997</v>
      </c>
      <c r="E1451" s="10">
        <v>43220.686018518521</v>
      </c>
      <c r="F1451" s="10">
        <v>43241</v>
      </c>
      <c r="G1451" t="s">
        <v>8</v>
      </c>
      <c r="H1451" t="s">
        <v>140</v>
      </c>
      <c r="I1451" t="s">
        <v>112</v>
      </c>
      <c r="J1451" s="11">
        <v>1</v>
      </c>
      <c r="K1451" s="12">
        <v>34.99</v>
      </c>
      <c r="L1451" s="12">
        <v>15.23</v>
      </c>
      <c r="M1451" s="13">
        <v>4</v>
      </c>
      <c r="N1451" s="13">
        <f t="shared" si="176"/>
        <v>4.9460300925929914</v>
      </c>
      <c r="O1451" s="13">
        <f t="shared" si="177"/>
        <v>0</v>
      </c>
      <c r="P1451" t="str">
        <f t="shared" si="178"/>
        <v>On Time</v>
      </c>
      <c r="Q1451" s="13">
        <f t="shared" si="179"/>
        <v>1.4452777777332813</v>
      </c>
      <c r="R1451" s="13">
        <f t="shared" si="180"/>
        <v>0.77479166666307719</v>
      </c>
      <c r="S1451" s="13">
        <f t="shared" si="181"/>
        <v>4.1110185185243608</v>
      </c>
      <c r="T1451" t="str">
        <f t="shared" si="182"/>
        <v>On Time/Early</v>
      </c>
      <c r="U1451" t="str">
        <f t="shared" si="183"/>
        <v>Normal</v>
      </c>
      <c r="V1451" t="s">
        <v>102</v>
      </c>
    </row>
    <row r="1452" spans="1:22">
      <c r="A1452" t="s">
        <v>2136</v>
      </c>
      <c r="B1452" s="10">
        <v>43215.947268518517</v>
      </c>
      <c r="C1452" s="10">
        <v>43215.955104166664</v>
      </c>
      <c r="D1452" s="10">
        <v>43217.522222222222</v>
      </c>
      <c r="E1452" s="10">
        <v>43232.471273148149</v>
      </c>
      <c r="F1452" s="10">
        <v>43243</v>
      </c>
      <c r="G1452" t="s">
        <v>16</v>
      </c>
      <c r="H1452" t="s">
        <v>2137</v>
      </c>
      <c r="I1452" t="s">
        <v>221</v>
      </c>
      <c r="J1452" s="11">
        <v>1</v>
      </c>
      <c r="K1452" s="12">
        <v>890</v>
      </c>
      <c r="L1452" s="12">
        <v>24.11</v>
      </c>
      <c r="M1452" s="13">
        <v>5</v>
      </c>
      <c r="N1452" s="13">
        <f t="shared" si="176"/>
        <v>16.524004629631236</v>
      </c>
      <c r="O1452" s="13">
        <f t="shared" si="177"/>
        <v>0</v>
      </c>
      <c r="P1452" t="str">
        <f t="shared" si="178"/>
        <v>On Time</v>
      </c>
      <c r="Q1452" s="13">
        <f t="shared" si="179"/>
        <v>0.18805555551080033</v>
      </c>
      <c r="R1452" s="13">
        <f t="shared" si="180"/>
        <v>1.5671180555582396</v>
      </c>
      <c r="S1452" s="13">
        <f t="shared" si="181"/>
        <v>14.949050925926713</v>
      </c>
      <c r="T1452" t="str">
        <f t="shared" si="182"/>
        <v>On Time/Early</v>
      </c>
      <c r="U1452" t="str">
        <f t="shared" si="183"/>
        <v>Normal</v>
      </c>
      <c r="V1452" t="s">
        <v>102</v>
      </c>
    </row>
    <row r="1453" spans="1:22">
      <c r="A1453" t="s">
        <v>2138</v>
      </c>
      <c r="B1453" s="10">
        <v>43216.353425925925</v>
      </c>
      <c r="C1453" s="10">
        <v>43216.368136574078</v>
      </c>
      <c r="D1453" s="10">
        <v>43216.558333333334</v>
      </c>
      <c r="E1453" s="10">
        <v>43224.72824074074</v>
      </c>
      <c r="F1453" s="10">
        <v>43245</v>
      </c>
      <c r="G1453" t="s">
        <v>8</v>
      </c>
      <c r="H1453" t="s">
        <v>709</v>
      </c>
      <c r="I1453" t="s">
        <v>112</v>
      </c>
      <c r="J1453" s="11">
        <v>1</v>
      </c>
      <c r="K1453" s="12">
        <v>120.9</v>
      </c>
      <c r="L1453" s="12">
        <v>74.58</v>
      </c>
      <c r="M1453" s="13">
        <v>1</v>
      </c>
      <c r="N1453" s="13">
        <f t="shared" si="176"/>
        <v>8.3748148148151813</v>
      </c>
      <c r="O1453" s="13">
        <f t="shared" si="177"/>
        <v>0</v>
      </c>
      <c r="P1453" t="str">
        <f t="shared" si="178"/>
        <v>On Time</v>
      </c>
      <c r="Q1453" s="13">
        <f t="shared" si="179"/>
        <v>0.35305555566446856</v>
      </c>
      <c r="R1453" s="13">
        <f t="shared" si="180"/>
        <v>0.19019675925665069</v>
      </c>
      <c r="S1453" s="13">
        <f t="shared" si="181"/>
        <v>8.1699074074058444</v>
      </c>
      <c r="T1453" t="str">
        <f t="shared" si="182"/>
        <v>On Time/Early</v>
      </c>
      <c r="U1453" t="str">
        <f t="shared" si="183"/>
        <v>Normal</v>
      </c>
      <c r="V1453" t="s">
        <v>102</v>
      </c>
    </row>
    <row r="1454" spans="1:22">
      <c r="A1454" t="s">
        <v>2139</v>
      </c>
      <c r="B1454" s="10">
        <v>43216.362916666665</v>
      </c>
      <c r="C1454" s="10">
        <v>43216.37195601852</v>
      </c>
      <c r="D1454" s="10">
        <v>43217.531944444447</v>
      </c>
      <c r="E1454" s="10">
        <v>43222.844884259262</v>
      </c>
      <c r="F1454" s="10">
        <v>43238</v>
      </c>
      <c r="G1454" t="s">
        <v>8</v>
      </c>
      <c r="H1454" t="s">
        <v>2140</v>
      </c>
      <c r="I1454" t="s">
        <v>58</v>
      </c>
      <c r="J1454" s="11">
        <v>1</v>
      </c>
      <c r="K1454" s="12">
        <v>71.3</v>
      </c>
      <c r="L1454" s="12">
        <v>12.94</v>
      </c>
      <c r="M1454" s="13">
        <v>4</v>
      </c>
      <c r="N1454" s="13">
        <f t="shared" si="176"/>
        <v>6.481967592597357</v>
      </c>
      <c r="O1454" s="13">
        <f t="shared" si="177"/>
        <v>0</v>
      </c>
      <c r="P1454" t="str">
        <f t="shared" si="178"/>
        <v>On Time</v>
      </c>
      <c r="Q1454" s="13">
        <f t="shared" si="179"/>
        <v>0.21694444451713935</v>
      </c>
      <c r="R1454" s="13">
        <f t="shared" si="180"/>
        <v>1.1599884259267128</v>
      </c>
      <c r="S1454" s="13">
        <f t="shared" si="181"/>
        <v>5.3129398148157634</v>
      </c>
      <c r="T1454" t="str">
        <f t="shared" si="182"/>
        <v>On Time/Early</v>
      </c>
      <c r="U1454" t="str">
        <f t="shared" si="183"/>
        <v>Normal</v>
      </c>
      <c r="V1454" t="s">
        <v>102</v>
      </c>
    </row>
    <row r="1455" spans="1:22">
      <c r="A1455" t="s">
        <v>2141</v>
      </c>
      <c r="B1455" s="10">
        <v>43216.577349537038</v>
      </c>
      <c r="C1455" s="10">
        <v>43216.59165509259</v>
      </c>
      <c r="D1455" s="10">
        <v>43217.47152777778</v>
      </c>
      <c r="E1455" s="10">
        <v>43220.675543981481</v>
      </c>
      <c r="F1455" s="10">
        <v>43231</v>
      </c>
      <c r="G1455" t="s">
        <v>8</v>
      </c>
      <c r="H1455" t="s">
        <v>716</v>
      </c>
      <c r="I1455" t="s">
        <v>141</v>
      </c>
      <c r="J1455" s="11">
        <v>1</v>
      </c>
      <c r="K1455" s="12">
        <v>139</v>
      </c>
      <c r="L1455" s="12">
        <v>11.6</v>
      </c>
      <c r="M1455" s="13">
        <v>4</v>
      </c>
      <c r="N1455" s="13">
        <f t="shared" si="176"/>
        <v>4.0981944444429246</v>
      </c>
      <c r="O1455" s="13">
        <f t="shared" si="177"/>
        <v>0</v>
      </c>
      <c r="P1455" t="str">
        <f t="shared" si="178"/>
        <v>On Time</v>
      </c>
      <c r="Q1455" s="13">
        <f t="shared" si="179"/>
        <v>0.34333333326503634</v>
      </c>
      <c r="R1455" s="13">
        <f t="shared" si="180"/>
        <v>0.87987268518918427</v>
      </c>
      <c r="S1455" s="13">
        <f t="shared" si="181"/>
        <v>3.2040162037010305</v>
      </c>
      <c r="T1455" t="str">
        <f t="shared" si="182"/>
        <v>On Time/Early</v>
      </c>
      <c r="U1455" t="str">
        <f t="shared" si="183"/>
        <v>Normal</v>
      </c>
      <c r="V1455" t="s">
        <v>102</v>
      </c>
    </row>
    <row r="1456" spans="1:22">
      <c r="A1456" t="s">
        <v>2142</v>
      </c>
      <c r="B1456" s="10">
        <v>43216.895555555559</v>
      </c>
      <c r="C1456" s="10">
        <v>43216.91002314815</v>
      </c>
      <c r="D1456" s="10">
        <v>43217.604166666664</v>
      </c>
      <c r="E1456" s="10">
        <v>43229.491608796299</v>
      </c>
      <c r="F1456" s="10">
        <v>43241</v>
      </c>
      <c r="G1456" t="s">
        <v>33</v>
      </c>
      <c r="H1456" t="s">
        <v>285</v>
      </c>
      <c r="I1456" t="s">
        <v>136</v>
      </c>
      <c r="J1456" s="11">
        <v>1</v>
      </c>
      <c r="K1456" s="12">
        <v>191</v>
      </c>
      <c r="L1456" s="12">
        <v>19.22</v>
      </c>
      <c r="M1456" s="13">
        <v>5</v>
      </c>
      <c r="N1456" s="13">
        <f t="shared" si="176"/>
        <v>12.59605324074073</v>
      </c>
      <c r="O1456" s="13">
        <f t="shared" si="177"/>
        <v>0</v>
      </c>
      <c r="P1456" t="str">
        <f t="shared" si="178"/>
        <v>On Time</v>
      </c>
      <c r="Q1456" s="13">
        <f t="shared" si="179"/>
        <v>0.34722222218988463</v>
      </c>
      <c r="R1456" s="13">
        <f t="shared" si="180"/>
        <v>0.69414351851446554</v>
      </c>
      <c r="S1456" s="13">
        <f t="shared" si="181"/>
        <v>11.887442129635019</v>
      </c>
      <c r="T1456" t="str">
        <f t="shared" si="182"/>
        <v>On Time/Early</v>
      </c>
      <c r="U1456" t="str">
        <f t="shared" si="183"/>
        <v>Normal</v>
      </c>
      <c r="V1456" t="s">
        <v>102</v>
      </c>
    </row>
    <row r="1457" spans="1:22">
      <c r="A1457" t="s">
        <v>2143</v>
      </c>
      <c r="B1457" s="10">
        <v>43216.969050925924</v>
      </c>
      <c r="C1457" s="10">
        <v>43216.980231481481</v>
      </c>
      <c r="D1457" s="10">
        <v>43217.625694444447</v>
      </c>
      <c r="E1457" s="10">
        <v>43227.64739583333</v>
      </c>
      <c r="F1457" s="10">
        <v>43238</v>
      </c>
      <c r="G1457" t="s">
        <v>20</v>
      </c>
      <c r="H1457" t="s">
        <v>2144</v>
      </c>
      <c r="I1457" t="s">
        <v>101</v>
      </c>
      <c r="J1457" s="11">
        <v>2</v>
      </c>
      <c r="K1457" s="12">
        <v>70</v>
      </c>
      <c r="L1457" s="12">
        <v>27.04</v>
      </c>
      <c r="M1457" s="13">
        <v>4</v>
      </c>
      <c r="N1457" s="13">
        <f t="shared" si="176"/>
        <v>10.678344907406427</v>
      </c>
      <c r="O1457" s="13">
        <f t="shared" si="177"/>
        <v>0</v>
      </c>
      <c r="P1457" t="str">
        <f t="shared" si="178"/>
        <v>On Time</v>
      </c>
      <c r="Q1457" s="13">
        <f t="shared" si="179"/>
        <v>0.26833333336981013</v>
      </c>
      <c r="R1457" s="13">
        <f t="shared" si="180"/>
        <v>0.64546296296612127</v>
      </c>
      <c r="S1457" s="13">
        <f t="shared" si="181"/>
        <v>10.02170138888323</v>
      </c>
      <c r="T1457" t="str">
        <f t="shared" si="182"/>
        <v>On Time/Early</v>
      </c>
      <c r="U1457" t="str">
        <f t="shared" si="183"/>
        <v>Normal</v>
      </c>
      <c r="V1457" t="s">
        <v>102</v>
      </c>
    </row>
    <row r="1458" spans="1:22">
      <c r="A1458" t="s">
        <v>2145</v>
      </c>
      <c r="B1458" s="10">
        <v>43217.436840277776</v>
      </c>
      <c r="C1458" s="10">
        <v>43218.147951388892</v>
      </c>
      <c r="D1458" s="10">
        <v>43223.885416666664</v>
      </c>
      <c r="E1458" s="10">
        <v>43227.828182870369</v>
      </c>
      <c r="F1458" s="10">
        <v>43234</v>
      </c>
      <c r="G1458" t="s">
        <v>8</v>
      </c>
      <c r="H1458" t="s">
        <v>140</v>
      </c>
      <c r="I1458" t="s">
        <v>141</v>
      </c>
      <c r="J1458" s="11">
        <v>1</v>
      </c>
      <c r="K1458" s="12">
        <v>39</v>
      </c>
      <c r="L1458" s="12">
        <v>8.8800000000000008</v>
      </c>
      <c r="M1458" s="13">
        <v>4</v>
      </c>
      <c r="N1458" s="13">
        <f t="shared" si="176"/>
        <v>10.391342592592991</v>
      </c>
      <c r="O1458" s="13">
        <f t="shared" si="177"/>
        <v>0</v>
      </c>
      <c r="P1458" t="str">
        <f t="shared" si="178"/>
        <v>On Time</v>
      </c>
      <c r="Q1458" s="13">
        <f t="shared" si="179"/>
        <v>17.06666666676756</v>
      </c>
      <c r="R1458" s="13">
        <f t="shared" si="180"/>
        <v>5.7374652777725714</v>
      </c>
      <c r="S1458" s="13">
        <f t="shared" si="181"/>
        <v>3.942766203705105</v>
      </c>
      <c r="T1458" t="str">
        <f t="shared" si="182"/>
        <v>On Time/Early</v>
      </c>
      <c r="U1458" t="str">
        <f t="shared" si="183"/>
        <v>Normal</v>
      </c>
      <c r="V1458" t="s">
        <v>102</v>
      </c>
    </row>
    <row r="1459" spans="1:22">
      <c r="A1459" t="s">
        <v>2146</v>
      </c>
      <c r="B1459" s="10">
        <v>43217.449525462966</v>
      </c>
      <c r="C1459" s="10">
        <v>43217.46675925926</v>
      </c>
      <c r="D1459" s="10">
        <v>43220.584722222222</v>
      </c>
      <c r="E1459" s="10">
        <v>43223.778993055559</v>
      </c>
      <c r="F1459" s="10">
        <v>43231</v>
      </c>
      <c r="G1459" t="s">
        <v>8</v>
      </c>
      <c r="H1459" t="s">
        <v>140</v>
      </c>
      <c r="I1459" t="s">
        <v>1440</v>
      </c>
      <c r="J1459" s="11">
        <v>1</v>
      </c>
      <c r="K1459" s="12">
        <v>11</v>
      </c>
      <c r="L1459" s="12">
        <v>7.87</v>
      </c>
      <c r="M1459" s="13">
        <v>5</v>
      </c>
      <c r="N1459" s="13">
        <f t="shared" si="176"/>
        <v>6.3294675925935735</v>
      </c>
      <c r="O1459" s="13">
        <f t="shared" si="177"/>
        <v>0</v>
      </c>
      <c r="P1459" t="str">
        <f t="shared" si="178"/>
        <v>On Time</v>
      </c>
      <c r="Q1459" s="13">
        <f t="shared" si="179"/>
        <v>0.41361111105652526</v>
      </c>
      <c r="R1459" s="13">
        <f t="shared" si="180"/>
        <v>3.1179629629623378</v>
      </c>
      <c r="S1459" s="13">
        <f t="shared" si="181"/>
        <v>3.1942708333372138</v>
      </c>
      <c r="T1459" t="str">
        <f t="shared" si="182"/>
        <v>On Time/Early</v>
      </c>
      <c r="U1459" t="str">
        <f t="shared" si="183"/>
        <v>Normal</v>
      </c>
      <c r="V1459" t="s">
        <v>102</v>
      </c>
    </row>
    <row r="1460" spans="1:22">
      <c r="A1460" t="s">
        <v>2147</v>
      </c>
      <c r="B1460" s="10">
        <v>43217.759340277778</v>
      </c>
      <c r="C1460" s="10">
        <v>43217.772314814814</v>
      </c>
      <c r="D1460" s="10">
        <v>43223.615972222222</v>
      </c>
      <c r="E1460" s="10">
        <v>43243.765150462961</v>
      </c>
      <c r="F1460" s="10">
        <v>43236</v>
      </c>
      <c r="G1460" t="s">
        <v>8</v>
      </c>
      <c r="H1460" t="s">
        <v>1966</v>
      </c>
      <c r="I1460" t="s">
        <v>141</v>
      </c>
      <c r="J1460" s="11">
        <v>1</v>
      </c>
      <c r="K1460" s="12">
        <v>379.9</v>
      </c>
      <c r="L1460" s="12">
        <v>68.61</v>
      </c>
      <c r="M1460" s="13">
        <v>1</v>
      </c>
      <c r="N1460" s="13">
        <f t="shared" si="176"/>
        <v>26.005810185182781</v>
      </c>
      <c r="O1460" s="13">
        <f t="shared" si="177"/>
        <v>7.7651504629611736</v>
      </c>
      <c r="P1460" t="str">
        <f t="shared" si="178"/>
        <v>Delayed</v>
      </c>
      <c r="Q1460" s="13">
        <f t="shared" si="179"/>
        <v>0.31138888886198401</v>
      </c>
      <c r="R1460" s="13">
        <f t="shared" si="180"/>
        <v>5.8436574074075907</v>
      </c>
      <c r="S1460" s="13">
        <f t="shared" si="181"/>
        <v>20.149178240739275</v>
      </c>
      <c r="T1460" t="str">
        <f t="shared" si="182"/>
        <v>8+ Days Late</v>
      </c>
      <c r="U1460" t="str">
        <f t="shared" si="183"/>
        <v>Needs Review</v>
      </c>
      <c r="V1460" t="s">
        <v>102</v>
      </c>
    </row>
    <row r="1461" spans="1:22">
      <c r="A1461" t="s">
        <v>2148</v>
      </c>
      <c r="B1461" s="10">
        <v>43217.969351851854</v>
      </c>
      <c r="C1461" s="10">
        <v>43217.979710648149</v>
      </c>
      <c r="D1461" s="10">
        <v>43220.539583333331</v>
      </c>
      <c r="E1461" s="10">
        <v>43222.778807870367</v>
      </c>
      <c r="F1461" s="10">
        <v>43234</v>
      </c>
      <c r="G1461" t="s">
        <v>8</v>
      </c>
      <c r="H1461" t="s">
        <v>225</v>
      </c>
      <c r="I1461" t="s">
        <v>58</v>
      </c>
      <c r="J1461" s="11">
        <v>1</v>
      </c>
      <c r="K1461" s="12">
        <v>262.39</v>
      </c>
      <c r="L1461" s="12">
        <v>12.46</v>
      </c>
      <c r="M1461" s="13">
        <v>5</v>
      </c>
      <c r="N1461" s="13">
        <f t="shared" si="176"/>
        <v>4.8094560185127193</v>
      </c>
      <c r="O1461" s="13">
        <f t="shared" si="177"/>
        <v>0</v>
      </c>
      <c r="P1461" t="str">
        <f t="shared" si="178"/>
        <v>On Time</v>
      </c>
      <c r="Q1461" s="13">
        <f t="shared" si="179"/>
        <v>0.24861111107748002</v>
      </c>
      <c r="R1461" s="13">
        <f t="shared" si="180"/>
        <v>2.5598726851821993</v>
      </c>
      <c r="S1461" s="13">
        <f t="shared" si="181"/>
        <v>2.239224537035625</v>
      </c>
      <c r="T1461" t="str">
        <f t="shared" si="182"/>
        <v>On Time/Early</v>
      </c>
      <c r="U1461" t="str">
        <f t="shared" si="183"/>
        <v>Normal</v>
      </c>
      <c r="V1461" t="s">
        <v>102</v>
      </c>
    </row>
    <row r="1462" spans="1:22">
      <c r="A1462" t="s">
        <v>2149</v>
      </c>
      <c r="B1462" s="10">
        <v>43218.444745370369</v>
      </c>
      <c r="C1462" s="10">
        <v>43218.453831018516</v>
      </c>
      <c r="D1462" s="10">
        <v>43224.662499999999</v>
      </c>
      <c r="E1462" s="10">
        <v>43234.577523148146</v>
      </c>
      <c r="F1462" s="10">
        <v>43249</v>
      </c>
      <c r="G1462" t="s">
        <v>8</v>
      </c>
      <c r="H1462" t="s">
        <v>588</v>
      </c>
      <c r="I1462" t="s">
        <v>123</v>
      </c>
      <c r="J1462" s="11">
        <v>1</v>
      </c>
      <c r="K1462" s="12">
        <v>148</v>
      </c>
      <c r="L1462" s="12">
        <v>9.91</v>
      </c>
      <c r="M1462" s="13">
        <v>5</v>
      </c>
      <c r="N1462" s="13">
        <f t="shared" si="176"/>
        <v>16.132777777776937</v>
      </c>
      <c r="O1462" s="13">
        <f t="shared" si="177"/>
        <v>0</v>
      </c>
      <c r="P1462" t="str">
        <f t="shared" si="178"/>
        <v>On Time</v>
      </c>
      <c r="Q1462" s="13">
        <f t="shared" si="179"/>
        <v>0.21805555553874001</v>
      </c>
      <c r="R1462" s="13">
        <f t="shared" si="180"/>
        <v>6.208668981482333</v>
      </c>
      <c r="S1462" s="13">
        <f t="shared" si="181"/>
        <v>9.9150231481471565</v>
      </c>
      <c r="T1462" t="str">
        <f t="shared" si="182"/>
        <v>On Time/Early</v>
      </c>
      <c r="U1462" t="str">
        <f t="shared" si="183"/>
        <v>Normal</v>
      </c>
      <c r="V1462" t="s">
        <v>102</v>
      </c>
    </row>
    <row r="1463" spans="1:22">
      <c r="A1463" t="s">
        <v>2150</v>
      </c>
      <c r="B1463" s="10">
        <v>43218.445011574076</v>
      </c>
      <c r="C1463" s="10">
        <v>43221.246562499997</v>
      </c>
      <c r="D1463" s="10">
        <v>43223.379861111112</v>
      </c>
      <c r="E1463" s="10">
        <v>43227.879942129628</v>
      </c>
      <c r="F1463" s="10">
        <v>43241</v>
      </c>
      <c r="G1463" t="s">
        <v>20</v>
      </c>
      <c r="H1463" t="s">
        <v>104</v>
      </c>
      <c r="I1463" t="s">
        <v>37</v>
      </c>
      <c r="J1463" s="11">
        <v>1</v>
      </c>
      <c r="K1463" s="12">
        <v>399</v>
      </c>
      <c r="L1463" s="12">
        <v>32.46</v>
      </c>
      <c r="M1463" s="13">
        <v>1</v>
      </c>
      <c r="N1463" s="13">
        <f t="shared" si="176"/>
        <v>9.4349305555515457</v>
      </c>
      <c r="O1463" s="13">
        <f t="shared" si="177"/>
        <v>0</v>
      </c>
      <c r="P1463" t="str">
        <f t="shared" si="178"/>
        <v>On Time</v>
      </c>
      <c r="Q1463" s="13">
        <f t="shared" si="179"/>
        <v>67.237222222087439</v>
      </c>
      <c r="R1463" s="13">
        <f t="shared" si="180"/>
        <v>2.133298611115606</v>
      </c>
      <c r="S1463" s="13">
        <f t="shared" si="181"/>
        <v>4.5000810185156297</v>
      </c>
      <c r="T1463" t="str">
        <f t="shared" si="182"/>
        <v>On Time/Early</v>
      </c>
      <c r="U1463" t="str">
        <f t="shared" si="183"/>
        <v>Normal</v>
      </c>
      <c r="V1463" t="s">
        <v>102</v>
      </c>
    </row>
    <row r="1464" spans="1:22">
      <c r="A1464" t="s">
        <v>2151</v>
      </c>
      <c r="B1464" s="10">
        <v>43218.591944444444</v>
      </c>
      <c r="C1464" s="10">
        <v>43218.604456018518</v>
      </c>
      <c r="D1464" s="10">
        <v>43220.61041666667</v>
      </c>
      <c r="E1464" s="10">
        <v>43231.762928240743</v>
      </c>
      <c r="F1464" s="10">
        <v>43245</v>
      </c>
      <c r="G1464" t="s">
        <v>16</v>
      </c>
      <c r="H1464" t="s">
        <v>563</v>
      </c>
      <c r="I1464" t="s">
        <v>31</v>
      </c>
      <c r="J1464" s="11">
        <v>1</v>
      </c>
      <c r="K1464" s="12">
        <v>19.899999999999999</v>
      </c>
      <c r="L1464" s="12">
        <v>15.44</v>
      </c>
      <c r="M1464" s="13">
        <v>3</v>
      </c>
      <c r="N1464" s="13">
        <f t="shared" si="176"/>
        <v>13.17098379629897</v>
      </c>
      <c r="O1464" s="13">
        <f t="shared" si="177"/>
        <v>0</v>
      </c>
      <c r="P1464" t="str">
        <f t="shared" si="178"/>
        <v>On Time</v>
      </c>
      <c r="Q1464" s="13">
        <f t="shared" si="179"/>
        <v>0.30027777777286246</v>
      </c>
      <c r="R1464" s="13">
        <f t="shared" si="180"/>
        <v>2.0059606481518131</v>
      </c>
      <c r="S1464" s="13">
        <f t="shared" si="181"/>
        <v>11.152511574073287</v>
      </c>
      <c r="T1464" t="str">
        <f t="shared" si="182"/>
        <v>On Time/Early</v>
      </c>
      <c r="U1464" t="str">
        <f t="shared" si="183"/>
        <v>Normal</v>
      </c>
      <c r="V1464" t="s">
        <v>102</v>
      </c>
    </row>
    <row r="1465" spans="1:22">
      <c r="A1465" t="s">
        <v>2152</v>
      </c>
      <c r="B1465" s="10">
        <v>43218.625381944446</v>
      </c>
      <c r="C1465" s="10">
        <v>43218.632870370369</v>
      </c>
      <c r="D1465" s="10">
        <v>43222.571527777778</v>
      </c>
      <c r="E1465" s="10">
        <v>43227.923263888886</v>
      </c>
      <c r="F1465" s="10">
        <v>43235</v>
      </c>
      <c r="G1465" t="s">
        <v>8</v>
      </c>
      <c r="H1465" t="s">
        <v>209</v>
      </c>
      <c r="I1465" t="s">
        <v>31</v>
      </c>
      <c r="J1465" s="11">
        <v>1</v>
      </c>
      <c r="K1465" s="12">
        <v>10</v>
      </c>
      <c r="L1465" s="12">
        <v>12.79</v>
      </c>
      <c r="M1465" s="13">
        <v>5</v>
      </c>
      <c r="N1465" s="13">
        <f t="shared" si="176"/>
        <v>9.2978819444397232</v>
      </c>
      <c r="O1465" s="13">
        <f t="shared" si="177"/>
        <v>0</v>
      </c>
      <c r="P1465" t="str">
        <f t="shared" si="178"/>
        <v>On Time</v>
      </c>
      <c r="Q1465" s="13">
        <f t="shared" si="179"/>
        <v>0.17972222215030342</v>
      </c>
      <c r="R1465" s="13">
        <f t="shared" si="180"/>
        <v>3.9386574074087548</v>
      </c>
      <c r="S1465" s="13">
        <f t="shared" si="181"/>
        <v>5.351736111108039</v>
      </c>
      <c r="T1465" t="str">
        <f t="shared" si="182"/>
        <v>On Time/Early</v>
      </c>
      <c r="U1465" t="str">
        <f t="shared" si="183"/>
        <v>Normal</v>
      </c>
      <c r="V1465" t="s">
        <v>102</v>
      </c>
    </row>
    <row r="1466" spans="1:22">
      <c r="A1466" t="s">
        <v>2153</v>
      </c>
      <c r="B1466" s="10">
        <v>43218.797280092593</v>
      </c>
      <c r="C1466" s="10">
        <v>43221.230775462966</v>
      </c>
      <c r="D1466" s="10">
        <v>43222.46597222222</v>
      </c>
      <c r="E1466" s="10">
        <v>43256.002152777779</v>
      </c>
      <c r="F1466" s="10">
        <v>43252</v>
      </c>
      <c r="G1466" t="s">
        <v>175</v>
      </c>
      <c r="H1466" t="s">
        <v>348</v>
      </c>
      <c r="I1466" t="s">
        <v>123</v>
      </c>
      <c r="J1466" s="11">
        <v>1</v>
      </c>
      <c r="K1466" s="12">
        <v>139.99</v>
      </c>
      <c r="L1466" s="12">
        <v>16.13</v>
      </c>
      <c r="M1466" s="13">
        <v>4</v>
      </c>
      <c r="N1466" s="13">
        <f t="shared" si="176"/>
        <v>37.204872685186274</v>
      </c>
      <c r="O1466" s="13">
        <f t="shared" si="177"/>
        <v>4.0021527777789743</v>
      </c>
      <c r="P1466" t="str">
        <f t="shared" si="178"/>
        <v>Delayed</v>
      </c>
      <c r="Q1466" s="13">
        <f t="shared" si="179"/>
        <v>58.403888888948131</v>
      </c>
      <c r="R1466" s="13">
        <f t="shared" si="180"/>
        <v>1.2351967592549045</v>
      </c>
      <c r="S1466" s="13">
        <f t="shared" si="181"/>
        <v>33.536180555558531</v>
      </c>
      <c r="T1466" t="str">
        <f t="shared" si="182"/>
        <v>4-7 Days Late</v>
      </c>
      <c r="U1466" t="str">
        <f t="shared" si="183"/>
        <v>Needs Review</v>
      </c>
      <c r="V1466" t="s">
        <v>102</v>
      </c>
    </row>
    <row r="1467" spans="1:22">
      <c r="A1467" t="s">
        <v>2154</v>
      </c>
      <c r="B1467" s="10">
        <v>43219.712858796294</v>
      </c>
      <c r="C1467" s="10">
        <v>43219.718969907408</v>
      </c>
      <c r="D1467" s="10">
        <v>43222.635416666664</v>
      </c>
      <c r="E1467" s="10">
        <v>43228.853020833332</v>
      </c>
      <c r="F1467" s="10">
        <v>43257</v>
      </c>
      <c r="G1467" t="s">
        <v>16</v>
      </c>
      <c r="H1467" t="s">
        <v>138</v>
      </c>
      <c r="I1467" t="s">
        <v>31</v>
      </c>
      <c r="J1467" s="11">
        <v>1</v>
      </c>
      <c r="K1467" s="12">
        <v>11.6</v>
      </c>
      <c r="L1467" s="12">
        <v>15.23</v>
      </c>
      <c r="M1467" s="13">
        <v>5</v>
      </c>
      <c r="N1467" s="13">
        <f t="shared" si="176"/>
        <v>9.1401620370379533</v>
      </c>
      <c r="O1467" s="13">
        <f t="shared" si="177"/>
        <v>0</v>
      </c>
      <c r="P1467" t="str">
        <f t="shared" si="178"/>
        <v>On Time</v>
      </c>
      <c r="Q1467" s="13">
        <f t="shared" si="179"/>
        <v>0.14666666672565043</v>
      </c>
      <c r="R1467" s="13">
        <f t="shared" si="180"/>
        <v>2.9164467592563597</v>
      </c>
      <c r="S1467" s="13">
        <f t="shared" si="181"/>
        <v>6.2176041666680248</v>
      </c>
      <c r="T1467" t="str">
        <f t="shared" si="182"/>
        <v>On Time/Early</v>
      </c>
      <c r="U1467" t="str">
        <f t="shared" si="183"/>
        <v>Normal</v>
      </c>
      <c r="V1467" t="s">
        <v>102</v>
      </c>
    </row>
    <row r="1468" spans="1:22">
      <c r="A1468" t="s">
        <v>2155</v>
      </c>
      <c r="B1468" s="10">
        <v>43219.897685185184</v>
      </c>
      <c r="C1468" s="10">
        <v>43221.231076388889</v>
      </c>
      <c r="D1468" s="10">
        <v>43228.62222222222</v>
      </c>
      <c r="E1468" s="10">
        <v>43236.773055555554</v>
      </c>
      <c r="F1468" s="10">
        <v>43255</v>
      </c>
      <c r="G1468" t="s">
        <v>8</v>
      </c>
      <c r="H1468" t="s">
        <v>2156</v>
      </c>
      <c r="I1468" t="s">
        <v>120</v>
      </c>
      <c r="J1468" s="11">
        <v>1</v>
      </c>
      <c r="K1468" s="12">
        <v>139.80000000000001</v>
      </c>
      <c r="L1468" s="12">
        <v>19.95</v>
      </c>
      <c r="M1468" s="13">
        <v>5</v>
      </c>
      <c r="N1468" s="13">
        <f t="shared" si="176"/>
        <v>16.875370370369637</v>
      </c>
      <c r="O1468" s="13">
        <f t="shared" si="177"/>
        <v>0</v>
      </c>
      <c r="P1468" t="str">
        <f t="shared" si="178"/>
        <v>On Time</v>
      </c>
      <c r="Q1468" s="13">
        <f t="shared" si="179"/>
        <v>32.00138888892252</v>
      </c>
      <c r="R1468" s="13">
        <f t="shared" si="180"/>
        <v>7.3911458333313931</v>
      </c>
      <c r="S1468" s="13">
        <f t="shared" si="181"/>
        <v>8.1508333333331393</v>
      </c>
      <c r="T1468" t="str">
        <f t="shared" si="182"/>
        <v>On Time/Early</v>
      </c>
      <c r="U1468" t="str">
        <f t="shared" si="183"/>
        <v>Normal</v>
      </c>
      <c r="V1468" t="s">
        <v>102</v>
      </c>
    </row>
    <row r="1469" spans="1:22">
      <c r="A1469" t="s">
        <v>2157</v>
      </c>
      <c r="B1469" s="10">
        <v>43219.908125000002</v>
      </c>
      <c r="C1469" s="10">
        <v>43219.913356481484</v>
      </c>
      <c r="D1469" s="10">
        <v>43220.539583333331</v>
      </c>
      <c r="E1469" s="10">
        <v>43228.681307870371</v>
      </c>
      <c r="F1469" s="10">
        <v>43244</v>
      </c>
      <c r="G1469" t="s">
        <v>20</v>
      </c>
      <c r="H1469" t="s">
        <v>703</v>
      </c>
      <c r="I1469" t="s">
        <v>34</v>
      </c>
      <c r="J1469" s="11">
        <v>1</v>
      </c>
      <c r="K1469" s="12">
        <v>31.89</v>
      </c>
      <c r="L1469" s="12">
        <v>22.93</v>
      </c>
      <c r="M1469" s="13">
        <v>5</v>
      </c>
      <c r="N1469" s="13">
        <f t="shared" si="176"/>
        <v>8.7731828703690553</v>
      </c>
      <c r="O1469" s="13">
        <f t="shared" si="177"/>
        <v>0</v>
      </c>
      <c r="P1469" t="str">
        <f t="shared" si="178"/>
        <v>On Time</v>
      </c>
      <c r="Q1469" s="13">
        <f t="shared" si="179"/>
        <v>0.12555555556900799</v>
      </c>
      <c r="R1469" s="13">
        <f t="shared" si="180"/>
        <v>0.62622685184760485</v>
      </c>
      <c r="S1469" s="13">
        <f t="shared" si="181"/>
        <v>8.1417245370394085</v>
      </c>
      <c r="T1469" t="str">
        <f t="shared" si="182"/>
        <v>On Time/Early</v>
      </c>
      <c r="U1469" t="str">
        <f t="shared" si="183"/>
        <v>Normal</v>
      </c>
      <c r="V1469" t="s">
        <v>102</v>
      </c>
    </row>
    <row r="1470" spans="1:22">
      <c r="A1470" t="s">
        <v>2158</v>
      </c>
      <c r="B1470" s="10">
        <v>43220.621921296297</v>
      </c>
      <c r="C1470" s="10">
        <v>43220.678622685184</v>
      </c>
      <c r="D1470" s="10">
        <v>43220.611805555556</v>
      </c>
      <c r="E1470" s="10">
        <v>43227.672789351855</v>
      </c>
      <c r="F1470" s="10">
        <v>43241</v>
      </c>
      <c r="G1470" t="s">
        <v>8</v>
      </c>
      <c r="H1470" t="s">
        <v>140</v>
      </c>
      <c r="I1470" t="s">
        <v>112</v>
      </c>
      <c r="J1470" s="11">
        <v>1</v>
      </c>
      <c r="K1470" s="12">
        <v>69.989999999999995</v>
      </c>
      <c r="L1470" s="12">
        <v>18.37</v>
      </c>
      <c r="M1470" s="13">
        <v>5</v>
      </c>
      <c r="N1470" s="13">
        <f t="shared" si="176"/>
        <v>7.0508680555576575</v>
      </c>
      <c r="O1470" s="13">
        <f t="shared" si="177"/>
        <v>0</v>
      </c>
      <c r="P1470" t="str">
        <f t="shared" si="178"/>
        <v>On Time</v>
      </c>
      <c r="Q1470" s="13">
        <f t="shared" si="179"/>
        <v>1.3608333332813345</v>
      </c>
      <c r="R1470" s="13">
        <f t="shared" si="180"/>
        <v>-6.6817129627452232E-2</v>
      </c>
      <c r="S1470" s="13">
        <f t="shared" si="181"/>
        <v>7.0609837962983875</v>
      </c>
      <c r="T1470" t="str">
        <f t="shared" si="182"/>
        <v>On Time/Early</v>
      </c>
      <c r="U1470" t="str">
        <f t="shared" si="183"/>
        <v>Normal</v>
      </c>
      <c r="V1470" t="s">
        <v>102</v>
      </c>
    </row>
    <row r="1471" spans="1:22">
      <c r="A1471" t="s">
        <v>2159</v>
      </c>
      <c r="B1471" s="10">
        <v>43220.643657407411</v>
      </c>
      <c r="C1471" s="10">
        <v>43221.246377314812</v>
      </c>
      <c r="D1471" s="10">
        <v>43222.554861111108</v>
      </c>
      <c r="E1471" s="10">
        <v>43227.570740740739</v>
      </c>
      <c r="F1471" s="10">
        <v>43238</v>
      </c>
      <c r="G1471" t="s">
        <v>8</v>
      </c>
      <c r="H1471" t="s">
        <v>140</v>
      </c>
      <c r="I1471" t="s">
        <v>221</v>
      </c>
      <c r="J1471" s="11">
        <v>1</v>
      </c>
      <c r="K1471" s="12">
        <v>81.25</v>
      </c>
      <c r="L1471" s="12">
        <v>13.01</v>
      </c>
      <c r="M1471" s="13">
        <v>5</v>
      </c>
      <c r="N1471" s="13">
        <f t="shared" si="176"/>
        <v>6.9270833333284827</v>
      </c>
      <c r="O1471" s="13">
        <f t="shared" si="177"/>
        <v>0</v>
      </c>
      <c r="P1471" t="str">
        <f t="shared" si="178"/>
        <v>On Time</v>
      </c>
      <c r="Q1471" s="13">
        <f t="shared" si="179"/>
        <v>14.465277777635492</v>
      </c>
      <c r="R1471" s="13">
        <f t="shared" si="180"/>
        <v>1.3084837962960592</v>
      </c>
      <c r="S1471" s="13">
        <f t="shared" si="181"/>
        <v>5.0158796296309447</v>
      </c>
      <c r="T1471" t="str">
        <f t="shared" si="182"/>
        <v>On Time/Early</v>
      </c>
      <c r="U1471" t="str">
        <f t="shared" si="183"/>
        <v>Normal</v>
      </c>
      <c r="V1471" t="s">
        <v>102</v>
      </c>
    </row>
    <row r="1472" spans="1:22">
      <c r="A1472" t="s">
        <v>2160</v>
      </c>
      <c r="B1472" s="10">
        <v>43220.70244212963</v>
      </c>
      <c r="C1472" s="10">
        <v>43223.175740740742</v>
      </c>
      <c r="D1472" s="10">
        <v>43223.686111111114</v>
      </c>
      <c r="E1472" s="10">
        <v>43237.753599537034</v>
      </c>
      <c r="F1472" s="10">
        <v>43248</v>
      </c>
      <c r="G1472" t="s">
        <v>474</v>
      </c>
      <c r="H1472" t="s">
        <v>2161</v>
      </c>
      <c r="I1472" t="s">
        <v>112</v>
      </c>
      <c r="J1472" s="11">
        <v>1</v>
      </c>
      <c r="K1472" s="12">
        <v>189.99</v>
      </c>
      <c r="L1472" s="12">
        <v>63.13</v>
      </c>
      <c r="M1472" s="13">
        <v>4</v>
      </c>
      <c r="N1472" s="13">
        <f t="shared" si="176"/>
        <v>17.051157407404389</v>
      </c>
      <c r="O1472" s="13">
        <f t="shared" si="177"/>
        <v>0</v>
      </c>
      <c r="P1472" t="str">
        <f t="shared" si="178"/>
        <v>On Time</v>
      </c>
      <c r="Q1472" s="13">
        <f t="shared" si="179"/>
        <v>59.359166666690726</v>
      </c>
      <c r="R1472" s="13">
        <f t="shared" si="180"/>
        <v>0.51037037037167465</v>
      </c>
      <c r="S1472" s="13">
        <f t="shared" si="181"/>
        <v>14.067488425920601</v>
      </c>
      <c r="T1472" t="str">
        <f t="shared" si="182"/>
        <v>On Time/Early</v>
      </c>
      <c r="U1472" t="str">
        <f t="shared" si="183"/>
        <v>Normal</v>
      </c>
      <c r="V1472" t="s">
        <v>102</v>
      </c>
    </row>
    <row r="1473" spans="1:22">
      <c r="A1473" t="s">
        <v>2162</v>
      </c>
      <c r="B1473" s="10">
        <v>43220.788483796299</v>
      </c>
      <c r="C1473" s="10">
        <v>43221.10869212963</v>
      </c>
      <c r="D1473" s="10">
        <v>43224.65902777778</v>
      </c>
      <c r="E1473" s="10">
        <v>43258.737650462965</v>
      </c>
      <c r="F1473" s="10">
        <v>43252</v>
      </c>
      <c r="G1473" t="s">
        <v>23</v>
      </c>
      <c r="H1473" t="s">
        <v>1158</v>
      </c>
      <c r="I1473" t="s">
        <v>2163</v>
      </c>
      <c r="J1473" s="11">
        <v>1</v>
      </c>
      <c r="K1473" s="12">
        <v>169</v>
      </c>
      <c r="L1473" s="12">
        <v>95.76</v>
      </c>
      <c r="M1473" s="13">
        <v>1</v>
      </c>
      <c r="N1473" s="13">
        <f t="shared" si="176"/>
        <v>37.949166666665406</v>
      </c>
      <c r="O1473" s="13">
        <f t="shared" si="177"/>
        <v>6.7376504629646661</v>
      </c>
      <c r="P1473" t="str">
        <f t="shared" si="178"/>
        <v>Delayed</v>
      </c>
      <c r="Q1473" s="13">
        <f t="shared" si="179"/>
        <v>7.684999999939464</v>
      </c>
      <c r="R1473" s="13">
        <f t="shared" si="180"/>
        <v>3.5503356481494848</v>
      </c>
      <c r="S1473" s="13">
        <f t="shared" si="181"/>
        <v>34.07862268518511</v>
      </c>
      <c r="T1473" t="str">
        <f t="shared" si="182"/>
        <v>4-7 Days Late</v>
      </c>
      <c r="U1473" t="str">
        <f t="shared" si="183"/>
        <v>Needs Review</v>
      </c>
      <c r="V1473" t="s">
        <v>102</v>
      </c>
    </row>
    <row r="1474" spans="1:22">
      <c r="A1474" t="s">
        <v>2164</v>
      </c>
      <c r="B1474" s="10">
        <v>43220.944421296299</v>
      </c>
      <c r="C1474" s="10">
        <v>43221.147696759261</v>
      </c>
      <c r="D1474" s="10">
        <v>43223.479166666664</v>
      </c>
      <c r="E1474" s="10">
        <v>43225.005347222221</v>
      </c>
      <c r="F1474" s="10">
        <v>43234</v>
      </c>
      <c r="G1474" t="s">
        <v>50</v>
      </c>
      <c r="H1474" t="s">
        <v>414</v>
      </c>
      <c r="I1474" t="s">
        <v>17</v>
      </c>
      <c r="J1474" s="11">
        <v>1</v>
      </c>
      <c r="K1474" s="12">
        <v>30</v>
      </c>
      <c r="L1474" s="12">
        <v>7.71</v>
      </c>
      <c r="M1474" s="13">
        <v>5</v>
      </c>
      <c r="N1474" s="13">
        <f t="shared" ref="N1474:N1537" si="184">IFERROR(E1474-B1474,"")</f>
        <v>4.0609259259217652</v>
      </c>
      <c r="O1474" s="13">
        <f t="shared" ref="O1474:O1537" si="185">IFERROR(MAX(0,E1474-F1474),"")</f>
        <v>0</v>
      </c>
      <c r="P1474" t="str">
        <f t="shared" ref="P1474:P1537" si="186">IF(O1474&gt;0,"Delayed","On Time")</f>
        <v>On Time</v>
      </c>
      <c r="Q1474" s="13">
        <f t="shared" ref="Q1474:Q1537" si="187">IFERROR((C1474-B1474)*24,"")</f>
        <v>4.8786111110821366</v>
      </c>
      <c r="R1474" s="13">
        <f t="shared" ref="R1474:R1537" si="188">IFERROR(D1474-C1474,"")</f>
        <v>2.3314699074035161</v>
      </c>
      <c r="S1474" s="13">
        <f t="shared" ref="S1474:S1537" si="189">IFERROR(E1474-D1474,"")</f>
        <v>1.5261805555564933</v>
      </c>
      <c r="T1474" t="str">
        <f t="shared" ref="T1474:T1537" si="190">IF(O1474=0,"On Time/Early",IF(O1474&lt;=3,"1-3 Days Late",IF(O1474&lt;=7,"4-7 Days Late","8+ Days Late")))</f>
        <v>On Time/Early</v>
      </c>
      <c r="U1474" t="str">
        <f t="shared" ref="U1474:U1537" si="191">IF(P1474="Delayed","Needs Review","Normal")</f>
        <v>Normal</v>
      </c>
      <c r="V1474" t="s">
        <v>102</v>
      </c>
    </row>
    <row r="1475" spans="1:22">
      <c r="A1475" t="s">
        <v>2165</v>
      </c>
      <c r="B1475" s="10">
        <v>43221.463483796295</v>
      </c>
      <c r="C1475" s="10">
        <v>43221.483506944445</v>
      </c>
      <c r="D1475" s="10">
        <v>43223.693055555559</v>
      </c>
      <c r="E1475" s="10">
        <v>43230.770752314813</v>
      </c>
      <c r="F1475" s="10">
        <v>43248</v>
      </c>
      <c r="G1475" t="s">
        <v>20</v>
      </c>
      <c r="H1475" t="s">
        <v>1290</v>
      </c>
      <c r="I1475" t="s">
        <v>221</v>
      </c>
      <c r="J1475" s="11">
        <v>1</v>
      </c>
      <c r="K1475" s="12">
        <v>99.9</v>
      </c>
      <c r="L1475" s="12">
        <v>0</v>
      </c>
      <c r="M1475" s="13">
        <v>5</v>
      </c>
      <c r="N1475" s="13">
        <f t="shared" si="184"/>
        <v>9.307268518517958</v>
      </c>
      <c r="O1475" s="13">
        <f t="shared" si="185"/>
        <v>0</v>
      </c>
      <c r="P1475" t="str">
        <f t="shared" si="186"/>
        <v>On Time</v>
      </c>
      <c r="Q1475" s="13">
        <f t="shared" si="187"/>
        <v>0.4805555556085892</v>
      </c>
      <c r="R1475" s="13">
        <f t="shared" si="188"/>
        <v>2.2095486111138598</v>
      </c>
      <c r="S1475" s="13">
        <f t="shared" si="189"/>
        <v>7.0776967592537403</v>
      </c>
      <c r="T1475" t="str">
        <f t="shared" si="190"/>
        <v>On Time/Early</v>
      </c>
      <c r="U1475" t="str">
        <f t="shared" si="191"/>
        <v>Normal</v>
      </c>
      <c r="V1475" t="s">
        <v>102</v>
      </c>
    </row>
    <row r="1476" spans="1:22">
      <c r="A1476" t="s">
        <v>2166</v>
      </c>
      <c r="B1476" s="10">
        <v>43221.689803240741</v>
      </c>
      <c r="C1476" s="10">
        <v>43221.705127314817</v>
      </c>
      <c r="D1476" s="10">
        <v>43223.55972222222</v>
      </c>
      <c r="E1476" s="10">
        <v>43229.78869212963</v>
      </c>
      <c r="F1476" s="10">
        <v>43249</v>
      </c>
      <c r="G1476" t="s">
        <v>30</v>
      </c>
      <c r="H1476" t="s">
        <v>1704</v>
      </c>
      <c r="I1476" t="s">
        <v>58</v>
      </c>
      <c r="J1476" s="11">
        <v>1</v>
      </c>
      <c r="K1476" s="12">
        <v>169.9</v>
      </c>
      <c r="L1476" s="12">
        <v>31.84</v>
      </c>
      <c r="M1476" s="13">
        <v>4</v>
      </c>
      <c r="N1476" s="13">
        <f t="shared" si="184"/>
        <v>8.0988888888896327</v>
      </c>
      <c r="O1476" s="13">
        <f t="shared" si="185"/>
        <v>0</v>
      </c>
      <c r="P1476" t="str">
        <f t="shared" si="186"/>
        <v>On Time</v>
      </c>
      <c r="Q1476" s="13">
        <f t="shared" si="187"/>
        <v>0.36777777783572674</v>
      </c>
      <c r="R1476" s="13">
        <f t="shared" si="188"/>
        <v>1.8545949074032251</v>
      </c>
      <c r="S1476" s="13">
        <f t="shared" si="189"/>
        <v>6.228969907409919</v>
      </c>
      <c r="T1476" t="str">
        <f t="shared" si="190"/>
        <v>On Time/Early</v>
      </c>
      <c r="U1476" t="str">
        <f t="shared" si="191"/>
        <v>Normal</v>
      </c>
      <c r="V1476" t="s">
        <v>102</v>
      </c>
    </row>
    <row r="1477" spans="1:22">
      <c r="A1477" t="s">
        <v>2167</v>
      </c>
      <c r="B1477" s="10">
        <v>43221.70040509259</v>
      </c>
      <c r="C1477" s="10">
        <v>43223.18949074074</v>
      </c>
      <c r="D1477" s="10">
        <v>43225.361111111109</v>
      </c>
      <c r="E1477" s="10">
        <v>43228.81722222222</v>
      </c>
      <c r="F1477" s="10">
        <v>43237</v>
      </c>
      <c r="G1477" t="s">
        <v>8</v>
      </c>
      <c r="H1477" t="s">
        <v>140</v>
      </c>
      <c r="I1477" t="s">
        <v>58</v>
      </c>
      <c r="J1477" s="11">
        <v>1</v>
      </c>
      <c r="K1477" s="12">
        <v>29.9</v>
      </c>
      <c r="L1477" s="12">
        <v>7.71</v>
      </c>
      <c r="M1477" s="13">
        <v>5</v>
      </c>
      <c r="N1477" s="13">
        <f t="shared" si="184"/>
        <v>7.1168171296303626</v>
      </c>
      <c r="O1477" s="13">
        <f t="shared" si="185"/>
        <v>0</v>
      </c>
      <c r="P1477" t="str">
        <f t="shared" si="186"/>
        <v>On Time</v>
      </c>
      <c r="Q1477" s="13">
        <f t="shared" si="187"/>
        <v>35.738055555615574</v>
      </c>
      <c r="R1477" s="13">
        <f t="shared" si="188"/>
        <v>2.1716203703690553</v>
      </c>
      <c r="S1477" s="13">
        <f t="shared" si="189"/>
        <v>3.4561111111106584</v>
      </c>
      <c r="T1477" t="str">
        <f t="shared" si="190"/>
        <v>On Time/Early</v>
      </c>
      <c r="U1477" t="str">
        <f t="shared" si="191"/>
        <v>Normal</v>
      </c>
      <c r="V1477" t="s">
        <v>102</v>
      </c>
    </row>
    <row r="1478" spans="1:22">
      <c r="A1478" t="s">
        <v>2168</v>
      </c>
      <c r="B1478" s="10">
        <v>43221.763078703705</v>
      </c>
      <c r="C1478" s="10">
        <v>43223.175821759258</v>
      </c>
      <c r="D1478" s="10">
        <v>43223.615972222222</v>
      </c>
      <c r="E1478" s="10">
        <v>43228.800393518519</v>
      </c>
      <c r="F1478" s="10">
        <v>43250</v>
      </c>
      <c r="G1478" t="s">
        <v>16</v>
      </c>
      <c r="H1478" t="s">
        <v>833</v>
      </c>
      <c r="I1478" t="s">
        <v>136</v>
      </c>
      <c r="J1478" s="11">
        <v>1</v>
      </c>
      <c r="K1478" s="12">
        <v>88.9</v>
      </c>
      <c r="L1478" s="12">
        <v>26.7</v>
      </c>
      <c r="M1478" s="13">
        <v>5</v>
      </c>
      <c r="N1478" s="13">
        <f t="shared" si="184"/>
        <v>7.0373148148137261</v>
      </c>
      <c r="O1478" s="13">
        <f t="shared" si="185"/>
        <v>0</v>
      </c>
      <c r="P1478" t="str">
        <f t="shared" si="186"/>
        <v>On Time</v>
      </c>
      <c r="Q1478" s="13">
        <f t="shared" si="187"/>
        <v>33.905833333265036</v>
      </c>
      <c r="R1478" s="13">
        <f t="shared" si="188"/>
        <v>0.440150462964084</v>
      </c>
      <c r="S1478" s="13">
        <f t="shared" si="189"/>
        <v>5.1844212962969323</v>
      </c>
      <c r="T1478" t="str">
        <f t="shared" si="190"/>
        <v>On Time/Early</v>
      </c>
      <c r="U1478" t="str">
        <f t="shared" si="191"/>
        <v>Normal</v>
      </c>
      <c r="V1478" t="s">
        <v>102</v>
      </c>
    </row>
    <row r="1479" spans="1:22">
      <c r="A1479" t="s">
        <v>2169</v>
      </c>
      <c r="B1479" s="10">
        <v>43221.777465277781</v>
      </c>
      <c r="C1479" s="10">
        <v>43221.787592592591</v>
      </c>
      <c r="D1479" s="10">
        <v>43223.603472222225</v>
      </c>
      <c r="E1479" s="10">
        <v>43228.839375000003</v>
      </c>
      <c r="F1479" s="10">
        <v>43248</v>
      </c>
      <c r="G1479" t="s">
        <v>20</v>
      </c>
      <c r="H1479" t="s">
        <v>1115</v>
      </c>
      <c r="I1479" t="s">
        <v>136</v>
      </c>
      <c r="J1479" s="11">
        <v>1</v>
      </c>
      <c r="K1479" s="12">
        <v>58.9</v>
      </c>
      <c r="L1479" s="12">
        <v>22.12</v>
      </c>
      <c r="M1479" s="13">
        <v>1</v>
      </c>
      <c r="N1479" s="13">
        <f t="shared" si="184"/>
        <v>7.0619097222224809</v>
      </c>
      <c r="O1479" s="13">
        <f t="shared" si="185"/>
        <v>0</v>
      </c>
      <c r="P1479" t="str">
        <f t="shared" si="186"/>
        <v>On Time</v>
      </c>
      <c r="Q1479" s="13">
        <f t="shared" si="187"/>
        <v>0.24305555544560775</v>
      </c>
      <c r="R1479" s="13">
        <f t="shared" si="188"/>
        <v>1.8158796296338551</v>
      </c>
      <c r="S1479" s="13">
        <f t="shared" si="189"/>
        <v>5.2359027777783922</v>
      </c>
      <c r="T1479" t="str">
        <f t="shared" si="190"/>
        <v>On Time/Early</v>
      </c>
      <c r="U1479" t="str">
        <f t="shared" si="191"/>
        <v>Normal</v>
      </c>
      <c r="V1479" t="s">
        <v>102</v>
      </c>
    </row>
    <row r="1480" spans="1:22">
      <c r="A1480" t="s">
        <v>2170</v>
      </c>
      <c r="B1480" s="10">
        <v>43221.789444444446</v>
      </c>
      <c r="C1480" s="10">
        <v>43221.800983796296</v>
      </c>
      <c r="D1480" s="10">
        <v>43222.635416666664</v>
      </c>
      <c r="E1480" s="10">
        <v>43228.850335648145</v>
      </c>
      <c r="F1480" s="10">
        <v>43243</v>
      </c>
      <c r="G1480" t="s">
        <v>8</v>
      </c>
      <c r="H1480" t="s">
        <v>2171</v>
      </c>
      <c r="I1480" t="s">
        <v>120</v>
      </c>
      <c r="J1480" s="11">
        <v>1</v>
      </c>
      <c r="K1480" s="12">
        <v>19.899999999999999</v>
      </c>
      <c r="L1480" s="12">
        <v>12.79</v>
      </c>
      <c r="M1480" s="13">
        <v>5</v>
      </c>
      <c r="N1480" s="13">
        <f t="shared" si="184"/>
        <v>7.0608912036987022</v>
      </c>
      <c r="O1480" s="13">
        <f t="shared" si="185"/>
        <v>0</v>
      </c>
      <c r="P1480" t="str">
        <f t="shared" si="186"/>
        <v>On Time</v>
      </c>
      <c r="Q1480" s="13">
        <f t="shared" si="187"/>
        <v>0.27694444439839572</v>
      </c>
      <c r="R1480" s="13">
        <f t="shared" si="188"/>
        <v>0.83443287036789116</v>
      </c>
      <c r="S1480" s="13">
        <f t="shared" si="189"/>
        <v>6.2149189814808778</v>
      </c>
      <c r="T1480" t="str">
        <f t="shared" si="190"/>
        <v>On Time/Early</v>
      </c>
      <c r="U1480" t="str">
        <f t="shared" si="191"/>
        <v>Normal</v>
      </c>
      <c r="V1480" t="s">
        <v>102</v>
      </c>
    </row>
    <row r="1481" spans="1:22">
      <c r="A1481" t="s">
        <v>2172</v>
      </c>
      <c r="B1481" s="10">
        <v>43221.884108796294</v>
      </c>
      <c r="C1481" s="10">
        <v>43221.89984953704</v>
      </c>
      <c r="D1481" s="10">
        <v>43223.272222222222</v>
      </c>
      <c r="E1481" s="10">
        <v>43224.919525462959</v>
      </c>
      <c r="F1481" s="10">
        <v>43235</v>
      </c>
      <c r="G1481" t="s">
        <v>8</v>
      </c>
      <c r="H1481" t="s">
        <v>140</v>
      </c>
      <c r="I1481" t="s">
        <v>123</v>
      </c>
      <c r="J1481" s="11">
        <v>1</v>
      </c>
      <c r="K1481" s="12">
        <v>35</v>
      </c>
      <c r="L1481" s="12">
        <v>12.43</v>
      </c>
      <c r="M1481" s="13">
        <v>5</v>
      </c>
      <c r="N1481" s="13">
        <f t="shared" si="184"/>
        <v>3.0354166666656965</v>
      </c>
      <c r="O1481" s="13">
        <f t="shared" si="185"/>
        <v>0</v>
      </c>
      <c r="P1481" t="str">
        <f t="shared" si="186"/>
        <v>On Time</v>
      </c>
      <c r="Q1481" s="13">
        <f t="shared" si="187"/>
        <v>0.37777777790324762</v>
      </c>
      <c r="R1481" s="13">
        <f t="shared" si="188"/>
        <v>1.3723726851821993</v>
      </c>
      <c r="S1481" s="13">
        <f t="shared" si="189"/>
        <v>1.6473032407375285</v>
      </c>
      <c r="T1481" t="str">
        <f t="shared" si="190"/>
        <v>On Time/Early</v>
      </c>
      <c r="U1481" t="str">
        <f t="shared" si="191"/>
        <v>Normal</v>
      </c>
      <c r="V1481" t="s">
        <v>102</v>
      </c>
    </row>
    <row r="1482" spans="1:22">
      <c r="A1482" t="s">
        <v>2173</v>
      </c>
      <c r="B1482" s="10">
        <v>43221.946203703701</v>
      </c>
      <c r="C1482" s="10">
        <v>43222.979479166665</v>
      </c>
      <c r="D1482" s="10">
        <v>43223.408333333333</v>
      </c>
      <c r="E1482" s="10">
        <v>43235.81013888889</v>
      </c>
      <c r="F1482" s="10">
        <v>43245</v>
      </c>
      <c r="G1482" t="s">
        <v>36</v>
      </c>
      <c r="H1482" t="s">
        <v>467</v>
      </c>
      <c r="I1482" t="s">
        <v>34</v>
      </c>
      <c r="J1482" s="11">
        <v>1</v>
      </c>
      <c r="K1482" s="12">
        <v>94.95</v>
      </c>
      <c r="L1482" s="12">
        <v>19.63</v>
      </c>
      <c r="M1482" s="13">
        <v>3</v>
      </c>
      <c r="N1482" s="13">
        <f t="shared" si="184"/>
        <v>13.863935185188893</v>
      </c>
      <c r="O1482" s="13">
        <f t="shared" si="185"/>
        <v>0</v>
      </c>
      <c r="P1482" t="str">
        <f t="shared" si="186"/>
        <v>On Time</v>
      </c>
      <c r="Q1482" s="13">
        <f t="shared" si="187"/>
        <v>24.798611111124046</v>
      </c>
      <c r="R1482" s="13">
        <f t="shared" si="188"/>
        <v>0.42885416666831588</v>
      </c>
      <c r="S1482" s="13">
        <f t="shared" si="189"/>
        <v>12.401805555557075</v>
      </c>
      <c r="T1482" t="str">
        <f t="shared" si="190"/>
        <v>On Time/Early</v>
      </c>
      <c r="U1482" t="str">
        <f t="shared" si="191"/>
        <v>Normal</v>
      </c>
      <c r="V1482" t="s">
        <v>102</v>
      </c>
    </row>
    <row r="1483" spans="1:22">
      <c r="A1483" t="s">
        <v>2174</v>
      </c>
      <c r="B1483" s="10">
        <v>43222.515011574076</v>
      </c>
      <c r="C1483" s="10">
        <v>43223.53800925926</v>
      </c>
      <c r="D1483" s="10">
        <v>43236.416666666664</v>
      </c>
      <c r="E1483" s="10">
        <v>43271.919479166667</v>
      </c>
      <c r="F1483" s="10">
        <v>43259</v>
      </c>
      <c r="G1483" t="s">
        <v>50</v>
      </c>
      <c r="H1483" t="s">
        <v>2175</v>
      </c>
      <c r="I1483" t="s">
        <v>37</v>
      </c>
      <c r="J1483" s="11">
        <v>1</v>
      </c>
      <c r="K1483" s="12">
        <v>159.99</v>
      </c>
      <c r="L1483" s="12">
        <v>67.739999999999995</v>
      </c>
      <c r="M1483" s="13">
        <v>1</v>
      </c>
      <c r="N1483" s="13">
        <f t="shared" si="184"/>
        <v>49.404467592590663</v>
      </c>
      <c r="O1483" s="13">
        <f t="shared" si="185"/>
        <v>12.919479166666861</v>
      </c>
      <c r="P1483" t="str">
        <f t="shared" si="186"/>
        <v>Delayed</v>
      </c>
      <c r="Q1483" s="13">
        <f t="shared" si="187"/>
        <v>24.551944444421679</v>
      </c>
      <c r="R1483" s="13">
        <f t="shared" si="188"/>
        <v>12.878657407403807</v>
      </c>
      <c r="S1483" s="13">
        <f t="shared" si="189"/>
        <v>35.502812500002619</v>
      </c>
      <c r="T1483" t="str">
        <f t="shared" si="190"/>
        <v>8+ Days Late</v>
      </c>
      <c r="U1483" t="str">
        <f t="shared" si="191"/>
        <v>Needs Review</v>
      </c>
      <c r="V1483" t="s">
        <v>102</v>
      </c>
    </row>
    <row r="1484" spans="1:22">
      <c r="A1484" t="s">
        <v>2176</v>
      </c>
      <c r="B1484" s="10">
        <v>43222.651412037034</v>
      </c>
      <c r="C1484" s="10">
        <v>43222.680173611108</v>
      </c>
      <c r="D1484" s="10">
        <v>43223.499305555553</v>
      </c>
      <c r="E1484" s="10">
        <v>43231.932256944441</v>
      </c>
      <c r="F1484" s="10">
        <v>43245</v>
      </c>
      <c r="G1484" t="s">
        <v>33</v>
      </c>
      <c r="H1484" t="s">
        <v>341</v>
      </c>
      <c r="I1484" t="s">
        <v>101</v>
      </c>
      <c r="J1484" s="11">
        <v>1</v>
      </c>
      <c r="K1484" s="12">
        <v>126.69</v>
      </c>
      <c r="L1484" s="12">
        <v>25.22</v>
      </c>
      <c r="M1484" s="13">
        <v>4</v>
      </c>
      <c r="N1484" s="13">
        <f t="shared" si="184"/>
        <v>9.2808449074072996</v>
      </c>
      <c r="O1484" s="13">
        <f t="shared" si="185"/>
        <v>0</v>
      </c>
      <c r="P1484" t="str">
        <f t="shared" si="186"/>
        <v>On Time</v>
      </c>
      <c r="Q1484" s="13">
        <f t="shared" si="187"/>
        <v>0.6902777777868323</v>
      </c>
      <c r="R1484" s="13">
        <f t="shared" si="188"/>
        <v>0.81913194444496185</v>
      </c>
      <c r="S1484" s="13">
        <f t="shared" si="189"/>
        <v>8.4329513888878864</v>
      </c>
      <c r="T1484" t="str">
        <f t="shared" si="190"/>
        <v>On Time/Early</v>
      </c>
      <c r="U1484" t="str">
        <f t="shared" si="191"/>
        <v>Normal</v>
      </c>
      <c r="V1484" t="s">
        <v>102</v>
      </c>
    </row>
    <row r="1485" spans="1:22">
      <c r="A1485" t="s">
        <v>2177</v>
      </c>
      <c r="B1485" s="10">
        <v>43222.901076388887</v>
      </c>
      <c r="C1485" s="10">
        <v>43222.940879629627</v>
      </c>
      <c r="D1485" s="10">
        <v>43224.506249999999</v>
      </c>
      <c r="E1485" s="10">
        <v>43240.76489583333</v>
      </c>
      <c r="F1485" s="10">
        <v>43259</v>
      </c>
      <c r="G1485" t="s">
        <v>16</v>
      </c>
      <c r="H1485" t="s">
        <v>138</v>
      </c>
      <c r="I1485" t="s">
        <v>58</v>
      </c>
      <c r="J1485" s="11">
        <v>1</v>
      </c>
      <c r="K1485" s="12">
        <v>64.989999999999995</v>
      </c>
      <c r="L1485" s="12">
        <v>27.51</v>
      </c>
      <c r="M1485" s="13">
        <v>5</v>
      </c>
      <c r="N1485" s="13">
        <f t="shared" si="184"/>
        <v>17.863819444442925</v>
      </c>
      <c r="O1485" s="13">
        <f t="shared" si="185"/>
        <v>0</v>
      </c>
      <c r="P1485" t="str">
        <f t="shared" si="186"/>
        <v>On Time</v>
      </c>
      <c r="Q1485" s="13">
        <f t="shared" si="187"/>
        <v>0.95527777774259448</v>
      </c>
      <c r="R1485" s="13">
        <f t="shared" si="188"/>
        <v>1.5653703703719657</v>
      </c>
      <c r="S1485" s="13">
        <f t="shared" si="189"/>
        <v>16.258645833331684</v>
      </c>
      <c r="T1485" t="str">
        <f t="shared" si="190"/>
        <v>On Time/Early</v>
      </c>
      <c r="U1485" t="str">
        <f t="shared" si="191"/>
        <v>Normal</v>
      </c>
      <c r="V1485" t="s">
        <v>102</v>
      </c>
    </row>
    <row r="1486" spans="1:22">
      <c r="A1486" t="s">
        <v>2178</v>
      </c>
      <c r="B1486" s="10">
        <v>43223.005590277775</v>
      </c>
      <c r="C1486" s="10">
        <v>43225.132164351853</v>
      </c>
      <c r="D1486" s="10">
        <v>43227.65625</v>
      </c>
      <c r="E1486" s="10">
        <v>43237.943518518521</v>
      </c>
      <c r="F1486" s="10">
        <v>43252</v>
      </c>
      <c r="G1486" t="s">
        <v>30</v>
      </c>
      <c r="H1486" t="s">
        <v>329</v>
      </c>
      <c r="I1486" t="s">
        <v>141</v>
      </c>
      <c r="J1486" s="11">
        <v>1</v>
      </c>
      <c r="K1486" s="12">
        <v>265</v>
      </c>
      <c r="L1486" s="12">
        <v>58.31</v>
      </c>
      <c r="M1486" s="13">
        <v>5</v>
      </c>
      <c r="N1486" s="13">
        <f t="shared" si="184"/>
        <v>14.93792824074626</v>
      </c>
      <c r="O1486" s="13">
        <f t="shared" si="185"/>
        <v>0</v>
      </c>
      <c r="P1486" t="str">
        <f t="shared" si="186"/>
        <v>On Time</v>
      </c>
      <c r="Q1486" s="13">
        <f t="shared" si="187"/>
        <v>51.037777777877636</v>
      </c>
      <c r="R1486" s="13">
        <f t="shared" si="188"/>
        <v>2.5240856481468654</v>
      </c>
      <c r="S1486" s="13">
        <f t="shared" si="189"/>
        <v>10.287268518521159</v>
      </c>
      <c r="T1486" t="str">
        <f t="shared" si="190"/>
        <v>On Time/Early</v>
      </c>
      <c r="U1486" t="str">
        <f t="shared" si="191"/>
        <v>Normal</v>
      </c>
      <c r="V1486" t="s">
        <v>102</v>
      </c>
    </row>
    <row r="1487" spans="1:22">
      <c r="A1487" t="s">
        <v>2179</v>
      </c>
      <c r="B1487" s="10">
        <v>43223.36991898148</v>
      </c>
      <c r="C1487" s="10">
        <v>43224.369629629633</v>
      </c>
      <c r="D1487" s="10">
        <v>43227.532638888886</v>
      </c>
      <c r="E1487" s="10">
        <v>43249.928182870368</v>
      </c>
      <c r="F1487" s="10">
        <v>43255</v>
      </c>
      <c r="G1487" t="s">
        <v>175</v>
      </c>
      <c r="H1487" t="s">
        <v>338</v>
      </c>
      <c r="I1487" t="s">
        <v>58</v>
      </c>
      <c r="J1487" s="11">
        <v>1</v>
      </c>
      <c r="K1487" s="12">
        <v>330</v>
      </c>
      <c r="L1487" s="12">
        <v>14.7</v>
      </c>
      <c r="M1487" s="13">
        <v>5</v>
      </c>
      <c r="N1487" s="13">
        <f t="shared" si="184"/>
        <v>26.558263888888177</v>
      </c>
      <c r="O1487" s="13">
        <f t="shared" si="185"/>
        <v>0</v>
      </c>
      <c r="P1487" t="str">
        <f t="shared" si="186"/>
        <v>On Time</v>
      </c>
      <c r="Q1487" s="13">
        <f t="shared" si="187"/>
        <v>23.993055555678438</v>
      </c>
      <c r="R1487" s="13">
        <f t="shared" si="188"/>
        <v>3.1630092592531582</v>
      </c>
      <c r="S1487" s="13">
        <f t="shared" si="189"/>
        <v>22.395543981481751</v>
      </c>
      <c r="T1487" t="str">
        <f t="shared" si="190"/>
        <v>On Time/Early</v>
      </c>
      <c r="U1487" t="str">
        <f t="shared" si="191"/>
        <v>Normal</v>
      </c>
      <c r="V1487" t="s">
        <v>102</v>
      </c>
    </row>
    <row r="1488" spans="1:22">
      <c r="A1488" t="s">
        <v>2180</v>
      </c>
      <c r="B1488" s="10">
        <v>43223.370034722226</v>
      </c>
      <c r="C1488" s="10">
        <v>43225.132245370369</v>
      </c>
      <c r="D1488" s="10">
        <v>43231.227777777778</v>
      </c>
      <c r="E1488" s="10">
        <v>43237.915891203702</v>
      </c>
      <c r="F1488" s="10">
        <v>43258</v>
      </c>
      <c r="G1488" t="s">
        <v>30</v>
      </c>
      <c r="H1488" t="s">
        <v>2117</v>
      </c>
      <c r="I1488" t="s">
        <v>31</v>
      </c>
      <c r="J1488" s="11">
        <v>1</v>
      </c>
      <c r="K1488" s="12">
        <v>179.9</v>
      </c>
      <c r="L1488" s="12">
        <v>29.42</v>
      </c>
      <c r="M1488" s="13">
        <v>5</v>
      </c>
      <c r="N1488" s="13">
        <f t="shared" si="184"/>
        <v>14.545856481476221</v>
      </c>
      <c r="O1488" s="13">
        <f t="shared" si="185"/>
        <v>0</v>
      </c>
      <c r="P1488" t="str">
        <f t="shared" si="186"/>
        <v>On Time</v>
      </c>
      <c r="Q1488" s="13">
        <f t="shared" si="187"/>
        <v>42.293055555433966</v>
      </c>
      <c r="R1488" s="13">
        <f t="shared" si="188"/>
        <v>6.0955324074093369</v>
      </c>
      <c r="S1488" s="13">
        <f t="shared" si="189"/>
        <v>6.6881134259238024</v>
      </c>
      <c r="T1488" t="str">
        <f t="shared" si="190"/>
        <v>On Time/Early</v>
      </c>
      <c r="U1488" t="str">
        <f t="shared" si="191"/>
        <v>Normal</v>
      </c>
      <c r="V1488" t="s">
        <v>102</v>
      </c>
    </row>
    <row r="1489" spans="1:22">
      <c r="A1489" t="s">
        <v>2181</v>
      </c>
      <c r="B1489" s="10">
        <v>43223.370347222219</v>
      </c>
      <c r="C1489" s="10">
        <v>43224.133414351854</v>
      </c>
      <c r="D1489" s="10">
        <v>43224.657638888886</v>
      </c>
      <c r="E1489" s="10">
        <v>43231.740763888891</v>
      </c>
      <c r="F1489" s="10">
        <v>43245</v>
      </c>
      <c r="G1489" t="s">
        <v>33</v>
      </c>
      <c r="H1489" t="s">
        <v>611</v>
      </c>
      <c r="I1489" t="s">
        <v>120</v>
      </c>
      <c r="J1489" s="11">
        <v>1</v>
      </c>
      <c r="K1489" s="12">
        <v>139.9</v>
      </c>
      <c r="L1489" s="12">
        <v>18.86</v>
      </c>
      <c r="M1489" s="13">
        <v>5</v>
      </c>
      <c r="N1489" s="13">
        <f t="shared" si="184"/>
        <v>8.3704166666720994</v>
      </c>
      <c r="O1489" s="13">
        <f t="shared" si="185"/>
        <v>0</v>
      </c>
      <c r="P1489" t="str">
        <f t="shared" si="186"/>
        <v>On Time</v>
      </c>
      <c r="Q1489" s="13">
        <f t="shared" si="187"/>
        <v>18.313611111254431</v>
      </c>
      <c r="R1489" s="13">
        <f t="shared" si="188"/>
        <v>0.52422453703184146</v>
      </c>
      <c r="S1489" s="13">
        <f t="shared" si="189"/>
        <v>7.0831250000046566</v>
      </c>
      <c r="T1489" t="str">
        <f t="shared" si="190"/>
        <v>On Time/Early</v>
      </c>
      <c r="U1489" t="str">
        <f t="shared" si="191"/>
        <v>Normal</v>
      </c>
      <c r="V1489" t="s">
        <v>102</v>
      </c>
    </row>
    <row r="1490" spans="1:22">
      <c r="A1490" t="s">
        <v>2182</v>
      </c>
      <c r="B1490" s="10">
        <v>43223.396574074075</v>
      </c>
      <c r="C1490" s="10">
        <v>43224.161145833335</v>
      </c>
      <c r="D1490" s="10">
        <v>43224.560416666667</v>
      </c>
      <c r="E1490" s="10">
        <v>43231.765347222223</v>
      </c>
      <c r="F1490" s="10">
        <v>43241</v>
      </c>
      <c r="G1490" t="s">
        <v>8</v>
      </c>
      <c r="H1490" t="s">
        <v>1147</v>
      </c>
      <c r="I1490" t="s">
        <v>141</v>
      </c>
      <c r="J1490" s="11">
        <v>1</v>
      </c>
      <c r="K1490" s="12">
        <v>14.63</v>
      </c>
      <c r="L1490" s="12">
        <v>23.74</v>
      </c>
      <c r="M1490" s="13">
        <v>5</v>
      </c>
      <c r="N1490" s="13">
        <f t="shared" si="184"/>
        <v>8.3687731481477385</v>
      </c>
      <c r="O1490" s="13">
        <f t="shared" si="185"/>
        <v>0</v>
      </c>
      <c r="P1490" t="str">
        <f t="shared" si="186"/>
        <v>On Time</v>
      </c>
      <c r="Q1490" s="13">
        <f t="shared" si="187"/>
        <v>18.349722222250421</v>
      </c>
      <c r="R1490" s="13">
        <f t="shared" si="188"/>
        <v>0.39927083333168412</v>
      </c>
      <c r="S1490" s="13">
        <f t="shared" si="189"/>
        <v>7.2049305555556202</v>
      </c>
      <c r="T1490" t="str">
        <f t="shared" si="190"/>
        <v>On Time/Early</v>
      </c>
      <c r="U1490" t="str">
        <f t="shared" si="191"/>
        <v>Normal</v>
      </c>
      <c r="V1490" t="s">
        <v>102</v>
      </c>
    </row>
    <row r="1491" spans="1:22">
      <c r="A1491" t="s">
        <v>2183</v>
      </c>
      <c r="B1491" s="10">
        <v>43223.429293981484</v>
      </c>
      <c r="C1491" s="10">
        <v>43223.456331018519</v>
      </c>
      <c r="D1491" s="10">
        <v>43223.559027777781</v>
      </c>
      <c r="E1491" s="10">
        <v>43236.585752314815</v>
      </c>
      <c r="F1491" s="10">
        <v>43256</v>
      </c>
      <c r="G1491" t="s">
        <v>134</v>
      </c>
      <c r="H1491" t="s">
        <v>2184</v>
      </c>
      <c r="I1491" t="s">
        <v>123</v>
      </c>
      <c r="J1491" s="11">
        <v>1</v>
      </c>
      <c r="K1491" s="12">
        <v>289</v>
      </c>
      <c r="L1491" s="12">
        <v>32.67</v>
      </c>
      <c r="M1491" s="13">
        <v>5</v>
      </c>
      <c r="N1491" s="13">
        <f t="shared" si="184"/>
        <v>13.156458333331102</v>
      </c>
      <c r="O1491" s="13">
        <f t="shared" si="185"/>
        <v>0</v>
      </c>
      <c r="P1491" t="str">
        <f t="shared" si="186"/>
        <v>On Time</v>
      </c>
      <c r="Q1491" s="13">
        <f t="shared" si="187"/>
        <v>0.64888888882705942</v>
      </c>
      <c r="R1491" s="13">
        <f t="shared" si="188"/>
        <v>0.10269675926247146</v>
      </c>
      <c r="S1491" s="13">
        <f t="shared" si="189"/>
        <v>13.02672453703417</v>
      </c>
      <c r="T1491" t="str">
        <f t="shared" si="190"/>
        <v>On Time/Early</v>
      </c>
      <c r="U1491" t="str">
        <f t="shared" si="191"/>
        <v>Normal</v>
      </c>
      <c r="V1491" t="s">
        <v>102</v>
      </c>
    </row>
    <row r="1492" spans="1:22">
      <c r="A1492" t="s">
        <v>2185</v>
      </c>
      <c r="B1492" s="10">
        <v>43223.565983796296</v>
      </c>
      <c r="C1492" s="10">
        <v>43223.578240740739</v>
      </c>
      <c r="D1492" s="10">
        <v>43227.521527777775</v>
      </c>
      <c r="E1492" s="10">
        <v>43241.526956018519</v>
      </c>
      <c r="F1492" s="10">
        <v>43264</v>
      </c>
      <c r="G1492" t="s">
        <v>192</v>
      </c>
      <c r="H1492" t="s">
        <v>2186</v>
      </c>
      <c r="I1492" t="s">
        <v>221</v>
      </c>
      <c r="J1492" s="11">
        <v>1</v>
      </c>
      <c r="K1492" s="12">
        <v>199</v>
      </c>
      <c r="L1492" s="12">
        <v>0</v>
      </c>
      <c r="M1492" s="13">
        <v>5</v>
      </c>
      <c r="N1492" s="13">
        <f t="shared" si="184"/>
        <v>17.960972222223063</v>
      </c>
      <c r="O1492" s="13">
        <f t="shared" si="185"/>
        <v>0</v>
      </c>
      <c r="P1492" t="str">
        <f t="shared" si="186"/>
        <v>On Time</v>
      </c>
      <c r="Q1492" s="13">
        <f t="shared" si="187"/>
        <v>0.29416666663018987</v>
      </c>
      <c r="R1492" s="13">
        <f t="shared" si="188"/>
        <v>3.9432870370364981</v>
      </c>
      <c r="S1492" s="13">
        <f t="shared" si="189"/>
        <v>14.00542824074364</v>
      </c>
      <c r="T1492" t="str">
        <f t="shared" si="190"/>
        <v>On Time/Early</v>
      </c>
      <c r="U1492" t="str">
        <f t="shared" si="191"/>
        <v>Normal</v>
      </c>
      <c r="V1492" t="s">
        <v>102</v>
      </c>
    </row>
    <row r="1493" spans="1:22">
      <c r="A1493" t="s">
        <v>2187</v>
      </c>
      <c r="B1493" s="10">
        <v>43223.583819444444</v>
      </c>
      <c r="C1493" s="10">
        <v>43223.593587962961</v>
      </c>
      <c r="D1493" s="10">
        <v>43224.37777777778</v>
      </c>
      <c r="E1493" s="10">
        <v>43225.627638888887</v>
      </c>
      <c r="F1493" s="10">
        <v>43235</v>
      </c>
      <c r="G1493" t="s">
        <v>8</v>
      </c>
      <c r="H1493" t="s">
        <v>1264</v>
      </c>
      <c r="I1493" t="s">
        <v>252</v>
      </c>
      <c r="J1493" s="11">
        <v>1</v>
      </c>
      <c r="K1493" s="12">
        <v>19.899999999999999</v>
      </c>
      <c r="L1493" s="12">
        <v>8.82</v>
      </c>
      <c r="M1493" s="13">
        <v>5</v>
      </c>
      <c r="N1493" s="13">
        <f t="shared" si="184"/>
        <v>2.0438194444432156</v>
      </c>
      <c r="O1493" s="13">
        <f t="shared" si="185"/>
        <v>0</v>
      </c>
      <c r="P1493" t="str">
        <f t="shared" si="186"/>
        <v>On Time</v>
      </c>
      <c r="Q1493" s="13">
        <f t="shared" si="187"/>
        <v>0.23444444441702217</v>
      </c>
      <c r="R1493" s="13">
        <f t="shared" si="188"/>
        <v>0.78418981481809169</v>
      </c>
      <c r="S1493" s="13">
        <f t="shared" si="189"/>
        <v>1.249861111107748</v>
      </c>
      <c r="T1493" t="str">
        <f t="shared" si="190"/>
        <v>On Time/Early</v>
      </c>
      <c r="U1493" t="str">
        <f t="shared" si="191"/>
        <v>Normal</v>
      </c>
      <c r="V1493" t="s">
        <v>102</v>
      </c>
    </row>
    <row r="1494" spans="1:22">
      <c r="A1494" t="s">
        <v>2188</v>
      </c>
      <c r="B1494" s="10">
        <v>43223.638437499998</v>
      </c>
      <c r="C1494" s="10">
        <v>43223.649409722224</v>
      </c>
      <c r="D1494" s="10">
        <v>43235.318749999999</v>
      </c>
      <c r="E1494" s="10">
        <v>43243.682546296295</v>
      </c>
      <c r="F1494" s="10">
        <v>43257</v>
      </c>
      <c r="G1494" t="s">
        <v>747</v>
      </c>
      <c r="H1494" t="s">
        <v>748</v>
      </c>
      <c r="I1494" t="s">
        <v>37</v>
      </c>
      <c r="J1494" s="11">
        <v>1</v>
      </c>
      <c r="K1494" s="12">
        <v>159.94</v>
      </c>
      <c r="L1494" s="12">
        <v>58.7</v>
      </c>
      <c r="M1494" s="13">
        <v>5</v>
      </c>
      <c r="N1494" s="13">
        <f t="shared" si="184"/>
        <v>20.044108796297223</v>
      </c>
      <c r="O1494" s="13">
        <f t="shared" si="185"/>
        <v>0</v>
      </c>
      <c r="P1494" t="str">
        <f t="shared" si="186"/>
        <v>On Time</v>
      </c>
      <c r="Q1494" s="13">
        <f t="shared" si="187"/>
        <v>0.26333333342336118</v>
      </c>
      <c r="R1494" s="13">
        <f t="shared" si="188"/>
        <v>11.669340277774609</v>
      </c>
      <c r="S1494" s="13">
        <f t="shared" si="189"/>
        <v>8.3637962962966412</v>
      </c>
      <c r="T1494" t="str">
        <f t="shared" si="190"/>
        <v>On Time/Early</v>
      </c>
      <c r="U1494" t="str">
        <f t="shared" si="191"/>
        <v>Normal</v>
      </c>
      <c r="V1494" t="s">
        <v>102</v>
      </c>
    </row>
    <row r="1495" spans="1:22">
      <c r="A1495" t="s">
        <v>2189</v>
      </c>
      <c r="B1495" s="10">
        <v>43223.736134259256</v>
      </c>
      <c r="C1495" s="10">
        <v>43223.760358796295</v>
      </c>
      <c r="D1495" s="10">
        <v>43224.669444444444</v>
      </c>
      <c r="E1495" s="10">
        <v>43248.752384259256</v>
      </c>
      <c r="F1495" s="10">
        <v>43257</v>
      </c>
      <c r="G1495" t="s">
        <v>30</v>
      </c>
      <c r="H1495" t="s">
        <v>365</v>
      </c>
      <c r="I1495" t="s">
        <v>180</v>
      </c>
      <c r="J1495" s="11">
        <v>1</v>
      </c>
      <c r="K1495" s="12">
        <v>109.9</v>
      </c>
      <c r="L1495" s="12">
        <v>23.35</v>
      </c>
      <c r="M1495" s="13">
        <v>3</v>
      </c>
      <c r="N1495" s="13">
        <f t="shared" si="184"/>
        <v>25.016250000000582</v>
      </c>
      <c r="O1495" s="13">
        <f t="shared" si="185"/>
        <v>0</v>
      </c>
      <c r="P1495" t="str">
        <f t="shared" si="186"/>
        <v>On Time</v>
      </c>
      <c r="Q1495" s="13">
        <f t="shared" si="187"/>
        <v>0.58138888893881813</v>
      </c>
      <c r="R1495" s="13">
        <f t="shared" si="188"/>
        <v>0.90908564814890269</v>
      </c>
      <c r="S1495" s="13">
        <f t="shared" si="189"/>
        <v>24.082939814812562</v>
      </c>
      <c r="T1495" t="str">
        <f t="shared" si="190"/>
        <v>On Time/Early</v>
      </c>
      <c r="U1495" t="str">
        <f t="shared" si="191"/>
        <v>Normal</v>
      </c>
      <c r="V1495" t="s">
        <v>102</v>
      </c>
    </row>
    <row r="1496" spans="1:22">
      <c r="A1496" t="s">
        <v>2190</v>
      </c>
      <c r="B1496" s="10">
        <v>43223.873310185183</v>
      </c>
      <c r="C1496" s="10">
        <v>43223.882986111108</v>
      </c>
      <c r="D1496" s="10">
        <v>43224.445833333331</v>
      </c>
      <c r="E1496" s="10">
        <v>43231.866331018522</v>
      </c>
      <c r="F1496" s="10">
        <v>43237</v>
      </c>
      <c r="G1496" t="s">
        <v>8</v>
      </c>
      <c r="H1496" t="s">
        <v>108</v>
      </c>
      <c r="I1496" t="s">
        <v>141</v>
      </c>
      <c r="J1496" s="11">
        <v>2</v>
      </c>
      <c r="K1496" s="12">
        <v>33.799999999999997</v>
      </c>
      <c r="L1496" s="12">
        <v>15.42</v>
      </c>
      <c r="M1496" s="13">
        <v>5</v>
      </c>
      <c r="N1496" s="13">
        <f t="shared" si="184"/>
        <v>7.9930208333389601</v>
      </c>
      <c r="O1496" s="13">
        <f t="shared" si="185"/>
        <v>0</v>
      </c>
      <c r="P1496" t="str">
        <f t="shared" si="186"/>
        <v>On Time</v>
      </c>
      <c r="Q1496" s="13">
        <f t="shared" si="187"/>
        <v>0.23222222219919786</v>
      </c>
      <c r="R1496" s="13">
        <f t="shared" si="188"/>
        <v>0.56284722222335404</v>
      </c>
      <c r="S1496" s="13">
        <f t="shared" si="189"/>
        <v>7.4204976851906395</v>
      </c>
      <c r="T1496" t="str">
        <f t="shared" si="190"/>
        <v>On Time/Early</v>
      </c>
      <c r="U1496" t="str">
        <f t="shared" si="191"/>
        <v>Normal</v>
      </c>
      <c r="V1496" t="s">
        <v>102</v>
      </c>
    </row>
    <row r="1497" spans="1:22">
      <c r="A1497" t="s">
        <v>2191</v>
      </c>
      <c r="B1497" s="10">
        <v>43224.320497685185</v>
      </c>
      <c r="C1497" s="10">
        <v>43224.327696759261</v>
      </c>
      <c r="D1497" s="10">
        <v>43224.426388888889</v>
      </c>
      <c r="E1497" s="10">
        <v>43253.614965277775</v>
      </c>
      <c r="F1497" s="10">
        <v>43245</v>
      </c>
      <c r="G1497" t="s">
        <v>277</v>
      </c>
      <c r="H1497" t="s">
        <v>335</v>
      </c>
      <c r="I1497" t="s">
        <v>112</v>
      </c>
      <c r="J1497" s="11">
        <v>1</v>
      </c>
      <c r="K1497" s="12">
        <v>199.99</v>
      </c>
      <c r="L1497" s="12">
        <v>27.95</v>
      </c>
      <c r="M1497" s="13">
        <v>4</v>
      </c>
      <c r="N1497" s="13">
        <f t="shared" si="184"/>
        <v>29.294467592590081</v>
      </c>
      <c r="O1497" s="13">
        <f t="shared" si="185"/>
        <v>8.6149652777748997</v>
      </c>
      <c r="P1497" t="str">
        <f t="shared" si="186"/>
        <v>Delayed</v>
      </c>
      <c r="Q1497" s="13">
        <f t="shared" si="187"/>
        <v>0.17277777782874182</v>
      </c>
      <c r="R1497" s="13">
        <f t="shared" si="188"/>
        <v>9.8692129628034309E-2</v>
      </c>
      <c r="S1497" s="13">
        <f t="shared" si="189"/>
        <v>29.188576388885849</v>
      </c>
      <c r="T1497" t="str">
        <f t="shared" si="190"/>
        <v>8+ Days Late</v>
      </c>
      <c r="U1497" t="str">
        <f t="shared" si="191"/>
        <v>Needs Review</v>
      </c>
      <c r="V1497" t="s">
        <v>102</v>
      </c>
    </row>
    <row r="1498" spans="1:22">
      <c r="A1498" t="s">
        <v>2192</v>
      </c>
      <c r="B1498" s="10">
        <v>43224.421087962961</v>
      </c>
      <c r="C1498" s="10">
        <v>43224.427233796298</v>
      </c>
      <c r="D1498" s="10">
        <v>43228.496527777781</v>
      </c>
      <c r="E1498" s="10">
        <v>43235.888321759259</v>
      </c>
      <c r="F1498" s="10">
        <v>43248</v>
      </c>
      <c r="G1498" t="s">
        <v>8</v>
      </c>
      <c r="H1498" t="s">
        <v>140</v>
      </c>
      <c r="I1498" t="s">
        <v>58</v>
      </c>
      <c r="J1498" s="11">
        <v>1</v>
      </c>
      <c r="K1498" s="12">
        <v>99</v>
      </c>
      <c r="L1498" s="12">
        <v>9.67</v>
      </c>
      <c r="M1498" s="13">
        <v>5</v>
      </c>
      <c r="N1498" s="13">
        <f t="shared" si="184"/>
        <v>11.467233796298387</v>
      </c>
      <c r="O1498" s="13">
        <f t="shared" si="185"/>
        <v>0</v>
      </c>
      <c r="P1498" t="str">
        <f t="shared" si="186"/>
        <v>On Time</v>
      </c>
      <c r="Q1498" s="13">
        <f t="shared" si="187"/>
        <v>0.14750000007916242</v>
      </c>
      <c r="R1498" s="13">
        <f t="shared" si="188"/>
        <v>4.0692939814834972</v>
      </c>
      <c r="S1498" s="13">
        <f t="shared" si="189"/>
        <v>7.3917939814782585</v>
      </c>
      <c r="T1498" t="str">
        <f t="shared" si="190"/>
        <v>On Time/Early</v>
      </c>
      <c r="U1498" t="str">
        <f t="shared" si="191"/>
        <v>Normal</v>
      </c>
      <c r="V1498" t="s">
        <v>102</v>
      </c>
    </row>
    <row r="1499" spans="1:22">
      <c r="A1499" t="s">
        <v>2193</v>
      </c>
      <c r="B1499" s="10">
        <v>43224.624675925923</v>
      </c>
      <c r="C1499" s="10">
        <v>43225.621666666666</v>
      </c>
      <c r="D1499" s="10">
        <v>43230.693749999999</v>
      </c>
      <c r="E1499" s="10">
        <v>43241.716608796298</v>
      </c>
      <c r="F1499" s="10">
        <v>43243</v>
      </c>
      <c r="G1499" t="s">
        <v>20</v>
      </c>
      <c r="H1499" t="s">
        <v>104</v>
      </c>
      <c r="I1499" t="s">
        <v>180</v>
      </c>
      <c r="J1499" s="11">
        <v>1</v>
      </c>
      <c r="K1499" s="12">
        <v>94.5</v>
      </c>
      <c r="L1499" s="12">
        <v>23.24</v>
      </c>
      <c r="M1499" s="13">
        <v>4</v>
      </c>
      <c r="N1499" s="13">
        <f t="shared" si="184"/>
        <v>17.091932870374876</v>
      </c>
      <c r="O1499" s="13">
        <f t="shared" si="185"/>
        <v>0</v>
      </c>
      <c r="P1499" t="str">
        <f t="shared" si="186"/>
        <v>On Time</v>
      </c>
      <c r="Q1499" s="13">
        <f t="shared" si="187"/>
        <v>23.927777777833398</v>
      </c>
      <c r="R1499" s="13">
        <f t="shared" si="188"/>
        <v>5.0720833333325572</v>
      </c>
      <c r="S1499" s="13">
        <f t="shared" si="189"/>
        <v>11.022858796299261</v>
      </c>
      <c r="T1499" t="str">
        <f t="shared" si="190"/>
        <v>On Time/Early</v>
      </c>
      <c r="U1499" t="str">
        <f t="shared" si="191"/>
        <v>Normal</v>
      </c>
      <c r="V1499" t="s">
        <v>102</v>
      </c>
    </row>
    <row r="1500" spans="1:22">
      <c r="A1500" t="s">
        <v>2194</v>
      </c>
      <c r="B1500" s="10">
        <v>43224.7812962963</v>
      </c>
      <c r="C1500" s="10">
        <v>43224.798622685186</v>
      </c>
      <c r="D1500" s="10">
        <v>43227.627083333333</v>
      </c>
      <c r="E1500" s="10">
        <v>43228.731145833335</v>
      </c>
      <c r="F1500" s="10">
        <v>43237</v>
      </c>
      <c r="G1500" t="s">
        <v>8</v>
      </c>
      <c r="H1500" t="s">
        <v>140</v>
      </c>
      <c r="I1500" t="s">
        <v>112</v>
      </c>
      <c r="J1500" s="11">
        <v>1</v>
      </c>
      <c r="K1500" s="12">
        <v>139</v>
      </c>
      <c r="L1500" s="12">
        <v>9.33</v>
      </c>
      <c r="M1500" s="13">
        <v>5</v>
      </c>
      <c r="N1500" s="13">
        <f t="shared" si="184"/>
        <v>3.9498495370353339</v>
      </c>
      <c r="O1500" s="13">
        <f t="shared" si="185"/>
        <v>0</v>
      </c>
      <c r="P1500" t="str">
        <f t="shared" si="186"/>
        <v>On Time</v>
      </c>
      <c r="Q1500" s="13">
        <f t="shared" si="187"/>
        <v>0.41583333327434957</v>
      </c>
      <c r="R1500" s="13">
        <f t="shared" si="188"/>
        <v>2.8284606481465744</v>
      </c>
      <c r="S1500" s="13">
        <f t="shared" si="189"/>
        <v>1.1040625000023283</v>
      </c>
      <c r="T1500" t="str">
        <f t="shared" si="190"/>
        <v>On Time/Early</v>
      </c>
      <c r="U1500" t="str">
        <f t="shared" si="191"/>
        <v>Normal</v>
      </c>
      <c r="V1500" t="s">
        <v>102</v>
      </c>
    </row>
    <row r="1501" spans="1:22">
      <c r="A1501" t="s">
        <v>2195</v>
      </c>
      <c r="B1501" s="10">
        <v>43224.834756944445</v>
      </c>
      <c r="C1501" s="10">
        <v>43224.843993055554</v>
      </c>
      <c r="D1501" s="10">
        <v>43229.658333333333</v>
      </c>
      <c r="E1501" s="10">
        <v>43234.395185185182</v>
      </c>
      <c r="F1501" s="10">
        <v>43252</v>
      </c>
      <c r="G1501" t="s">
        <v>16</v>
      </c>
      <c r="H1501" t="s">
        <v>2086</v>
      </c>
      <c r="I1501" t="s">
        <v>221</v>
      </c>
      <c r="J1501" s="11">
        <v>2</v>
      </c>
      <c r="K1501" s="12">
        <v>199.8</v>
      </c>
      <c r="L1501" s="12">
        <v>0</v>
      </c>
      <c r="M1501" s="13">
        <v>5</v>
      </c>
      <c r="N1501" s="13">
        <f t="shared" si="184"/>
        <v>9.5604282407366554</v>
      </c>
      <c r="O1501" s="13">
        <f t="shared" si="185"/>
        <v>0</v>
      </c>
      <c r="P1501" t="str">
        <f t="shared" si="186"/>
        <v>On Time</v>
      </c>
      <c r="Q1501" s="13">
        <f t="shared" si="187"/>
        <v>0.22166666662087664</v>
      </c>
      <c r="R1501" s="13">
        <f t="shared" si="188"/>
        <v>4.8143402777786832</v>
      </c>
      <c r="S1501" s="13">
        <f t="shared" si="189"/>
        <v>4.736851851848769</v>
      </c>
      <c r="T1501" t="str">
        <f t="shared" si="190"/>
        <v>On Time/Early</v>
      </c>
      <c r="U1501" t="str">
        <f t="shared" si="191"/>
        <v>Normal</v>
      </c>
      <c r="V1501" t="s">
        <v>102</v>
      </c>
    </row>
    <row r="1502" spans="1:22">
      <c r="A1502" t="s">
        <v>2196</v>
      </c>
      <c r="B1502" s="10">
        <v>43225.96565972222</v>
      </c>
      <c r="C1502" s="10">
        <v>43225.981446759259</v>
      </c>
      <c r="D1502" s="10">
        <v>43227.625</v>
      </c>
      <c r="E1502" s="10">
        <v>43229.72079861111</v>
      </c>
      <c r="F1502" s="10">
        <v>43241</v>
      </c>
      <c r="G1502" t="s">
        <v>8</v>
      </c>
      <c r="H1502" t="s">
        <v>2197</v>
      </c>
      <c r="I1502" t="s">
        <v>180</v>
      </c>
      <c r="J1502" s="11">
        <v>1</v>
      </c>
      <c r="K1502" s="12">
        <v>142.9</v>
      </c>
      <c r="L1502" s="12">
        <v>10.06</v>
      </c>
      <c r="M1502" s="13">
        <v>4</v>
      </c>
      <c r="N1502" s="13">
        <f t="shared" si="184"/>
        <v>3.7551388888896327</v>
      </c>
      <c r="O1502" s="13">
        <f t="shared" si="185"/>
        <v>0</v>
      </c>
      <c r="P1502" t="str">
        <f t="shared" si="186"/>
        <v>On Time</v>
      </c>
      <c r="Q1502" s="13">
        <f t="shared" si="187"/>
        <v>0.37888888892484829</v>
      </c>
      <c r="R1502" s="13">
        <f t="shared" si="188"/>
        <v>1.643553240741312</v>
      </c>
      <c r="S1502" s="13">
        <f t="shared" si="189"/>
        <v>2.0957986111097853</v>
      </c>
      <c r="T1502" t="str">
        <f t="shared" si="190"/>
        <v>On Time/Early</v>
      </c>
      <c r="U1502" t="str">
        <f t="shared" si="191"/>
        <v>Normal</v>
      </c>
      <c r="V1502" t="s">
        <v>102</v>
      </c>
    </row>
    <row r="1503" spans="1:22">
      <c r="A1503" t="s">
        <v>2198</v>
      </c>
      <c r="B1503" s="10">
        <v>43225.98201388889</v>
      </c>
      <c r="C1503" s="10">
        <v>43225.993333333332</v>
      </c>
      <c r="D1503" s="10">
        <v>43227.59097222222</v>
      </c>
      <c r="E1503" s="10">
        <v>43234.860243055555</v>
      </c>
      <c r="F1503" s="10">
        <v>43244</v>
      </c>
      <c r="G1503" t="s">
        <v>8</v>
      </c>
      <c r="H1503" t="s">
        <v>2032</v>
      </c>
      <c r="I1503" t="s">
        <v>221</v>
      </c>
      <c r="J1503" s="11">
        <v>1</v>
      </c>
      <c r="K1503" s="12">
        <v>299</v>
      </c>
      <c r="L1503" s="12">
        <v>19.97</v>
      </c>
      <c r="M1503" s="13">
        <v>4</v>
      </c>
      <c r="N1503" s="13">
        <f t="shared" si="184"/>
        <v>8.8782291666648234</v>
      </c>
      <c r="O1503" s="13">
        <f t="shared" si="185"/>
        <v>0</v>
      </c>
      <c r="P1503" t="str">
        <f t="shared" si="186"/>
        <v>On Time</v>
      </c>
      <c r="Q1503" s="13">
        <f t="shared" si="187"/>
        <v>0.27166666660923511</v>
      </c>
      <c r="R1503" s="13">
        <f t="shared" si="188"/>
        <v>1.5976388888884685</v>
      </c>
      <c r="S1503" s="13">
        <f t="shared" si="189"/>
        <v>7.2692708333343035</v>
      </c>
      <c r="T1503" t="str">
        <f t="shared" si="190"/>
        <v>On Time/Early</v>
      </c>
      <c r="U1503" t="str">
        <f t="shared" si="191"/>
        <v>Normal</v>
      </c>
      <c r="V1503" t="s">
        <v>102</v>
      </c>
    </row>
    <row r="1504" spans="1:22">
      <c r="A1504" t="s">
        <v>2199</v>
      </c>
      <c r="B1504" s="10">
        <v>43226.419652777775</v>
      </c>
      <c r="C1504" s="10">
        <v>43228.161527777775</v>
      </c>
      <c r="D1504" s="10">
        <v>43234.502083333333</v>
      </c>
      <c r="E1504" s="10">
        <v>43235.725601851853</v>
      </c>
      <c r="F1504" s="10">
        <v>43238</v>
      </c>
      <c r="G1504" t="s">
        <v>8</v>
      </c>
      <c r="H1504" t="s">
        <v>140</v>
      </c>
      <c r="I1504" t="s">
        <v>118</v>
      </c>
      <c r="J1504" s="11">
        <v>1</v>
      </c>
      <c r="K1504" s="12">
        <v>24.77</v>
      </c>
      <c r="L1504" s="12">
        <v>7.39</v>
      </c>
      <c r="M1504" s="13">
        <v>5</v>
      </c>
      <c r="N1504" s="13">
        <f t="shared" si="184"/>
        <v>9.3059490740779438</v>
      </c>
      <c r="O1504" s="13">
        <f t="shared" si="185"/>
        <v>0</v>
      </c>
      <c r="P1504" t="str">
        <f t="shared" si="186"/>
        <v>On Time</v>
      </c>
      <c r="Q1504" s="13">
        <f t="shared" si="187"/>
        <v>41.804999999993015</v>
      </c>
      <c r="R1504" s="13">
        <f t="shared" si="188"/>
        <v>6.3405555555582396</v>
      </c>
      <c r="S1504" s="13">
        <f t="shared" si="189"/>
        <v>1.2235185185199953</v>
      </c>
      <c r="T1504" t="str">
        <f t="shared" si="190"/>
        <v>On Time/Early</v>
      </c>
      <c r="U1504" t="str">
        <f t="shared" si="191"/>
        <v>Normal</v>
      </c>
      <c r="V1504" t="s">
        <v>102</v>
      </c>
    </row>
    <row r="1505" spans="1:22">
      <c r="A1505" t="s">
        <v>2200</v>
      </c>
      <c r="B1505" s="10">
        <v>43226.440787037034</v>
      </c>
      <c r="C1505" s="10">
        <v>43226.453506944446</v>
      </c>
      <c r="D1505" s="10">
        <v>43227.520138888889</v>
      </c>
      <c r="E1505" s="10">
        <v>43228.933680555558</v>
      </c>
      <c r="F1505" s="10">
        <v>43241</v>
      </c>
      <c r="G1505" t="s">
        <v>8</v>
      </c>
      <c r="H1505" t="s">
        <v>588</v>
      </c>
      <c r="I1505" t="s">
        <v>185</v>
      </c>
      <c r="J1505" s="11">
        <v>1</v>
      </c>
      <c r="K1505" s="12">
        <v>27.99</v>
      </c>
      <c r="L1505" s="12">
        <v>7.39</v>
      </c>
      <c r="M1505" s="13">
        <v>5</v>
      </c>
      <c r="N1505" s="13">
        <f t="shared" si="184"/>
        <v>2.4928935185234877</v>
      </c>
      <c r="O1505" s="13">
        <f t="shared" si="185"/>
        <v>0</v>
      </c>
      <c r="P1505" t="str">
        <f t="shared" si="186"/>
        <v>On Time</v>
      </c>
      <c r="Q1505" s="13">
        <f t="shared" si="187"/>
        <v>0.3052777778939344</v>
      </c>
      <c r="R1505" s="13">
        <f t="shared" si="188"/>
        <v>1.0666319444426335</v>
      </c>
      <c r="S1505" s="13">
        <f t="shared" si="189"/>
        <v>1.4135416666686069</v>
      </c>
      <c r="T1505" t="str">
        <f t="shared" si="190"/>
        <v>On Time/Early</v>
      </c>
      <c r="U1505" t="str">
        <f t="shared" si="191"/>
        <v>Normal</v>
      </c>
      <c r="V1505" t="s">
        <v>102</v>
      </c>
    </row>
    <row r="1506" spans="1:22">
      <c r="A1506" t="s">
        <v>2201</v>
      </c>
      <c r="B1506" s="10">
        <v>43226.485115740739</v>
      </c>
      <c r="C1506" s="10">
        <v>43226.493391203701</v>
      </c>
      <c r="D1506" s="10">
        <v>43229.681944444441</v>
      </c>
      <c r="E1506" s="10">
        <v>43235.970625000002</v>
      </c>
      <c r="F1506" s="10">
        <v>43250</v>
      </c>
      <c r="G1506" t="s">
        <v>16</v>
      </c>
      <c r="H1506" t="s">
        <v>559</v>
      </c>
      <c r="I1506" t="s">
        <v>221</v>
      </c>
      <c r="J1506" s="11">
        <v>1</v>
      </c>
      <c r="K1506" s="12">
        <v>223</v>
      </c>
      <c r="L1506" s="12">
        <v>19.440000000000001</v>
      </c>
      <c r="M1506" s="13">
        <v>5</v>
      </c>
      <c r="N1506" s="13">
        <f t="shared" si="184"/>
        <v>9.4855092592624715</v>
      </c>
      <c r="O1506" s="13">
        <f t="shared" si="185"/>
        <v>0</v>
      </c>
      <c r="P1506" t="str">
        <f t="shared" si="186"/>
        <v>On Time</v>
      </c>
      <c r="Q1506" s="13">
        <f t="shared" si="187"/>
        <v>0.19861111108912155</v>
      </c>
      <c r="R1506" s="13">
        <f t="shared" si="188"/>
        <v>3.1885532407395658</v>
      </c>
      <c r="S1506" s="13">
        <f t="shared" si="189"/>
        <v>6.2886805555608589</v>
      </c>
      <c r="T1506" t="str">
        <f t="shared" si="190"/>
        <v>On Time/Early</v>
      </c>
      <c r="U1506" t="str">
        <f t="shared" si="191"/>
        <v>Normal</v>
      </c>
      <c r="V1506" t="s">
        <v>102</v>
      </c>
    </row>
    <row r="1507" spans="1:22">
      <c r="A1507" t="s">
        <v>2202</v>
      </c>
      <c r="B1507" s="10">
        <v>43226.762430555558</v>
      </c>
      <c r="C1507" s="10">
        <v>43228.855567129627</v>
      </c>
      <c r="D1507" s="10">
        <v>43229.465277777781</v>
      </c>
      <c r="E1507" s="10">
        <v>43236.907256944447</v>
      </c>
      <c r="F1507" s="10">
        <v>43248</v>
      </c>
      <c r="G1507" t="s">
        <v>164</v>
      </c>
      <c r="H1507" t="s">
        <v>986</v>
      </c>
      <c r="I1507" t="s">
        <v>177</v>
      </c>
      <c r="J1507" s="11">
        <v>1</v>
      </c>
      <c r="K1507" s="12">
        <v>649.9</v>
      </c>
      <c r="L1507" s="12">
        <v>23.52</v>
      </c>
      <c r="M1507" s="13">
        <v>5</v>
      </c>
      <c r="N1507" s="13">
        <f t="shared" si="184"/>
        <v>10.14482638888876</v>
      </c>
      <c r="O1507" s="13">
        <f t="shared" si="185"/>
        <v>0</v>
      </c>
      <c r="P1507" t="str">
        <f t="shared" si="186"/>
        <v>On Time</v>
      </c>
      <c r="Q1507" s="13">
        <f t="shared" si="187"/>
        <v>50.235277777654119</v>
      </c>
      <c r="R1507" s="13">
        <f t="shared" si="188"/>
        <v>0.60971064815385034</v>
      </c>
      <c r="S1507" s="13">
        <f t="shared" si="189"/>
        <v>7.4419791666659876</v>
      </c>
      <c r="T1507" t="str">
        <f t="shared" si="190"/>
        <v>On Time/Early</v>
      </c>
      <c r="U1507" t="str">
        <f t="shared" si="191"/>
        <v>Normal</v>
      </c>
      <c r="V1507" t="s">
        <v>102</v>
      </c>
    </row>
    <row r="1508" spans="1:22">
      <c r="A1508" t="s">
        <v>2203</v>
      </c>
      <c r="B1508" s="10">
        <v>43227.022430555553</v>
      </c>
      <c r="C1508" s="10">
        <v>43228.828564814816</v>
      </c>
      <c r="D1508" s="10">
        <v>43229.472222222219</v>
      </c>
      <c r="E1508" s="10">
        <v>43238.938564814816</v>
      </c>
      <c r="F1508" s="10">
        <v>43265</v>
      </c>
      <c r="G1508" t="s">
        <v>16</v>
      </c>
      <c r="H1508" t="s">
        <v>138</v>
      </c>
      <c r="I1508" t="s">
        <v>221</v>
      </c>
      <c r="J1508" s="11">
        <v>1</v>
      </c>
      <c r="K1508" s="12">
        <v>29</v>
      </c>
      <c r="L1508" s="12">
        <v>15.23</v>
      </c>
      <c r="M1508" s="13">
        <v>5</v>
      </c>
      <c r="N1508" s="13">
        <f t="shared" si="184"/>
        <v>11.916134259263345</v>
      </c>
      <c r="O1508" s="13">
        <f t="shared" si="185"/>
        <v>0</v>
      </c>
      <c r="P1508" t="str">
        <f t="shared" si="186"/>
        <v>On Time</v>
      </c>
      <c r="Q1508" s="13">
        <f t="shared" si="187"/>
        <v>43.3472222223063</v>
      </c>
      <c r="R1508" s="13">
        <f t="shared" si="188"/>
        <v>0.64365740740322508</v>
      </c>
      <c r="S1508" s="13">
        <f t="shared" si="189"/>
        <v>9.466342592597357</v>
      </c>
      <c r="T1508" t="str">
        <f t="shared" si="190"/>
        <v>On Time/Early</v>
      </c>
      <c r="U1508" t="str">
        <f t="shared" si="191"/>
        <v>Normal</v>
      </c>
      <c r="V1508" t="s">
        <v>102</v>
      </c>
    </row>
    <row r="1509" spans="1:22">
      <c r="A1509" t="s">
        <v>2204</v>
      </c>
      <c r="B1509" s="10">
        <v>43227.577141203707</v>
      </c>
      <c r="C1509" s="10">
        <v>43228.204699074071</v>
      </c>
      <c r="D1509" s="10">
        <v>43230.769444444442</v>
      </c>
      <c r="E1509" s="10">
        <v>43260.379652777781</v>
      </c>
      <c r="F1509" s="10">
        <v>43245</v>
      </c>
      <c r="G1509" t="s">
        <v>8</v>
      </c>
      <c r="H1509" t="s">
        <v>140</v>
      </c>
      <c r="I1509" t="s">
        <v>221</v>
      </c>
      <c r="J1509" s="11">
        <v>1</v>
      </c>
      <c r="K1509" s="12">
        <v>118</v>
      </c>
      <c r="L1509" s="12">
        <v>13.27</v>
      </c>
      <c r="M1509" s="13">
        <v>1</v>
      </c>
      <c r="N1509" s="13">
        <f t="shared" si="184"/>
        <v>32.802511574074742</v>
      </c>
      <c r="O1509" s="13">
        <f t="shared" si="185"/>
        <v>15.379652777781303</v>
      </c>
      <c r="P1509" t="str">
        <f t="shared" si="186"/>
        <v>Delayed</v>
      </c>
      <c r="Q1509" s="13">
        <f t="shared" si="187"/>
        <v>15.061388888745569</v>
      </c>
      <c r="R1509" s="13">
        <f t="shared" si="188"/>
        <v>2.5647453703713836</v>
      </c>
      <c r="S1509" s="13">
        <f t="shared" si="189"/>
        <v>29.61020833333896</v>
      </c>
      <c r="T1509" t="str">
        <f t="shared" si="190"/>
        <v>8+ Days Late</v>
      </c>
      <c r="U1509" t="str">
        <f t="shared" si="191"/>
        <v>Needs Review</v>
      </c>
      <c r="V1509" t="s">
        <v>102</v>
      </c>
    </row>
    <row r="1510" spans="1:22">
      <c r="A1510" t="s">
        <v>2205</v>
      </c>
      <c r="B1510" s="10">
        <v>43227.766539351855</v>
      </c>
      <c r="C1510" s="10">
        <v>43227.774606481478</v>
      </c>
      <c r="D1510" s="10">
        <v>43230.709722222222</v>
      </c>
      <c r="E1510" s="10">
        <v>43236.592430555553</v>
      </c>
      <c r="F1510" s="10">
        <v>43249</v>
      </c>
      <c r="G1510" t="s">
        <v>320</v>
      </c>
      <c r="H1510" t="s">
        <v>321</v>
      </c>
      <c r="I1510" t="s">
        <v>384</v>
      </c>
      <c r="J1510" s="11">
        <v>1</v>
      </c>
      <c r="K1510" s="12">
        <v>157.9</v>
      </c>
      <c r="L1510" s="12">
        <v>23.69</v>
      </c>
      <c r="M1510" s="13">
        <v>5</v>
      </c>
      <c r="N1510" s="13">
        <f t="shared" si="184"/>
        <v>8.8258912036981201</v>
      </c>
      <c r="O1510" s="13">
        <f t="shared" si="185"/>
        <v>0</v>
      </c>
      <c r="P1510" t="str">
        <f t="shared" si="186"/>
        <v>On Time</v>
      </c>
      <c r="Q1510" s="13">
        <f t="shared" si="187"/>
        <v>0.19361111096804962</v>
      </c>
      <c r="R1510" s="13">
        <f t="shared" si="188"/>
        <v>2.9351157407436403</v>
      </c>
      <c r="S1510" s="13">
        <f t="shared" si="189"/>
        <v>5.882708333330811</v>
      </c>
      <c r="T1510" t="str">
        <f t="shared" si="190"/>
        <v>On Time/Early</v>
      </c>
      <c r="U1510" t="str">
        <f t="shared" si="191"/>
        <v>Normal</v>
      </c>
      <c r="V1510" t="s">
        <v>102</v>
      </c>
    </row>
    <row r="1511" spans="1:22">
      <c r="A1511" t="s">
        <v>2206</v>
      </c>
      <c r="B1511" s="10">
        <v>43227.789861111109</v>
      </c>
      <c r="C1511" s="10">
        <v>43229.744942129626</v>
      </c>
      <c r="D1511" s="10">
        <v>43234.54583333333</v>
      </c>
      <c r="E1511" s="10">
        <v>43262.514791666668</v>
      </c>
      <c r="F1511" s="10">
        <v>43258</v>
      </c>
      <c r="G1511" t="s">
        <v>23</v>
      </c>
      <c r="H1511" t="s">
        <v>2207</v>
      </c>
      <c r="I1511" t="s">
        <v>185</v>
      </c>
      <c r="J1511" s="11">
        <v>1</v>
      </c>
      <c r="K1511" s="12">
        <v>129.9</v>
      </c>
      <c r="L1511" s="12">
        <v>62.71</v>
      </c>
      <c r="M1511" s="13">
        <v>4</v>
      </c>
      <c r="N1511" s="13">
        <f t="shared" si="184"/>
        <v>34.724930555559695</v>
      </c>
      <c r="O1511" s="13">
        <f t="shared" si="185"/>
        <v>4.5147916666683159</v>
      </c>
      <c r="P1511" t="str">
        <f t="shared" si="186"/>
        <v>Delayed</v>
      </c>
      <c r="Q1511" s="13">
        <f t="shared" si="187"/>
        <v>46.921944444417022</v>
      </c>
      <c r="R1511" s="13">
        <f t="shared" si="188"/>
        <v>4.8008912037039408</v>
      </c>
      <c r="S1511" s="13">
        <f t="shared" si="189"/>
        <v>27.968958333338378</v>
      </c>
      <c r="T1511" t="str">
        <f t="shared" si="190"/>
        <v>4-7 Days Late</v>
      </c>
      <c r="U1511" t="str">
        <f t="shared" si="191"/>
        <v>Needs Review</v>
      </c>
      <c r="V1511" t="s">
        <v>102</v>
      </c>
    </row>
    <row r="1512" spans="1:22">
      <c r="A1512" t="s">
        <v>2208</v>
      </c>
      <c r="B1512" s="10">
        <v>43227.90425925926</v>
      </c>
      <c r="C1512" s="10">
        <v>43227.913414351853</v>
      </c>
      <c r="D1512" s="10">
        <v>43228.647222222222</v>
      </c>
      <c r="E1512" s="10">
        <v>43234.89340277778</v>
      </c>
      <c r="F1512" s="10">
        <v>43249</v>
      </c>
      <c r="G1512" t="s">
        <v>43</v>
      </c>
      <c r="H1512" t="s">
        <v>241</v>
      </c>
      <c r="I1512" t="s">
        <v>136</v>
      </c>
      <c r="J1512" s="11">
        <v>1</v>
      </c>
      <c r="K1512" s="12">
        <v>229.99</v>
      </c>
      <c r="L1512" s="12">
        <v>24.15</v>
      </c>
      <c r="M1512" s="13">
        <v>5</v>
      </c>
      <c r="N1512" s="13">
        <f t="shared" si="184"/>
        <v>6.9891435185199953</v>
      </c>
      <c r="O1512" s="13">
        <f t="shared" si="185"/>
        <v>0</v>
      </c>
      <c r="P1512" t="str">
        <f t="shared" si="186"/>
        <v>On Time</v>
      </c>
      <c r="Q1512" s="13">
        <f t="shared" si="187"/>
        <v>0.21972222224576399</v>
      </c>
      <c r="R1512" s="13">
        <f t="shared" si="188"/>
        <v>0.73380787036876427</v>
      </c>
      <c r="S1512" s="13">
        <f t="shared" si="189"/>
        <v>6.2461805555576575</v>
      </c>
      <c r="T1512" t="str">
        <f t="shared" si="190"/>
        <v>On Time/Early</v>
      </c>
      <c r="U1512" t="str">
        <f t="shared" si="191"/>
        <v>Normal</v>
      </c>
      <c r="V1512" t="s">
        <v>102</v>
      </c>
    </row>
    <row r="1513" spans="1:22">
      <c r="A1513" t="s">
        <v>2209</v>
      </c>
      <c r="B1513" s="10">
        <v>43227.922303240739</v>
      </c>
      <c r="C1513" s="10">
        <v>43227.940462962964</v>
      </c>
      <c r="D1513" s="10">
        <v>43228.595138888886</v>
      </c>
      <c r="E1513" s="10">
        <v>43231.721365740741</v>
      </c>
      <c r="F1513" s="10">
        <v>43244</v>
      </c>
      <c r="G1513" t="s">
        <v>20</v>
      </c>
      <c r="H1513" t="s">
        <v>420</v>
      </c>
      <c r="I1513" t="s">
        <v>141</v>
      </c>
      <c r="J1513" s="11">
        <v>1</v>
      </c>
      <c r="K1513" s="12">
        <v>69.900000000000006</v>
      </c>
      <c r="L1513" s="12">
        <v>14.58</v>
      </c>
      <c r="M1513" s="13">
        <v>5</v>
      </c>
      <c r="N1513" s="13">
        <f t="shared" si="184"/>
        <v>3.7990625000020373</v>
      </c>
      <c r="O1513" s="13">
        <f t="shared" si="185"/>
        <v>0</v>
      </c>
      <c r="P1513" t="str">
        <f t="shared" si="186"/>
        <v>On Time</v>
      </c>
      <c r="Q1513" s="13">
        <f t="shared" si="187"/>
        <v>0.43583333340939134</v>
      </c>
      <c r="R1513" s="13">
        <f t="shared" si="188"/>
        <v>0.65467592592176516</v>
      </c>
      <c r="S1513" s="13">
        <f t="shared" si="189"/>
        <v>3.1262268518548808</v>
      </c>
      <c r="T1513" t="str">
        <f t="shared" si="190"/>
        <v>On Time/Early</v>
      </c>
      <c r="U1513" t="str">
        <f t="shared" si="191"/>
        <v>Normal</v>
      </c>
      <c r="V1513" t="s">
        <v>102</v>
      </c>
    </row>
    <row r="1514" spans="1:22">
      <c r="A1514" t="s">
        <v>2210</v>
      </c>
      <c r="B1514" s="10">
        <v>43227.971458333333</v>
      </c>
      <c r="C1514" s="10">
        <v>43227.981134259258</v>
      </c>
      <c r="D1514" s="10">
        <v>43230.445138888892</v>
      </c>
      <c r="E1514" s="10">
        <v>43241.953275462962</v>
      </c>
      <c r="F1514" s="10">
        <v>43248</v>
      </c>
      <c r="G1514" t="s">
        <v>320</v>
      </c>
      <c r="H1514" t="s">
        <v>321</v>
      </c>
      <c r="I1514" t="s">
        <v>58</v>
      </c>
      <c r="J1514" s="11">
        <v>1</v>
      </c>
      <c r="K1514" s="12">
        <v>64.989999999999995</v>
      </c>
      <c r="L1514" s="12">
        <v>22.95</v>
      </c>
      <c r="M1514" s="13">
        <v>1</v>
      </c>
      <c r="N1514" s="13">
        <f t="shared" si="184"/>
        <v>13.981817129628325</v>
      </c>
      <c r="O1514" s="13">
        <f t="shared" si="185"/>
        <v>0</v>
      </c>
      <c r="P1514" t="str">
        <f t="shared" si="186"/>
        <v>On Time</v>
      </c>
      <c r="Q1514" s="13">
        <f t="shared" si="187"/>
        <v>0.23222222219919786</v>
      </c>
      <c r="R1514" s="13">
        <f t="shared" si="188"/>
        <v>2.464004629633564</v>
      </c>
      <c r="S1514" s="13">
        <f t="shared" si="189"/>
        <v>11.508136574069795</v>
      </c>
      <c r="T1514" t="str">
        <f t="shared" si="190"/>
        <v>On Time/Early</v>
      </c>
      <c r="U1514" t="str">
        <f t="shared" si="191"/>
        <v>Normal</v>
      </c>
      <c r="V1514" t="s">
        <v>102</v>
      </c>
    </row>
    <row r="1515" spans="1:22">
      <c r="A1515" t="s">
        <v>2211</v>
      </c>
      <c r="B1515" s="10">
        <v>43228.732418981483</v>
      </c>
      <c r="C1515" s="10">
        <v>43229.800208333334</v>
      </c>
      <c r="D1515" s="10">
        <v>43230.382638888892</v>
      </c>
      <c r="E1515" s="10">
        <v>43241.670219907406</v>
      </c>
      <c r="F1515" s="10">
        <v>43257</v>
      </c>
      <c r="G1515" t="s">
        <v>134</v>
      </c>
      <c r="H1515" t="s">
        <v>2212</v>
      </c>
      <c r="I1515" t="s">
        <v>112</v>
      </c>
      <c r="J1515" s="11">
        <v>1</v>
      </c>
      <c r="K1515" s="12">
        <v>599.99</v>
      </c>
      <c r="L1515" s="12">
        <v>30.93</v>
      </c>
      <c r="M1515" s="13">
        <v>5</v>
      </c>
      <c r="N1515" s="13">
        <f t="shared" si="184"/>
        <v>12.937800925923511</v>
      </c>
      <c r="O1515" s="13">
        <f t="shared" si="185"/>
        <v>0</v>
      </c>
      <c r="P1515" t="str">
        <f t="shared" si="186"/>
        <v>On Time</v>
      </c>
      <c r="Q1515" s="13">
        <f t="shared" si="187"/>
        <v>25.62694444443332</v>
      </c>
      <c r="R1515" s="13">
        <f t="shared" si="188"/>
        <v>0.58243055555794854</v>
      </c>
      <c r="S1515" s="13">
        <f t="shared" si="189"/>
        <v>11.287581018514175</v>
      </c>
      <c r="T1515" t="str">
        <f t="shared" si="190"/>
        <v>On Time/Early</v>
      </c>
      <c r="U1515" t="str">
        <f t="shared" si="191"/>
        <v>Normal</v>
      </c>
      <c r="V1515" t="s">
        <v>102</v>
      </c>
    </row>
    <row r="1516" spans="1:22">
      <c r="A1516" t="s">
        <v>2213</v>
      </c>
      <c r="B1516" s="10">
        <v>43228.736388888887</v>
      </c>
      <c r="C1516" s="10">
        <v>43228.746793981481</v>
      </c>
      <c r="D1516" s="10">
        <v>43229.493750000001</v>
      </c>
      <c r="E1516" s="10">
        <v>43234.793344907404</v>
      </c>
      <c r="F1516" s="10">
        <v>43249</v>
      </c>
      <c r="G1516" t="s">
        <v>8</v>
      </c>
      <c r="H1516" t="s">
        <v>140</v>
      </c>
      <c r="I1516" t="s">
        <v>24</v>
      </c>
      <c r="J1516" s="11">
        <v>3</v>
      </c>
      <c r="K1516" s="12">
        <v>215.5</v>
      </c>
      <c r="L1516" s="12">
        <v>41.95</v>
      </c>
      <c r="M1516" s="13">
        <v>4</v>
      </c>
      <c r="N1516" s="13">
        <f t="shared" si="184"/>
        <v>6.056956018517667</v>
      </c>
      <c r="O1516" s="13">
        <f t="shared" si="185"/>
        <v>0</v>
      </c>
      <c r="P1516" t="str">
        <f t="shared" si="186"/>
        <v>On Time</v>
      </c>
      <c r="Q1516" s="13">
        <f t="shared" si="187"/>
        <v>0.24972222227370366</v>
      </c>
      <c r="R1516" s="13">
        <f t="shared" si="188"/>
        <v>0.74695601851999527</v>
      </c>
      <c r="S1516" s="13">
        <f t="shared" si="189"/>
        <v>5.299594907402934</v>
      </c>
      <c r="T1516" t="str">
        <f t="shared" si="190"/>
        <v>On Time/Early</v>
      </c>
      <c r="U1516" t="str">
        <f t="shared" si="191"/>
        <v>Normal</v>
      </c>
      <c r="V1516" t="s">
        <v>102</v>
      </c>
    </row>
    <row r="1517" spans="1:22">
      <c r="A1517" t="s">
        <v>2214</v>
      </c>
      <c r="B1517" s="10">
        <v>43228.863807870373</v>
      </c>
      <c r="C1517" s="10">
        <v>43228.883206018516</v>
      </c>
      <c r="D1517" s="10">
        <v>43231.447222222225</v>
      </c>
      <c r="E1517" s="10">
        <v>43238.66578703704</v>
      </c>
      <c r="F1517" s="10">
        <v>43265</v>
      </c>
      <c r="G1517" t="s">
        <v>16</v>
      </c>
      <c r="H1517" t="s">
        <v>138</v>
      </c>
      <c r="I1517" t="s">
        <v>58</v>
      </c>
      <c r="J1517" s="11">
        <v>1</v>
      </c>
      <c r="K1517" s="12">
        <v>797</v>
      </c>
      <c r="L1517" s="12">
        <v>23.46</v>
      </c>
      <c r="M1517" s="13">
        <v>5</v>
      </c>
      <c r="N1517" s="13">
        <f t="shared" si="184"/>
        <v>9.8019791666665697</v>
      </c>
      <c r="O1517" s="13">
        <f t="shared" si="185"/>
        <v>0</v>
      </c>
      <c r="P1517" t="str">
        <f t="shared" si="186"/>
        <v>On Time</v>
      </c>
      <c r="Q1517" s="13">
        <f t="shared" si="187"/>
        <v>0.46555555541999638</v>
      </c>
      <c r="R1517" s="13">
        <f t="shared" si="188"/>
        <v>2.5640162037088885</v>
      </c>
      <c r="S1517" s="13">
        <f t="shared" si="189"/>
        <v>7.2185648148151813</v>
      </c>
      <c r="T1517" t="str">
        <f t="shared" si="190"/>
        <v>On Time/Early</v>
      </c>
      <c r="U1517" t="str">
        <f t="shared" si="191"/>
        <v>Normal</v>
      </c>
      <c r="V1517" t="s">
        <v>102</v>
      </c>
    </row>
    <row r="1518" spans="1:22">
      <c r="A1518" t="s">
        <v>2215</v>
      </c>
      <c r="B1518" s="10">
        <v>43228.903668981482</v>
      </c>
      <c r="C1518" s="10">
        <v>43228.913344907407</v>
      </c>
      <c r="D1518" s="10">
        <v>43236.570138888892</v>
      </c>
      <c r="E1518" s="10">
        <v>43263.801805555559</v>
      </c>
      <c r="F1518" s="10">
        <v>43252</v>
      </c>
      <c r="G1518" t="s">
        <v>33</v>
      </c>
      <c r="H1518" t="s">
        <v>356</v>
      </c>
      <c r="I1518" t="s">
        <v>58</v>
      </c>
      <c r="J1518" s="11">
        <v>1</v>
      </c>
      <c r="K1518" s="12">
        <v>64.989999999999995</v>
      </c>
      <c r="L1518" s="12">
        <v>18.71</v>
      </c>
      <c r="M1518" s="13">
        <v>1</v>
      </c>
      <c r="N1518" s="13">
        <f t="shared" si="184"/>
        <v>34.898136574076489</v>
      </c>
      <c r="O1518" s="13">
        <f t="shared" si="185"/>
        <v>11.801805555558531</v>
      </c>
      <c r="P1518" t="str">
        <f t="shared" si="186"/>
        <v>Delayed</v>
      </c>
      <c r="Q1518" s="13">
        <f t="shared" si="187"/>
        <v>0.23222222219919786</v>
      </c>
      <c r="R1518" s="13">
        <f t="shared" si="188"/>
        <v>7.6567939814849524</v>
      </c>
      <c r="S1518" s="13">
        <f t="shared" si="189"/>
        <v>27.23166666666657</v>
      </c>
      <c r="T1518" t="str">
        <f t="shared" si="190"/>
        <v>8+ Days Late</v>
      </c>
      <c r="U1518" t="str">
        <f t="shared" si="191"/>
        <v>Needs Review</v>
      </c>
      <c r="V1518" t="s">
        <v>102</v>
      </c>
    </row>
    <row r="1519" spans="1:22">
      <c r="A1519" t="s">
        <v>2216</v>
      </c>
      <c r="B1519" s="10">
        <v>43228.915937500002</v>
      </c>
      <c r="C1519" s="10">
        <v>43228.927407407406</v>
      </c>
      <c r="D1519" s="10">
        <v>43229.523611111108</v>
      </c>
      <c r="E1519" s="10">
        <v>43230.768310185187</v>
      </c>
      <c r="F1519" s="10">
        <v>43236</v>
      </c>
      <c r="G1519" t="s">
        <v>8</v>
      </c>
      <c r="H1519" t="s">
        <v>140</v>
      </c>
      <c r="I1519" t="s">
        <v>141</v>
      </c>
      <c r="J1519" s="11">
        <v>1</v>
      </c>
      <c r="K1519" s="12">
        <v>48.9</v>
      </c>
      <c r="L1519" s="12">
        <v>8.82</v>
      </c>
      <c r="M1519" s="13">
        <v>4</v>
      </c>
      <c r="N1519" s="13">
        <f t="shared" si="184"/>
        <v>1.8523726851854008</v>
      </c>
      <c r="O1519" s="13">
        <f t="shared" si="185"/>
        <v>0</v>
      </c>
      <c r="P1519" t="str">
        <f t="shared" si="186"/>
        <v>On Time</v>
      </c>
      <c r="Q1519" s="13">
        <f t="shared" si="187"/>
        <v>0.27527777769137174</v>
      </c>
      <c r="R1519" s="13">
        <f t="shared" si="188"/>
        <v>0.59620370370248565</v>
      </c>
      <c r="S1519" s="13">
        <f t="shared" si="189"/>
        <v>1.244699074079108</v>
      </c>
      <c r="T1519" t="str">
        <f t="shared" si="190"/>
        <v>On Time/Early</v>
      </c>
      <c r="U1519" t="str">
        <f t="shared" si="191"/>
        <v>Normal</v>
      </c>
      <c r="V1519" t="s">
        <v>102</v>
      </c>
    </row>
    <row r="1520" spans="1:22">
      <c r="A1520" t="s">
        <v>2217</v>
      </c>
      <c r="B1520" s="10">
        <v>43228.955092592594</v>
      </c>
      <c r="C1520" s="10">
        <v>43228.96665509259</v>
      </c>
      <c r="D1520" s="10">
        <v>43230.770138888889</v>
      </c>
      <c r="E1520" s="10">
        <v>43244.853344907409</v>
      </c>
      <c r="F1520" s="10">
        <v>43257</v>
      </c>
      <c r="G1520" t="s">
        <v>30</v>
      </c>
      <c r="H1520" t="s">
        <v>2117</v>
      </c>
      <c r="I1520" t="s">
        <v>221</v>
      </c>
      <c r="J1520" s="11">
        <v>1</v>
      </c>
      <c r="K1520" s="12">
        <v>118</v>
      </c>
      <c r="L1520" s="12">
        <v>10.48</v>
      </c>
      <c r="M1520" s="13">
        <v>1</v>
      </c>
      <c r="N1520" s="13">
        <f t="shared" si="184"/>
        <v>15.898252314815181</v>
      </c>
      <c r="O1520" s="13">
        <f t="shared" si="185"/>
        <v>0</v>
      </c>
      <c r="P1520" t="str">
        <f t="shared" si="186"/>
        <v>On Time</v>
      </c>
      <c r="Q1520" s="13">
        <f t="shared" si="187"/>
        <v>0.27749999990919605</v>
      </c>
      <c r="R1520" s="13">
        <f t="shared" si="188"/>
        <v>1.8034837962986785</v>
      </c>
      <c r="S1520" s="13">
        <f t="shared" si="189"/>
        <v>14.083206018520286</v>
      </c>
      <c r="T1520" t="str">
        <f t="shared" si="190"/>
        <v>On Time/Early</v>
      </c>
      <c r="U1520" t="str">
        <f t="shared" si="191"/>
        <v>Normal</v>
      </c>
      <c r="V1520" t="s">
        <v>102</v>
      </c>
    </row>
    <row r="1521" spans="1:22">
      <c r="A1521" t="s">
        <v>2218</v>
      </c>
      <c r="B1521" s="10">
        <v>43228.966180555559</v>
      </c>
      <c r="C1521" s="10">
        <v>43228.982129629629</v>
      </c>
      <c r="D1521" s="10">
        <v>43229.523611111108</v>
      </c>
      <c r="E1521" s="10">
        <v>43248.679583333331</v>
      </c>
      <c r="F1521" s="10">
        <v>43258</v>
      </c>
      <c r="G1521" t="s">
        <v>16</v>
      </c>
      <c r="H1521" t="s">
        <v>138</v>
      </c>
      <c r="I1521" t="s">
        <v>141</v>
      </c>
      <c r="J1521" s="11">
        <v>1</v>
      </c>
      <c r="K1521" s="12">
        <v>104.9</v>
      </c>
      <c r="L1521" s="12">
        <v>23.31</v>
      </c>
      <c r="M1521" s="13">
        <v>3</v>
      </c>
      <c r="N1521" s="13">
        <f t="shared" si="184"/>
        <v>19.713402777771989</v>
      </c>
      <c r="O1521" s="13">
        <f t="shared" si="185"/>
        <v>0</v>
      </c>
      <c r="P1521" t="str">
        <f t="shared" si="186"/>
        <v>On Time</v>
      </c>
      <c r="Q1521" s="13">
        <f t="shared" si="187"/>
        <v>0.38277777767507359</v>
      </c>
      <c r="R1521" s="13">
        <f t="shared" si="188"/>
        <v>0.54148148147942265</v>
      </c>
      <c r="S1521" s="13">
        <f t="shared" si="189"/>
        <v>19.155972222222772</v>
      </c>
      <c r="T1521" t="str">
        <f t="shared" si="190"/>
        <v>On Time/Early</v>
      </c>
      <c r="U1521" t="str">
        <f t="shared" si="191"/>
        <v>Normal</v>
      </c>
      <c r="V1521" t="s">
        <v>102</v>
      </c>
    </row>
    <row r="1522" spans="1:22">
      <c r="A1522" t="s">
        <v>2219</v>
      </c>
      <c r="B1522" s="10">
        <v>43229.33766203704</v>
      </c>
      <c r="C1522" s="10">
        <v>43229.354826388888</v>
      </c>
      <c r="D1522" s="10">
        <v>43229.458333333336</v>
      </c>
      <c r="E1522" s="10">
        <v>43235.777407407404</v>
      </c>
      <c r="F1522" s="10">
        <v>43248</v>
      </c>
      <c r="G1522" t="s">
        <v>16</v>
      </c>
      <c r="H1522" t="s">
        <v>2220</v>
      </c>
      <c r="I1522" t="s">
        <v>252</v>
      </c>
      <c r="J1522" s="11">
        <v>1</v>
      </c>
      <c r="K1522" s="12">
        <v>27.2</v>
      </c>
      <c r="L1522" s="12">
        <v>19.32</v>
      </c>
      <c r="M1522" s="13">
        <v>4</v>
      </c>
      <c r="N1522" s="13">
        <f t="shared" si="184"/>
        <v>6.4397453703641077</v>
      </c>
      <c r="O1522" s="13">
        <f t="shared" si="185"/>
        <v>0</v>
      </c>
      <c r="P1522" t="str">
        <f t="shared" si="186"/>
        <v>On Time</v>
      </c>
      <c r="Q1522" s="13">
        <f t="shared" si="187"/>
        <v>0.41194444434950128</v>
      </c>
      <c r="R1522" s="13">
        <f t="shared" si="188"/>
        <v>0.10350694444787223</v>
      </c>
      <c r="S1522" s="13">
        <f t="shared" si="189"/>
        <v>6.3190740740683395</v>
      </c>
      <c r="T1522" t="str">
        <f t="shared" si="190"/>
        <v>On Time/Early</v>
      </c>
      <c r="U1522" t="str">
        <f t="shared" si="191"/>
        <v>Normal</v>
      </c>
      <c r="V1522" t="s">
        <v>102</v>
      </c>
    </row>
    <row r="1523" spans="1:22">
      <c r="A1523" t="s">
        <v>2221</v>
      </c>
      <c r="B1523" s="10">
        <v>43229.423784722225</v>
      </c>
      <c r="C1523" s="10">
        <v>43229.438657407409</v>
      </c>
      <c r="D1523" s="10">
        <v>43229.792361111111</v>
      </c>
      <c r="E1523" s="10">
        <v>43230.568738425929</v>
      </c>
      <c r="F1523" s="10">
        <v>43248</v>
      </c>
      <c r="G1523" t="s">
        <v>8</v>
      </c>
      <c r="H1523" t="s">
        <v>493</v>
      </c>
      <c r="I1523" t="s">
        <v>141</v>
      </c>
      <c r="J1523" s="11">
        <v>1</v>
      </c>
      <c r="K1523" s="12">
        <v>18.75</v>
      </c>
      <c r="L1523" s="12">
        <v>13.71</v>
      </c>
      <c r="M1523" s="13">
        <v>5</v>
      </c>
      <c r="N1523" s="13">
        <f t="shared" si="184"/>
        <v>1.1449537037042319</v>
      </c>
      <c r="O1523" s="13">
        <f t="shared" si="185"/>
        <v>0</v>
      </c>
      <c r="P1523" t="str">
        <f t="shared" si="186"/>
        <v>On Time</v>
      </c>
      <c r="Q1523" s="13">
        <f t="shared" si="187"/>
        <v>0.35694444441469386</v>
      </c>
      <c r="R1523" s="13">
        <f t="shared" si="188"/>
        <v>0.35370370370219462</v>
      </c>
      <c r="S1523" s="13">
        <f t="shared" si="189"/>
        <v>0.77637731481809169</v>
      </c>
      <c r="T1523" t="str">
        <f t="shared" si="190"/>
        <v>On Time/Early</v>
      </c>
      <c r="U1523" t="str">
        <f t="shared" si="191"/>
        <v>Normal</v>
      </c>
      <c r="V1523" t="s">
        <v>102</v>
      </c>
    </row>
    <row r="1524" spans="1:22">
      <c r="A1524" t="s">
        <v>2222</v>
      </c>
      <c r="B1524" s="10">
        <v>43229.429479166669</v>
      </c>
      <c r="C1524" s="10">
        <v>43229.438622685186</v>
      </c>
      <c r="D1524" s="10">
        <v>43231.315972222219</v>
      </c>
      <c r="E1524" s="10">
        <v>43237.728032407409</v>
      </c>
      <c r="F1524" s="10">
        <v>43250</v>
      </c>
      <c r="G1524" t="s">
        <v>20</v>
      </c>
      <c r="H1524" t="s">
        <v>104</v>
      </c>
      <c r="I1524" t="s">
        <v>136</v>
      </c>
      <c r="J1524" s="11">
        <v>1</v>
      </c>
      <c r="K1524" s="12">
        <v>69.900000000000006</v>
      </c>
      <c r="L1524" s="12">
        <v>22.2</v>
      </c>
      <c r="M1524" s="13">
        <v>5</v>
      </c>
      <c r="N1524" s="13">
        <f t="shared" si="184"/>
        <v>8.2985532407401479</v>
      </c>
      <c r="O1524" s="13">
        <f t="shared" si="185"/>
        <v>0</v>
      </c>
      <c r="P1524" t="str">
        <f t="shared" si="186"/>
        <v>On Time</v>
      </c>
      <c r="Q1524" s="13">
        <f t="shared" si="187"/>
        <v>0.21944444440305233</v>
      </c>
      <c r="R1524" s="13">
        <f t="shared" si="188"/>
        <v>1.8773495370332967</v>
      </c>
      <c r="S1524" s="13">
        <f t="shared" si="189"/>
        <v>6.4120601851900574</v>
      </c>
      <c r="T1524" t="str">
        <f t="shared" si="190"/>
        <v>On Time/Early</v>
      </c>
      <c r="U1524" t="str">
        <f t="shared" si="191"/>
        <v>Normal</v>
      </c>
      <c r="V1524" t="s">
        <v>102</v>
      </c>
    </row>
    <row r="1525" spans="1:22">
      <c r="A1525" t="s">
        <v>2223</v>
      </c>
      <c r="B1525" s="10">
        <v>43229.572430555556</v>
      </c>
      <c r="C1525" s="10">
        <v>43229.580011574071</v>
      </c>
      <c r="D1525" s="10">
        <v>43230.973611111112</v>
      </c>
      <c r="E1525" s="10">
        <v>43232.129513888889</v>
      </c>
      <c r="F1525" s="10">
        <v>43237</v>
      </c>
      <c r="G1525" t="s">
        <v>8</v>
      </c>
      <c r="H1525" t="s">
        <v>140</v>
      </c>
      <c r="I1525" t="s">
        <v>154</v>
      </c>
      <c r="J1525" s="11">
        <v>1</v>
      </c>
      <c r="K1525" s="12">
        <v>48.9</v>
      </c>
      <c r="L1525" s="12">
        <v>7.87</v>
      </c>
      <c r="M1525" s="13">
        <v>5</v>
      </c>
      <c r="N1525" s="13">
        <f t="shared" si="184"/>
        <v>2.5570833333331393</v>
      </c>
      <c r="O1525" s="13">
        <f t="shared" si="185"/>
        <v>0</v>
      </c>
      <c r="P1525" t="str">
        <f t="shared" si="186"/>
        <v>On Time</v>
      </c>
      <c r="Q1525" s="13">
        <f t="shared" si="187"/>
        <v>0.18194444436812773</v>
      </c>
      <c r="R1525" s="13">
        <f t="shared" si="188"/>
        <v>1.3935995370411547</v>
      </c>
      <c r="S1525" s="13">
        <f t="shared" si="189"/>
        <v>1.155902777776646</v>
      </c>
      <c r="T1525" t="str">
        <f t="shared" si="190"/>
        <v>On Time/Early</v>
      </c>
      <c r="U1525" t="str">
        <f t="shared" si="191"/>
        <v>Normal</v>
      </c>
      <c r="V1525" t="s">
        <v>102</v>
      </c>
    </row>
    <row r="1526" spans="1:22">
      <c r="A1526" t="s">
        <v>2224</v>
      </c>
      <c r="B1526" s="10">
        <v>43229.764444444445</v>
      </c>
      <c r="C1526" s="10">
        <v>43229.77449074074</v>
      </c>
      <c r="D1526" s="10">
        <v>43230.700694444444</v>
      </c>
      <c r="E1526" s="10">
        <v>43244.826145833336</v>
      </c>
      <c r="F1526" s="10">
        <v>43264</v>
      </c>
      <c r="G1526" t="s">
        <v>16</v>
      </c>
      <c r="H1526" t="s">
        <v>138</v>
      </c>
      <c r="I1526" t="s">
        <v>141</v>
      </c>
      <c r="J1526" s="11">
        <v>1</v>
      </c>
      <c r="K1526" s="12">
        <v>39.9</v>
      </c>
      <c r="L1526" s="12">
        <v>18.28</v>
      </c>
      <c r="M1526" s="13">
        <v>5</v>
      </c>
      <c r="N1526" s="13">
        <f t="shared" si="184"/>
        <v>15.061701388891379</v>
      </c>
      <c r="O1526" s="13">
        <f t="shared" si="185"/>
        <v>0</v>
      </c>
      <c r="P1526" t="str">
        <f t="shared" si="186"/>
        <v>On Time</v>
      </c>
      <c r="Q1526" s="13">
        <f t="shared" si="187"/>
        <v>0.2411111110704951</v>
      </c>
      <c r="R1526" s="13">
        <f t="shared" si="188"/>
        <v>0.92620370370423188</v>
      </c>
      <c r="S1526" s="13">
        <f t="shared" si="189"/>
        <v>14.125451388892543</v>
      </c>
      <c r="T1526" t="str">
        <f t="shared" si="190"/>
        <v>On Time/Early</v>
      </c>
      <c r="U1526" t="str">
        <f t="shared" si="191"/>
        <v>Normal</v>
      </c>
      <c r="V1526" t="s">
        <v>102</v>
      </c>
    </row>
    <row r="1527" spans="1:22">
      <c r="A1527" t="s">
        <v>2225</v>
      </c>
      <c r="B1527" s="10">
        <v>43229.881412037037</v>
      </c>
      <c r="C1527" s="10">
        <v>43229.898692129631</v>
      </c>
      <c r="D1527" s="10">
        <v>43230.477083333331</v>
      </c>
      <c r="E1527" s="10">
        <v>43241.473437499997</v>
      </c>
      <c r="F1527" s="10">
        <v>43250</v>
      </c>
      <c r="G1527" t="s">
        <v>30</v>
      </c>
      <c r="H1527" t="s">
        <v>100</v>
      </c>
      <c r="I1527" t="s">
        <v>58</v>
      </c>
      <c r="J1527" s="11">
        <v>1</v>
      </c>
      <c r="K1527" s="12">
        <v>119.9</v>
      </c>
      <c r="L1527" s="12">
        <v>13.31</v>
      </c>
      <c r="M1527" s="13">
        <v>5</v>
      </c>
      <c r="N1527" s="13">
        <f t="shared" si="184"/>
        <v>11.592025462960009</v>
      </c>
      <c r="O1527" s="13">
        <f t="shared" si="185"/>
        <v>0</v>
      </c>
      <c r="P1527" t="str">
        <f t="shared" si="186"/>
        <v>On Time</v>
      </c>
      <c r="Q1527" s="13">
        <f t="shared" si="187"/>
        <v>0.41472222225274891</v>
      </c>
      <c r="R1527" s="13">
        <f t="shared" si="188"/>
        <v>0.57839120370044839</v>
      </c>
      <c r="S1527" s="13">
        <f t="shared" si="189"/>
        <v>10.996354166665697</v>
      </c>
      <c r="T1527" t="str">
        <f t="shared" si="190"/>
        <v>On Time/Early</v>
      </c>
      <c r="U1527" t="str">
        <f t="shared" si="191"/>
        <v>Normal</v>
      </c>
      <c r="V1527" t="s">
        <v>102</v>
      </c>
    </row>
    <row r="1528" spans="1:22">
      <c r="A1528" t="s">
        <v>2226</v>
      </c>
      <c r="B1528" s="10">
        <v>43229.92114583333</v>
      </c>
      <c r="C1528" s="10">
        <v>43229.927361111113</v>
      </c>
      <c r="D1528" s="10">
        <v>43231.587500000001</v>
      </c>
      <c r="E1528" s="10">
        <v>43255.683692129627</v>
      </c>
      <c r="F1528" s="10">
        <v>43256</v>
      </c>
      <c r="G1528" t="s">
        <v>57</v>
      </c>
      <c r="H1528" t="s">
        <v>2227</v>
      </c>
      <c r="I1528" t="s">
        <v>120</v>
      </c>
      <c r="J1528" s="11">
        <v>1</v>
      </c>
      <c r="K1528" s="12">
        <v>129</v>
      </c>
      <c r="L1528" s="12">
        <v>39.57</v>
      </c>
      <c r="M1528" s="13">
        <v>5</v>
      </c>
      <c r="N1528" s="13">
        <f t="shared" si="184"/>
        <v>25.762546296296932</v>
      </c>
      <c r="O1528" s="13">
        <f t="shared" si="185"/>
        <v>0</v>
      </c>
      <c r="P1528" t="str">
        <f t="shared" si="186"/>
        <v>On Time</v>
      </c>
      <c r="Q1528" s="13">
        <f t="shared" si="187"/>
        <v>0.1491666667861864</v>
      </c>
      <c r="R1528" s="13">
        <f t="shared" si="188"/>
        <v>1.6601388888884685</v>
      </c>
      <c r="S1528" s="13">
        <f t="shared" si="189"/>
        <v>24.096192129625706</v>
      </c>
      <c r="T1528" t="str">
        <f t="shared" si="190"/>
        <v>On Time/Early</v>
      </c>
      <c r="U1528" t="str">
        <f t="shared" si="191"/>
        <v>Normal</v>
      </c>
      <c r="V1528" t="s">
        <v>102</v>
      </c>
    </row>
    <row r="1529" spans="1:22">
      <c r="A1529" t="s">
        <v>2228</v>
      </c>
      <c r="B1529" s="10">
        <v>43229.936111111114</v>
      </c>
      <c r="C1529" s="10">
        <v>43229.954062500001</v>
      </c>
      <c r="D1529" s="10">
        <v>43230.636111111111</v>
      </c>
      <c r="E1529" s="10">
        <v>43235.69122685185</v>
      </c>
      <c r="F1529" s="10">
        <v>43244</v>
      </c>
      <c r="G1529" t="s">
        <v>20</v>
      </c>
      <c r="H1529" t="s">
        <v>104</v>
      </c>
      <c r="I1529" t="s">
        <v>154</v>
      </c>
      <c r="J1529" s="11">
        <v>1</v>
      </c>
      <c r="K1529" s="12">
        <v>39.9</v>
      </c>
      <c r="L1529" s="12">
        <v>18.23</v>
      </c>
      <c r="M1529" s="13">
        <v>5</v>
      </c>
      <c r="N1529" s="13">
        <f t="shared" si="184"/>
        <v>5.7551157407360733</v>
      </c>
      <c r="O1529" s="13">
        <f t="shared" si="185"/>
        <v>0</v>
      </c>
      <c r="P1529" t="str">
        <f t="shared" si="186"/>
        <v>On Time</v>
      </c>
      <c r="Q1529" s="13">
        <f t="shared" si="187"/>
        <v>0.43083333328831941</v>
      </c>
      <c r="R1529" s="13">
        <f t="shared" si="188"/>
        <v>0.68204861111007631</v>
      </c>
      <c r="S1529" s="13">
        <f t="shared" si="189"/>
        <v>5.0551157407389837</v>
      </c>
      <c r="T1529" t="str">
        <f t="shared" si="190"/>
        <v>On Time/Early</v>
      </c>
      <c r="U1529" t="str">
        <f t="shared" si="191"/>
        <v>Normal</v>
      </c>
      <c r="V1529" t="s">
        <v>102</v>
      </c>
    </row>
    <row r="1530" spans="1:22">
      <c r="A1530" t="s">
        <v>2229</v>
      </c>
      <c r="B1530" s="10">
        <v>43230.382118055553</v>
      </c>
      <c r="C1530" s="10">
        <v>43230.688240740739</v>
      </c>
      <c r="D1530" s="10">
        <v>43231.61041666667</v>
      </c>
      <c r="E1530" s="10">
        <v>43235.772349537037</v>
      </c>
      <c r="F1530" s="10">
        <v>43243</v>
      </c>
      <c r="G1530" t="s">
        <v>8</v>
      </c>
      <c r="H1530" t="s">
        <v>225</v>
      </c>
      <c r="I1530" t="s">
        <v>136</v>
      </c>
      <c r="J1530" s="11">
        <v>1</v>
      </c>
      <c r="K1530" s="12">
        <v>499</v>
      </c>
      <c r="L1530" s="12">
        <v>10.36</v>
      </c>
      <c r="M1530" s="13">
        <v>5</v>
      </c>
      <c r="N1530" s="13">
        <f t="shared" si="184"/>
        <v>5.3902314814840793</v>
      </c>
      <c r="O1530" s="13">
        <f t="shared" si="185"/>
        <v>0</v>
      </c>
      <c r="P1530" t="str">
        <f t="shared" si="186"/>
        <v>On Time</v>
      </c>
      <c r="Q1530" s="13">
        <f t="shared" si="187"/>
        <v>7.3469444444635883</v>
      </c>
      <c r="R1530" s="13">
        <f t="shared" si="188"/>
        <v>0.92217592593078734</v>
      </c>
      <c r="S1530" s="13">
        <f t="shared" si="189"/>
        <v>4.1619328703673091</v>
      </c>
      <c r="T1530" t="str">
        <f t="shared" si="190"/>
        <v>On Time/Early</v>
      </c>
      <c r="U1530" t="str">
        <f t="shared" si="191"/>
        <v>Normal</v>
      </c>
      <c r="V1530" t="s">
        <v>102</v>
      </c>
    </row>
    <row r="1531" spans="1:22">
      <c r="A1531" t="s">
        <v>2230</v>
      </c>
      <c r="B1531" s="10">
        <v>43230.433692129627</v>
      </c>
      <c r="C1531" s="10">
        <v>43230.44127314815</v>
      </c>
      <c r="D1531" s="10">
        <v>43237.52847222222</v>
      </c>
      <c r="E1531" s="10">
        <v>43246.587060185186</v>
      </c>
      <c r="F1531" s="10">
        <v>43250</v>
      </c>
      <c r="G1531" t="s">
        <v>277</v>
      </c>
      <c r="H1531" t="s">
        <v>335</v>
      </c>
      <c r="I1531" t="s">
        <v>221</v>
      </c>
      <c r="J1531" s="11">
        <v>1</v>
      </c>
      <c r="K1531" s="12">
        <v>105</v>
      </c>
      <c r="L1531" s="12">
        <v>14.66</v>
      </c>
      <c r="M1531" s="13">
        <v>5</v>
      </c>
      <c r="N1531" s="13">
        <f t="shared" si="184"/>
        <v>16.153368055558531</v>
      </c>
      <c r="O1531" s="13">
        <f t="shared" si="185"/>
        <v>0</v>
      </c>
      <c r="P1531" t="str">
        <f t="shared" si="186"/>
        <v>On Time</v>
      </c>
      <c r="Q1531" s="13">
        <f t="shared" si="187"/>
        <v>0.18194444454275072</v>
      </c>
      <c r="R1531" s="13">
        <f t="shared" si="188"/>
        <v>7.0871990740706678</v>
      </c>
      <c r="S1531" s="13">
        <f t="shared" si="189"/>
        <v>9.0585879629652482</v>
      </c>
      <c r="T1531" t="str">
        <f t="shared" si="190"/>
        <v>On Time/Early</v>
      </c>
      <c r="U1531" t="str">
        <f t="shared" si="191"/>
        <v>Normal</v>
      </c>
      <c r="V1531" t="s">
        <v>102</v>
      </c>
    </row>
    <row r="1532" spans="1:22">
      <c r="A1532" t="s">
        <v>2231</v>
      </c>
      <c r="B1532" s="10">
        <v>43230.547442129631</v>
      </c>
      <c r="C1532" s="10">
        <v>43230.566481481481</v>
      </c>
      <c r="D1532" s="10">
        <v>43231.63958333333</v>
      </c>
      <c r="E1532" s="10">
        <v>43241.776712962965</v>
      </c>
      <c r="F1532" s="10">
        <v>43250</v>
      </c>
      <c r="G1532" t="s">
        <v>30</v>
      </c>
      <c r="H1532" t="s">
        <v>2117</v>
      </c>
      <c r="I1532" t="s">
        <v>58</v>
      </c>
      <c r="J1532" s="11">
        <v>2</v>
      </c>
      <c r="K1532" s="12">
        <v>59.98</v>
      </c>
      <c r="L1532" s="12">
        <v>44.12</v>
      </c>
      <c r="M1532" s="13">
        <v>5</v>
      </c>
      <c r="N1532" s="13">
        <f t="shared" si="184"/>
        <v>11.22927083333343</v>
      </c>
      <c r="O1532" s="13">
        <f t="shared" si="185"/>
        <v>0</v>
      </c>
      <c r="P1532" t="str">
        <f t="shared" si="186"/>
        <v>On Time</v>
      </c>
      <c r="Q1532" s="13">
        <f t="shared" si="187"/>
        <v>0.4569444443914108</v>
      </c>
      <c r="R1532" s="13">
        <f t="shared" si="188"/>
        <v>1.07310185184906</v>
      </c>
      <c r="S1532" s="13">
        <f t="shared" si="189"/>
        <v>10.137129629634728</v>
      </c>
      <c r="T1532" t="str">
        <f t="shared" si="190"/>
        <v>On Time/Early</v>
      </c>
      <c r="U1532" t="str">
        <f t="shared" si="191"/>
        <v>Normal</v>
      </c>
      <c r="V1532" t="s">
        <v>102</v>
      </c>
    </row>
    <row r="1533" spans="1:22">
      <c r="A1533" t="s">
        <v>2232</v>
      </c>
      <c r="B1533" s="10">
        <v>43230.608842592592</v>
      </c>
      <c r="C1533" s="10">
        <v>43231.605034722219</v>
      </c>
      <c r="D1533" s="10">
        <v>43235.615277777775</v>
      </c>
      <c r="E1533" s="10">
        <v>43242.742303240739</v>
      </c>
      <c r="F1533" s="10">
        <v>43248</v>
      </c>
      <c r="G1533" t="s">
        <v>20</v>
      </c>
      <c r="H1533" t="s">
        <v>104</v>
      </c>
      <c r="I1533" t="s">
        <v>17</v>
      </c>
      <c r="J1533" s="11">
        <v>1</v>
      </c>
      <c r="K1533" s="12">
        <v>111.99</v>
      </c>
      <c r="L1533" s="12">
        <v>18.36</v>
      </c>
      <c r="M1533" s="13">
        <v>5</v>
      </c>
      <c r="N1533" s="13">
        <f t="shared" si="184"/>
        <v>12.133460648146865</v>
      </c>
      <c r="O1533" s="13">
        <f t="shared" si="185"/>
        <v>0</v>
      </c>
      <c r="P1533" t="str">
        <f t="shared" si="186"/>
        <v>On Time</v>
      </c>
      <c r="Q1533" s="13">
        <f t="shared" si="187"/>
        <v>23.908611111051869</v>
      </c>
      <c r="R1533" s="13">
        <f t="shared" si="188"/>
        <v>4.0102430555562023</v>
      </c>
      <c r="S1533" s="13">
        <f t="shared" si="189"/>
        <v>7.1270254629635019</v>
      </c>
      <c r="T1533" t="str">
        <f t="shared" si="190"/>
        <v>On Time/Early</v>
      </c>
      <c r="U1533" t="str">
        <f t="shared" si="191"/>
        <v>Normal</v>
      </c>
      <c r="V1533" t="s">
        <v>102</v>
      </c>
    </row>
    <row r="1534" spans="1:22">
      <c r="A1534" t="s">
        <v>2233</v>
      </c>
      <c r="B1534" s="10">
        <v>43230.808541666665</v>
      </c>
      <c r="C1534" s="10">
        <v>43232.14949074074</v>
      </c>
      <c r="D1534" s="10">
        <v>43234.65625</v>
      </c>
      <c r="E1534" s="10">
        <v>43238.585775462961</v>
      </c>
      <c r="F1534" s="10">
        <v>43258</v>
      </c>
      <c r="G1534" t="s">
        <v>36</v>
      </c>
      <c r="H1534" t="s">
        <v>1796</v>
      </c>
      <c r="I1534" t="s">
        <v>128</v>
      </c>
      <c r="J1534" s="11">
        <v>1</v>
      </c>
      <c r="K1534" s="12">
        <v>53.9</v>
      </c>
      <c r="L1534" s="12">
        <v>22.96</v>
      </c>
      <c r="M1534" s="13">
        <v>5</v>
      </c>
      <c r="N1534" s="13">
        <f t="shared" si="184"/>
        <v>7.7772337962960592</v>
      </c>
      <c r="O1534" s="13">
        <f t="shared" si="185"/>
        <v>0</v>
      </c>
      <c r="P1534" t="str">
        <f t="shared" si="186"/>
        <v>On Time</v>
      </c>
      <c r="Q1534" s="13">
        <f t="shared" si="187"/>
        <v>32.182777777779847</v>
      </c>
      <c r="R1534" s="13">
        <f t="shared" si="188"/>
        <v>2.5067592592604342</v>
      </c>
      <c r="S1534" s="13">
        <f t="shared" si="189"/>
        <v>3.9295254629614647</v>
      </c>
      <c r="T1534" t="str">
        <f t="shared" si="190"/>
        <v>On Time/Early</v>
      </c>
      <c r="U1534" t="str">
        <f t="shared" si="191"/>
        <v>Normal</v>
      </c>
      <c r="V1534" t="s">
        <v>102</v>
      </c>
    </row>
    <row r="1535" spans="1:22">
      <c r="A1535" t="s">
        <v>2234</v>
      </c>
      <c r="B1535" s="10">
        <v>43230.838194444441</v>
      </c>
      <c r="C1535" s="10">
        <v>43230.845648148148</v>
      </c>
      <c r="D1535" s="10">
        <v>43231.536111111112</v>
      </c>
      <c r="E1535" s="10">
        <v>43242.787777777776</v>
      </c>
      <c r="F1535" s="10">
        <v>43270</v>
      </c>
      <c r="G1535" t="s">
        <v>16</v>
      </c>
      <c r="H1535" t="s">
        <v>138</v>
      </c>
      <c r="I1535" t="s">
        <v>180</v>
      </c>
      <c r="J1535" s="11">
        <v>3</v>
      </c>
      <c r="K1535" s="12">
        <v>89.97</v>
      </c>
      <c r="L1535" s="12">
        <v>54.69</v>
      </c>
      <c r="M1535" s="13">
        <v>5</v>
      </c>
      <c r="N1535" s="13">
        <f t="shared" si="184"/>
        <v>11.949583333334886</v>
      </c>
      <c r="O1535" s="13">
        <f t="shared" si="185"/>
        <v>0</v>
      </c>
      <c r="P1535" t="str">
        <f t="shared" si="186"/>
        <v>On Time</v>
      </c>
      <c r="Q1535" s="13">
        <f t="shared" si="187"/>
        <v>0.17888888897141442</v>
      </c>
      <c r="R1535" s="13">
        <f t="shared" si="188"/>
        <v>0.69046296296437504</v>
      </c>
      <c r="S1535" s="13">
        <f t="shared" si="189"/>
        <v>11.251666666663368</v>
      </c>
      <c r="T1535" t="str">
        <f t="shared" si="190"/>
        <v>On Time/Early</v>
      </c>
      <c r="U1535" t="str">
        <f t="shared" si="191"/>
        <v>Normal</v>
      </c>
      <c r="V1535" t="s">
        <v>102</v>
      </c>
    </row>
    <row r="1536" spans="1:22">
      <c r="A1536" t="s">
        <v>2235</v>
      </c>
      <c r="B1536" s="10">
        <v>43230.841481481482</v>
      </c>
      <c r="C1536" s="10">
        <v>43231.382557870369</v>
      </c>
      <c r="D1536" s="10">
        <v>43231.664583333331</v>
      </c>
      <c r="E1536" s="10">
        <v>43236.818506944444</v>
      </c>
      <c r="F1536" s="10">
        <v>43249</v>
      </c>
      <c r="G1536" t="s">
        <v>8</v>
      </c>
      <c r="H1536" t="s">
        <v>299</v>
      </c>
      <c r="I1536" t="s">
        <v>141</v>
      </c>
      <c r="J1536" s="11">
        <v>1</v>
      </c>
      <c r="K1536" s="12">
        <v>265</v>
      </c>
      <c r="L1536" s="12">
        <v>30.8</v>
      </c>
      <c r="M1536" s="13">
        <v>5</v>
      </c>
      <c r="N1536" s="13">
        <f t="shared" si="184"/>
        <v>5.9770254629620467</v>
      </c>
      <c r="O1536" s="13">
        <f t="shared" si="185"/>
        <v>0</v>
      </c>
      <c r="P1536" t="str">
        <f t="shared" si="186"/>
        <v>On Time</v>
      </c>
      <c r="Q1536" s="13">
        <f t="shared" si="187"/>
        <v>12.985833333281334</v>
      </c>
      <c r="R1536" s="13">
        <f t="shared" si="188"/>
        <v>0.28202546296233777</v>
      </c>
      <c r="S1536" s="13">
        <f t="shared" si="189"/>
        <v>5.1539236111129867</v>
      </c>
      <c r="T1536" t="str">
        <f t="shared" si="190"/>
        <v>On Time/Early</v>
      </c>
      <c r="U1536" t="str">
        <f t="shared" si="191"/>
        <v>Normal</v>
      </c>
      <c r="V1536" t="s">
        <v>102</v>
      </c>
    </row>
    <row r="1537" spans="1:22">
      <c r="A1537" t="s">
        <v>2236</v>
      </c>
      <c r="B1537" s="10">
        <v>43231.541180555556</v>
      </c>
      <c r="C1537" s="10">
        <v>43231.549699074072</v>
      </c>
      <c r="D1537" s="10">
        <v>43231.571527777778</v>
      </c>
      <c r="E1537" s="10">
        <v>43237.771435185183</v>
      </c>
      <c r="F1537" s="10">
        <v>43252</v>
      </c>
      <c r="G1537" t="s">
        <v>33</v>
      </c>
      <c r="H1537" t="s">
        <v>1647</v>
      </c>
      <c r="I1537" t="s">
        <v>141</v>
      </c>
      <c r="J1537" s="11">
        <v>1</v>
      </c>
      <c r="K1537" s="12">
        <v>120</v>
      </c>
      <c r="L1537" s="12">
        <v>15.9</v>
      </c>
      <c r="M1537" s="13">
        <v>5</v>
      </c>
      <c r="N1537" s="13">
        <f t="shared" si="184"/>
        <v>6.2302546296268702</v>
      </c>
      <c r="O1537" s="13">
        <f t="shared" si="185"/>
        <v>0</v>
      </c>
      <c r="P1537" t="str">
        <f t="shared" si="186"/>
        <v>On Time</v>
      </c>
      <c r="Q1537" s="13">
        <f t="shared" si="187"/>
        <v>0.20444444438908249</v>
      </c>
      <c r="R1537" s="13">
        <f t="shared" si="188"/>
        <v>2.1828703705978114E-2</v>
      </c>
      <c r="S1537" s="13">
        <f t="shared" si="189"/>
        <v>6.1999074074046803</v>
      </c>
      <c r="T1537" t="str">
        <f t="shared" si="190"/>
        <v>On Time/Early</v>
      </c>
      <c r="U1537" t="str">
        <f t="shared" si="191"/>
        <v>Normal</v>
      </c>
      <c r="V1537" t="s">
        <v>102</v>
      </c>
    </row>
    <row r="1538" spans="1:22">
      <c r="A1538" t="s">
        <v>2237</v>
      </c>
      <c r="B1538" s="10">
        <v>43231.903425925928</v>
      </c>
      <c r="C1538" s="10">
        <v>43231.910416666666</v>
      </c>
      <c r="D1538" s="10">
        <v>43235.325694444444</v>
      </c>
      <c r="E1538" s="10">
        <v>43258.904409722221</v>
      </c>
      <c r="F1538" s="10">
        <v>43257</v>
      </c>
      <c r="G1538" t="s">
        <v>43</v>
      </c>
      <c r="H1538" t="s">
        <v>167</v>
      </c>
      <c r="I1538" t="s">
        <v>180</v>
      </c>
      <c r="J1538" s="11">
        <v>1</v>
      </c>
      <c r="K1538" s="12">
        <v>199</v>
      </c>
      <c r="L1538" s="12">
        <v>19.27</v>
      </c>
      <c r="M1538" s="13">
        <v>4</v>
      </c>
      <c r="N1538" s="13">
        <f t="shared" ref="N1538:N1601" si="192">IFERROR(E1538-B1538,"")</f>
        <v>27.00098379629344</v>
      </c>
      <c r="O1538" s="13">
        <f t="shared" ref="O1538:O1601" si="193">IFERROR(MAX(0,E1538-F1538),"")</f>
        <v>1.9044097222213168</v>
      </c>
      <c r="P1538" t="str">
        <f t="shared" ref="P1538:P1601" si="194">IF(O1538&gt;0,"Delayed","On Time")</f>
        <v>Delayed</v>
      </c>
      <c r="Q1538" s="13">
        <f t="shared" ref="Q1538:Q1601" si="195">IFERROR((C1538-B1538)*24,"")</f>
        <v>0.16777777770766988</v>
      </c>
      <c r="R1538" s="13">
        <f t="shared" ref="R1538:R1601" si="196">IFERROR(D1538-C1538,"")</f>
        <v>3.4152777777781012</v>
      </c>
      <c r="S1538" s="13">
        <f t="shared" ref="S1538:S1601" si="197">IFERROR(E1538-D1538,"")</f>
        <v>23.578715277777519</v>
      </c>
      <c r="T1538" t="str">
        <f t="shared" ref="T1538:T1601" si="198">IF(O1538=0,"On Time/Early",IF(O1538&lt;=3,"1-3 Days Late",IF(O1538&lt;=7,"4-7 Days Late","8+ Days Late")))</f>
        <v>1-3 Days Late</v>
      </c>
      <c r="U1538" t="str">
        <f t="shared" ref="U1538:U1601" si="199">IF(P1538="Delayed","Needs Review","Normal")</f>
        <v>Needs Review</v>
      </c>
      <c r="V1538" t="s">
        <v>102</v>
      </c>
    </row>
    <row r="1539" spans="1:22">
      <c r="A1539" t="s">
        <v>2238</v>
      </c>
      <c r="B1539" s="10">
        <v>43232.488136574073</v>
      </c>
      <c r="C1539" s="10">
        <v>43232.496782407405</v>
      </c>
      <c r="D1539" s="10">
        <v>43234.542361111111</v>
      </c>
      <c r="E1539" s="10">
        <v>43238.839398148149</v>
      </c>
      <c r="F1539" s="10">
        <v>43250</v>
      </c>
      <c r="G1539" t="s">
        <v>8</v>
      </c>
      <c r="H1539" t="s">
        <v>2239</v>
      </c>
      <c r="I1539" t="s">
        <v>118</v>
      </c>
      <c r="J1539" s="11">
        <v>1</v>
      </c>
      <c r="K1539" s="12">
        <v>17.5</v>
      </c>
      <c r="L1539" s="12">
        <v>12.79</v>
      </c>
      <c r="M1539" s="13">
        <v>5</v>
      </c>
      <c r="N1539" s="13">
        <f t="shared" si="192"/>
        <v>6.3512615740764886</v>
      </c>
      <c r="O1539" s="13">
        <f t="shared" si="193"/>
        <v>0</v>
      </c>
      <c r="P1539" t="str">
        <f t="shared" si="194"/>
        <v>On Time</v>
      </c>
      <c r="Q1539" s="13">
        <f t="shared" si="195"/>
        <v>0.20749999996041879</v>
      </c>
      <c r="R1539" s="13">
        <f t="shared" si="196"/>
        <v>2.0455787037062692</v>
      </c>
      <c r="S1539" s="13">
        <f t="shared" si="197"/>
        <v>4.2970370370385353</v>
      </c>
      <c r="T1539" t="str">
        <f t="shared" si="198"/>
        <v>On Time/Early</v>
      </c>
      <c r="U1539" t="str">
        <f t="shared" si="199"/>
        <v>Normal</v>
      </c>
      <c r="V1539" t="s">
        <v>102</v>
      </c>
    </row>
    <row r="1540" spans="1:22">
      <c r="A1540" t="s">
        <v>2240</v>
      </c>
      <c r="B1540" s="10">
        <v>43232.491412037038</v>
      </c>
      <c r="C1540" s="10">
        <v>43232.508634259262</v>
      </c>
      <c r="D1540" s="10">
        <v>43236.522916666669</v>
      </c>
      <c r="E1540" s="10">
        <v>43244.80709490741</v>
      </c>
      <c r="F1540" s="10">
        <v>43258</v>
      </c>
      <c r="G1540" t="s">
        <v>43</v>
      </c>
      <c r="H1540" t="s">
        <v>318</v>
      </c>
      <c r="I1540" t="s">
        <v>221</v>
      </c>
      <c r="J1540" s="11">
        <v>1</v>
      </c>
      <c r="K1540" s="12">
        <v>199</v>
      </c>
      <c r="L1540" s="12">
        <v>0</v>
      </c>
      <c r="M1540" s="13">
        <v>1</v>
      </c>
      <c r="N1540" s="13">
        <f t="shared" si="192"/>
        <v>12.315682870372257</v>
      </c>
      <c r="O1540" s="13">
        <f t="shared" si="193"/>
        <v>0</v>
      </c>
      <c r="P1540" t="str">
        <f t="shared" si="194"/>
        <v>On Time</v>
      </c>
      <c r="Q1540" s="13">
        <f t="shared" si="195"/>
        <v>0.41333333338843659</v>
      </c>
      <c r="R1540" s="13">
        <f t="shared" si="196"/>
        <v>4.0142824074064265</v>
      </c>
      <c r="S1540" s="13">
        <f t="shared" si="197"/>
        <v>8.284178240741312</v>
      </c>
      <c r="T1540" t="str">
        <f t="shared" si="198"/>
        <v>On Time/Early</v>
      </c>
      <c r="U1540" t="str">
        <f t="shared" si="199"/>
        <v>Normal</v>
      </c>
      <c r="V1540" t="s">
        <v>102</v>
      </c>
    </row>
    <row r="1541" spans="1:22">
      <c r="A1541" t="s">
        <v>2241</v>
      </c>
      <c r="B1541" s="10">
        <v>43232.552662037036</v>
      </c>
      <c r="C1541" s="10">
        <v>43232.563993055555</v>
      </c>
      <c r="D1541" s="10">
        <v>43234.581250000003</v>
      </c>
      <c r="E1541" s="10">
        <v>43243.588090277779</v>
      </c>
      <c r="F1541" s="10">
        <v>43258</v>
      </c>
      <c r="G1541" t="s">
        <v>277</v>
      </c>
      <c r="H1541" t="s">
        <v>335</v>
      </c>
      <c r="I1541" t="s">
        <v>118</v>
      </c>
      <c r="J1541" s="11">
        <v>2</v>
      </c>
      <c r="K1541" s="12">
        <v>61.98</v>
      </c>
      <c r="L1541" s="12">
        <v>45.7</v>
      </c>
      <c r="M1541" s="13">
        <v>4</v>
      </c>
      <c r="N1541" s="13">
        <f t="shared" si="192"/>
        <v>11.035428240742476</v>
      </c>
      <c r="O1541" s="13">
        <f t="shared" si="193"/>
        <v>0</v>
      </c>
      <c r="P1541" t="str">
        <f t="shared" si="194"/>
        <v>On Time</v>
      </c>
      <c r="Q1541" s="13">
        <f t="shared" si="195"/>
        <v>0.27194444445194677</v>
      </c>
      <c r="R1541" s="13">
        <f t="shared" si="196"/>
        <v>2.0172569444475812</v>
      </c>
      <c r="S1541" s="13">
        <f t="shared" si="197"/>
        <v>9.0068402777760639</v>
      </c>
      <c r="T1541" t="str">
        <f t="shared" si="198"/>
        <v>On Time/Early</v>
      </c>
      <c r="U1541" t="str">
        <f t="shared" si="199"/>
        <v>Normal</v>
      </c>
      <c r="V1541" t="s">
        <v>102</v>
      </c>
    </row>
    <row r="1542" spans="1:22">
      <c r="A1542" t="s">
        <v>2242</v>
      </c>
      <c r="B1542" s="10">
        <v>43232.791701388887</v>
      </c>
      <c r="C1542" s="10">
        <v>43232.803194444445</v>
      </c>
      <c r="D1542" s="10">
        <v>43234.637499999997</v>
      </c>
      <c r="E1542" s="10">
        <v>43239.691458333335</v>
      </c>
      <c r="F1542" s="10">
        <v>43262</v>
      </c>
      <c r="G1542" t="s">
        <v>8</v>
      </c>
      <c r="H1542" t="s">
        <v>2243</v>
      </c>
      <c r="I1542" t="s">
        <v>141</v>
      </c>
      <c r="J1542" s="11">
        <v>2</v>
      </c>
      <c r="K1542" s="12">
        <v>279.94</v>
      </c>
      <c r="L1542" s="12">
        <v>123.48</v>
      </c>
      <c r="M1542" s="13">
        <v>3</v>
      </c>
      <c r="N1542" s="13">
        <f t="shared" si="192"/>
        <v>6.8997569444472902</v>
      </c>
      <c r="O1542" s="13">
        <f t="shared" si="193"/>
        <v>0</v>
      </c>
      <c r="P1542" t="str">
        <f t="shared" si="194"/>
        <v>On Time</v>
      </c>
      <c r="Q1542" s="13">
        <f t="shared" si="195"/>
        <v>0.27583333337679505</v>
      </c>
      <c r="R1542" s="13">
        <f t="shared" si="196"/>
        <v>1.8343055555524188</v>
      </c>
      <c r="S1542" s="13">
        <f t="shared" si="197"/>
        <v>5.0539583333375049</v>
      </c>
      <c r="T1542" t="str">
        <f t="shared" si="198"/>
        <v>On Time/Early</v>
      </c>
      <c r="U1542" t="str">
        <f t="shared" si="199"/>
        <v>Normal</v>
      </c>
      <c r="V1542" t="s">
        <v>102</v>
      </c>
    </row>
    <row r="1543" spans="1:22">
      <c r="A1543" t="s">
        <v>2244</v>
      </c>
      <c r="B1543" s="10">
        <v>43232.921527777777</v>
      </c>
      <c r="C1543" s="10">
        <v>43232.92732638889</v>
      </c>
      <c r="D1543" s="10">
        <v>43235.329861111109</v>
      </c>
      <c r="E1543" s="10">
        <v>43243.860763888886</v>
      </c>
      <c r="F1543" s="10">
        <v>43256</v>
      </c>
      <c r="G1543" t="s">
        <v>320</v>
      </c>
      <c r="H1543" t="s">
        <v>321</v>
      </c>
      <c r="I1543" t="s">
        <v>221</v>
      </c>
      <c r="J1543" s="11">
        <v>1</v>
      </c>
      <c r="K1543" s="12">
        <v>173.9</v>
      </c>
      <c r="L1543" s="12">
        <v>16.100000000000001</v>
      </c>
      <c r="M1543" s="13">
        <v>4</v>
      </c>
      <c r="N1543" s="13">
        <f t="shared" si="192"/>
        <v>10.939236111109494</v>
      </c>
      <c r="O1543" s="13">
        <f t="shared" si="193"/>
        <v>0</v>
      </c>
      <c r="P1543" t="str">
        <f t="shared" si="194"/>
        <v>On Time</v>
      </c>
      <c r="Q1543" s="13">
        <f t="shared" si="195"/>
        <v>0.13916666671866551</v>
      </c>
      <c r="R1543" s="13">
        <f t="shared" si="196"/>
        <v>2.4025347222195705</v>
      </c>
      <c r="S1543" s="13">
        <f t="shared" si="197"/>
        <v>8.530902777776646</v>
      </c>
      <c r="T1543" t="str">
        <f t="shared" si="198"/>
        <v>On Time/Early</v>
      </c>
      <c r="U1543" t="str">
        <f t="shared" si="199"/>
        <v>Normal</v>
      </c>
      <c r="V1543" t="s">
        <v>102</v>
      </c>
    </row>
    <row r="1544" spans="1:22">
      <c r="A1544" t="s">
        <v>2245</v>
      </c>
      <c r="B1544" s="10">
        <v>43233.067164351851</v>
      </c>
      <c r="C1544" s="10">
        <v>43234.664560185185</v>
      </c>
      <c r="D1544" s="10">
        <v>43235.59375</v>
      </c>
      <c r="E1544" s="10">
        <v>43238.55945601852</v>
      </c>
      <c r="F1544" s="10">
        <v>43245</v>
      </c>
      <c r="G1544" t="s">
        <v>8</v>
      </c>
      <c r="H1544" t="s">
        <v>1889</v>
      </c>
      <c r="I1544" t="s">
        <v>44</v>
      </c>
      <c r="J1544" s="11">
        <v>1</v>
      </c>
      <c r="K1544" s="12">
        <v>32</v>
      </c>
      <c r="L1544" s="12">
        <v>7.87</v>
      </c>
      <c r="M1544" s="13">
        <v>3</v>
      </c>
      <c r="N1544" s="13">
        <f t="shared" si="192"/>
        <v>5.492291666669189</v>
      </c>
      <c r="O1544" s="13">
        <f t="shared" si="193"/>
        <v>0</v>
      </c>
      <c r="P1544" t="str">
        <f t="shared" si="194"/>
        <v>On Time</v>
      </c>
      <c r="Q1544" s="13">
        <f t="shared" si="195"/>
        <v>38.337500000023283</v>
      </c>
      <c r="R1544" s="13">
        <f t="shared" si="196"/>
        <v>0.92918981481489027</v>
      </c>
      <c r="S1544" s="13">
        <f t="shared" si="197"/>
        <v>2.9657060185199953</v>
      </c>
      <c r="T1544" t="str">
        <f t="shared" si="198"/>
        <v>On Time/Early</v>
      </c>
      <c r="U1544" t="str">
        <f t="shared" si="199"/>
        <v>Normal</v>
      </c>
      <c r="V1544" t="s">
        <v>102</v>
      </c>
    </row>
    <row r="1545" spans="1:22">
      <c r="A1545" t="s">
        <v>2246</v>
      </c>
      <c r="B1545" s="10">
        <v>43233.698171296295</v>
      </c>
      <c r="C1545" s="10">
        <v>43235.175115740742</v>
      </c>
      <c r="D1545" s="10">
        <v>43236.34375</v>
      </c>
      <c r="E1545" s="10">
        <v>43237.813402777778</v>
      </c>
      <c r="F1545" s="10">
        <v>43265</v>
      </c>
      <c r="G1545" t="s">
        <v>16</v>
      </c>
      <c r="H1545" t="s">
        <v>138</v>
      </c>
      <c r="I1545" t="s">
        <v>136</v>
      </c>
      <c r="J1545" s="11">
        <v>1</v>
      </c>
      <c r="K1545" s="12">
        <v>180</v>
      </c>
      <c r="L1545" s="12">
        <v>14.25</v>
      </c>
      <c r="M1545" s="13">
        <v>5</v>
      </c>
      <c r="N1545" s="13">
        <f t="shared" si="192"/>
        <v>4.1152314814826241</v>
      </c>
      <c r="O1545" s="13">
        <f t="shared" si="193"/>
        <v>0</v>
      </c>
      <c r="P1545" t="str">
        <f t="shared" si="194"/>
        <v>On Time</v>
      </c>
      <c r="Q1545" s="13">
        <f t="shared" si="195"/>
        <v>35.446666666714009</v>
      </c>
      <c r="R1545" s="13">
        <f t="shared" si="196"/>
        <v>1.1686342592583969</v>
      </c>
      <c r="S1545" s="13">
        <f t="shared" si="197"/>
        <v>1.4696527777778101</v>
      </c>
      <c r="T1545" t="str">
        <f t="shared" si="198"/>
        <v>On Time/Early</v>
      </c>
      <c r="U1545" t="str">
        <f t="shared" si="199"/>
        <v>Normal</v>
      </c>
      <c r="V1545" t="s">
        <v>102</v>
      </c>
    </row>
    <row r="1546" spans="1:22">
      <c r="A1546" t="s">
        <v>2247</v>
      </c>
      <c r="B1546" s="10">
        <v>43233.806261574071</v>
      </c>
      <c r="C1546" s="10">
        <v>43234.371793981481</v>
      </c>
      <c r="D1546" s="10">
        <v>43235.597222222219</v>
      </c>
      <c r="E1546" s="10">
        <v>43256.837291666663</v>
      </c>
      <c r="F1546" s="10">
        <v>43256</v>
      </c>
      <c r="G1546" t="s">
        <v>36</v>
      </c>
      <c r="H1546" t="s">
        <v>444</v>
      </c>
      <c r="I1546" t="s">
        <v>221</v>
      </c>
      <c r="J1546" s="11">
        <v>1</v>
      </c>
      <c r="K1546" s="12">
        <v>134.9</v>
      </c>
      <c r="L1546" s="12">
        <v>18.82</v>
      </c>
      <c r="M1546" s="13">
        <v>1</v>
      </c>
      <c r="N1546" s="13">
        <f t="shared" si="192"/>
        <v>23.031030092592118</v>
      </c>
      <c r="O1546" s="13">
        <f t="shared" si="193"/>
        <v>0.83729166666307719</v>
      </c>
      <c r="P1546" t="str">
        <f t="shared" si="194"/>
        <v>Delayed</v>
      </c>
      <c r="Q1546" s="13">
        <f t="shared" si="195"/>
        <v>13.572777777852025</v>
      </c>
      <c r="R1546" s="13">
        <f t="shared" si="196"/>
        <v>1.2254282407375285</v>
      </c>
      <c r="S1546" s="13">
        <f t="shared" si="197"/>
        <v>21.240069444444089</v>
      </c>
      <c r="T1546" t="str">
        <f t="shared" si="198"/>
        <v>1-3 Days Late</v>
      </c>
      <c r="U1546" t="str">
        <f t="shared" si="199"/>
        <v>Needs Review</v>
      </c>
      <c r="V1546" t="s">
        <v>102</v>
      </c>
    </row>
    <row r="1547" spans="1:22">
      <c r="A1547" t="s">
        <v>2248</v>
      </c>
      <c r="B1547" s="10">
        <v>43233.828599537039</v>
      </c>
      <c r="C1547" s="10">
        <v>43233.842581018522</v>
      </c>
      <c r="D1547" s="10">
        <v>43234.542361111111</v>
      </c>
      <c r="E1547" s="10">
        <v>43237.515300925923</v>
      </c>
      <c r="F1547" s="10">
        <v>43250</v>
      </c>
      <c r="G1547" t="s">
        <v>8</v>
      </c>
      <c r="H1547" t="s">
        <v>140</v>
      </c>
      <c r="I1547" t="s">
        <v>112</v>
      </c>
      <c r="J1547" s="11">
        <v>1</v>
      </c>
      <c r="K1547" s="12">
        <v>64.989999999999995</v>
      </c>
      <c r="L1547" s="12">
        <v>18.329999999999998</v>
      </c>
      <c r="M1547" s="13">
        <v>5</v>
      </c>
      <c r="N1547" s="13">
        <f t="shared" si="192"/>
        <v>3.6867013888841029</v>
      </c>
      <c r="O1547" s="13">
        <f t="shared" si="193"/>
        <v>0</v>
      </c>
      <c r="P1547" t="str">
        <f t="shared" si="194"/>
        <v>On Time</v>
      </c>
      <c r="Q1547" s="13">
        <f t="shared" si="195"/>
        <v>0.33555555558996275</v>
      </c>
      <c r="R1547" s="13">
        <f t="shared" si="196"/>
        <v>0.69978009258920792</v>
      </c>
      <c r="S1547" s="13">
        <f t="shared" si="197"/>
        <v>2.9729398148119799</v>
      </c>
      <c r="T1547" t="str">
        <f t="shared" si="198"/>
        <v>On Time/Early</v>
      </c>
      <c r="U1547" t="str">
        <f t="shared" si="199"/>
        <v>Normal</v>
      </c>
      <c r="V1547" t="s">
        <v>102</v>
      </c>
    </row>
    <row r="1548" spans="1:22">
      <c r="A1548" t="s">
        <v>2249</v>
      </c>
      <c r="B1548" s="10">
        <v>43234.371782407405</v>
      </c>
      <c r="C1548" s="10">
        <v>43236.148541666669</v>
      </c>
      <c r="D1548" s="10">
        <v>43264.580555555556</v>
      </c>
      <c r="E1548" s="10">
        <v>43269.762824074074</v>
      </c>
      <c r="F1548" s="10">
        <v>43252</v>
      </c>
      <c r="G1548" t="s">
        <v>8</v>
      </c>
      <c r="H1548" t="s">
        <v>2250</v>
      </c>
      <c r="I1548" t="s">
        <v>252</v>
      </c>
      <c r="J1548" s="11">
        <v>1</v>
      </c>
      <c r="K1548" s="12">
        <v>129.99</v>
      </c>
      <c r="L1548" s="12">
        <v>22.51</v>
      </c>
      <c r="M1548" s="13">
        <v>1</v>
      </c>
      <c r="N1548" s="13">
        <f t="shared" si="192"/>
        <v>35.39104166666948</v>
      </c>
      <c r="O1548" s="13">
        <f t="shared" si="193"/>
        <v>17.76282407407416</v>
      </c>
      <c r="P1548" t="str">
        <f t="shared" si="194"/>
        <v>Delayed</v>
      </c>
      <c r="Q1548" s="13">
        <f t="shared" si="195"/>
        <v>42.642222222348209</v>
      </c>
      <c r="R1548" s="13">
        <f t="shared" si="196"/>
        <v>28.432013888887013</v>
      </c>
      <c r="S1548" s="13">
        <f t="shared" si="197"/>
        <v>5.182268518517958</v>
      </c>
      <c r="T1548" t="str">
        <f t="shared" si="198"/>
        <v>8+ Days Late</v>
      </c>
      <c r="U1548" t="str">
        <f t="shared" si="199"/>
        <v>Needs Review</v>
      </c>
      <c r="V1548" t="s">
        <v>102</v>
      </c>
    </row>
    <row r="1549" spans="1:22">
      <c r="A1549" t="s">
        <v>2251</v>
      </c>
      <c r="B1549" s="10">
        <v>43234.421712962961</v>
      </c>
      <c r="C1549" s="10">
        <v>43234.440844907411</v>
      </c>
      <c r="D1549" s="10">
        <v>43236.624305555553</v>
      </c>
      <c r="E1549" s="10">
        <v>43239.505243055559</v>
      </c>
      <c r="F1549" s="10">
        <v>43252</v>
      </c>
      <c r="G1549" t="s">
        <v>8</v>
      </c>
      <c r="H1549" t="s">
        <v>140</v>
      </c>
      <c r="I1549" t="s">
        <v>123</v>
      </c>
      <c r="J1549" s="11">
        <v>1</v>
      </c>
      <c r="K1549" s="12">
        <v>229.99</v>
      </c>
      <c r="L1549" s="12">
        <v>8.4700000000000006</v>
      </c>
      <c r="M1549" s="13">
        <v>5</v>
      </c>
      <c r="N1549" s="13">
        <f t="shared" si="192"/>
        <v>5.083530092597357</v>
      </c>
      <c r="O1549" s="13">
        <f t="shared" si="193"/>
        <v>0</v>
      </c>
      <c r="P1549" t="str">
        <f t="shared" si="194"/>
        <v>On Time</v>
      </c>
      <c r="Q1549" s="13">
        <f t="shared" si="195"/>
        <v>0.45916666678385809</v>
      </c>
      <c r="R1549" s="13">
        <f t="shared" si="196"/>
        <v>2.1834606481424998</v>
      </c>
      <c r="S1549" s="13">
        <f t="shared" si="197"/>
        <v>2.8809375000055297</v>
      </c>
      <c r="T1549" t="str">
        <f t="shared" si="198"/>
        <v>On Time/Early</v>
      </c>
      <c r="U1549" t="str">
        <f t="shared" si="199"/>
        <v>Normal</v>
      </c>
      <c r="V1549" t="s">
        <v>102</v>
      </c>
    </row>
    <row r="1550" spans="1:22">
      <c r="A1550" t="s">
        <v>2252</v>
      </c>
      <c r="B1550" s="10">
        <v>43234.444328703707</v>
      </c>
      <c r="C1550" s="10">
        <v>43234.455000000002</v>
      </c>
      <c r="D1550" s="10">
        <v>43234.501388888886</v>
      </c>
      <c r="E1550" s="10">
        <v>43237.664409722223</v>
      </c>
      <c r="F1550" s="10">
        <v>43252</v>
      </c>
      <c r="G1550" t="s">
        <v>8</v>
      </c>
      <c r="H1550" t="s">
        <v>273</v>
      </c>
      <c r="I1550" t="s">
        <v>120</v>
      </c>
      <c r="J1550" s="11">
        <v>1</v>
      </c>
      <c r="K1550" s="12">
        <v>119</v>
      </c>
      <c r="L1550" s="12">
        <v>58.69</v>
      </c>
      <c r="M1550" s="13">
        <v>5</v>
      </c>
      <c r="N1550" s="13">
        <f t="shared" si="192"/>
        <v>3.2200810185167938</v>
      </c>
      <c r="O1550" s="13">
        <f t="shared" si="193"/>
        <v>0</v>
      </c>
      <c r="P1550" t="str">
        <f t="shared" si="194"/>
        <v>On Time</v>
      </c>
      <c r="Q1550" s="13">
        <f t="shared" si="195"/>
        <v>0.25611111108446494</v>
      </c>
      <c r="R1550" s="13">
        <f t="shared" si="196"/>
        <v>4.6388888884393964E-2</v>
      </c>
      <c r="S1550" s="13">
        <f t="shared" si="197"/>
        <v>3.1630208333372138</v>
      </c>
      <c r="T1550" t="str">
        <f t="shared" si="198"/>
        <v>On Time/Early</v>
      </c>
      <c r="U1550" t="str">
        <f t="shared" si="199"/>
        <v>Normal</v>
      </c>
      <c r="V1550" t="s">
        <v>102</v>
      </c>
    </row>
    <row r="1551" spans="1:22">
      <c r="A1551" t="s">
        <v>2253</v>
      </c>
      <c r="B1551" s="10">
        <v>43234.460902777777</v>
      </c>
      <c r="C1551" s="10">
        <v>43234.482210648152</v>
      </c>
      <c r="D1551" s="10">
        <v>43234.588194444441</v>
      </c>
      <c r="E1551" s="10">
        <v>43238.006898148145</v>
      </c>
      <c r="F1551" s="10">
        <v>43262</v>
      </c>
      <c r="G1551" t="s">
        <v>16</v>
      </c>
      <c r="H1551" t="s">
        <v>1191</v>
      </c>
      <c r="I1551" t="s">
        <v>185</v>
      </c>
      <c r="J1551" s="11">
        <v>1</v>
      </c>
      <c r="K1551" s="12">
        <v>75</v>
      </c>
      <c r="L1551" s="12">
        <v>18.41</v>
      </c>
      <c r="M1551" s="13">
        <v>5</v>
      </c>
      <c r="N1551" s="13">
        <f t="shared" si="192"/>
        <v>3.5459953703684732</v>
      </c>
      <c r="O1551" s="13">
        <f t="shared" si="193"/>
        <v>0</v>
      </c>
      <c r="P1551" t="str">
        <f t="shared" si="194"/>
        <v>On Time</v>
      </c>
      <c r="Q1551" s="13">
        <f t="shared" si="195"/>
        <v>0.51138888899004087</v>
      </c>
      <c r="R1551" s="13">
        <f t="shared" si="196"/>
        <v>0.10598379628936527</v>
      </c>
      <c r="S1551" s="13">
        <f t="shared" si="197"/>
        <v>3.4187037037045229</v>
      </c>
      <c r="T1551" t="str">
        <f t="shared" si="198"/>
        <v>On Time/Early</v>
      </c>
      <c r="U1551" t="str">
        <f t="shared" si="199"/>
        <v>Normal</v>
      </c>
      <c r="V1551" t="s">
        <v>102</v>
      </c>
    </row>
    <row r="1552" spans="1:22">
      <c r="A1552" t="s">
        <v>2254</v>
      </c>
      <c r="B1552" s="10">
        <v>43234.47552083333</v>
      </c>
      <c r="C1552" s="10">
        <v>43234.482916666668</v>
      </c>
      <c r="D1552" s="10">
        <v>43234.561805555553</v>
      </c>
      <c r="E1552" s="10">
        <v>43238.534560185188</v>
      </c>
      <c r="F1552" s="10">
        <v>43256</v>
      </c>
      <c r="G1552" t="s">
        <v>8</v>
      </c>
      <c r="H1552" t="s">
        <v>204</v>
      </c>
      <c r="I1552" t="s">
        <v>136</v>
      </c>
      <c r="J1552" s="11">
        <v>1</v>
      </c>
      <c r="K1552" s="12">
        <v>140</v>
      </c>
      <c r="L1552" s="12">
        <v>19.95</v>
      </c>
      <c r="M1552" s="13">
        <v>5</v>
      </c>
      <c r="N1552" s="13">
        <f t="shared" si="192"/>
        <v>4.0590393518577912</v>
      </c>
      <c r="O1552" s="13">
        <f t="shared" si="193"/>
        <v>0</v>
      </c>
      <c r="P1552" t="str">
        <f t="shared" si="194"/>
        <v>On Time</v>
      </c>
      <c r="Q1552" s="13">
        <f t="shared" si="195"/>
        <v>0.1775000001071021</v>
      </c>
      <c r="R1552" s="13">
        <f t="shared" si="196"/>
        <v>7.8888888885558117E-2</v>
      </c>
      <c r="S1552" s="13">
        <f t="shared" si="197"/>
        <v>3.9727546296344372</v>
      </c>
      <c r="T1552" t="str">
        <f t="shared" si="198"/>
        <v>On Time/Early</v>
      </c>
      <c r="U1552" t="str">
        <f t="shared" si="199"/>
        <v>Normal</v>
      </c>
      <c r="V1552" t="s">
        <v>102</v>
      </c>
    </row>
    <row r="1553" spans="1:22">
      <c r="A1553" t="s">
        <v>2255</v>
      </c>
      <c r="B1553" s="10">
        <v>43234.524189814816</v>
      </c>
      <c r="C1553" s="10">
        <v>43234.536574074074</v>
      </c>
      <c r="D1553" s="10">
        <v>43235.638194444444</v>
      </c>
      <c r="E1553" s="10">
        <v>43243.744398148148</v>
      </c>
      <c r="F1553" s="10">
        <v>43258</v>
      </c>
      <c r="G1553" t="s">
        <v>36</v>
      </c>
      <c r="H1553" t="s">
        <v>2256</v>
      </c>
      <c r="I1553" t="s">
        <v>101</v>
      </c>
      <c r="J1553" s="11">
        <v>1</v>
      </c>
      <c r="K1553" s="12">
        <v>230</v>
      </c>
      <c r="L1553" s="12">
        <v>75.010000000000005</v>
      </c>
      <c r="M1553" s="13">
        <v>5</v>
      </c>
      <c r="N1553" s="13">
        <f t="shared" si="192"/>
        <v>9.2202083333322662</v>
      </c>
      <c r="O1553" s="13">
        <f t="shared" si="193"/>
        <v>0</v>
      </c>
      <c r="P1553" t="str">
        <f t="shared" si="194"/>
        <v>On Time</v>
      </c>
      <c r="Q1553" s="13">
        <f t="shared" si="195"/>
        <v>0.29722222220152617</v>
      </c>
      <c r="R1553" s="13">
        <f t="shared" si="196"/>
        <v>1.1016203703693463</v>
      </c>
      <c r="S1553" s="13">
        <f t="shared" si="197"/>
        <v>8.1062037037045229</v>
      </c>
      <c r="T1553" t="str">
        <f t="shared" si="198"/>
        <v>On Time/Early</v>
      </c>
      <c r="U1553" t="str">
        <f t="shared" si="199"/>
        <v>Normal</v>
      </c>
      <c r="V1553" t="s">
        <v>102</v>
      </c>
    </row>
    <row r="1554" spans="1:22">
      <c r="A1554" t="s">
        <v>2257</v>
      </c>
      <c r="B1554" s="10">
        <v>43234.55023148148</v>
      </c>
      <c r="C1554" s="10">
        <v>43234.563263888886</v>
      </c>
      <c r="D1554" s="10">
        <v>43237.529166666667</v>
      </c>
      <c r="E1554" s="10">
        <v>43259.73065972222</v>
      </c>
      <c r="F1554" s="10">
        <v>43256</v>
      </c>
      <c r="G1554" t="s">
        <v>20</v>
      </c>
      <c r="H1554" t="s">
        <v>420</v>
      </c>
      <c r="I1554" t="s">
        <v>221</v>
      </c>
      <c r="J1554" s="11">
        <v>1</v>
      </c>
      <c r="K1554" s="12">
        <v>105</v>
      </c>
      <c r="L1554" s="12">
        <v>11.62</v>
      </c>
      <c r="M1554" s="13">
        <v>5</v>
      </c>
      <c r="N1554" s="13">
        <f t="shared" si="192"/>
        <v>25.180428240739275</v>
      </c>
      <c r="O1554" s="13">
        <f t="shared" si="193"/>
        <v>3.7306597222195705</v>
      </c>
      <c r="P1554" t="str">
        <f t="shared" si="194"/>
        <v>Delayed</v>
      </c>
      <c r="Q1554" s="13">
        <f t="shared" si="195"/>
        <v>0.31277777772629634</v>
      </c>
      <c r="R1554" s="13">
        <f t="shared" si="196"/>
        <v>2.9659027777815936</v>
      </c>
      <c r="S1554" s="13">
        <f t="shared" si="197"/>
        <v>22.201493055552419</v>
      </c>
      <c r="T1554" t="str">
        <f t="shared" si="198"/>
        <v>4-7 Days Late</v>
      </c>
      <c r="U1554" t="str">
        <f t="shared" si="199"/>
        <v>Needs Review</v>
      </c>
      <c r="V1554" t="s">
        <v>102</v>
      </c>
    </row>
    <row r="1555" spans="1:22">
      <c r="A1555" t="s">
        <v>2258</v>
      </c>
      <c r="B1555" s="10">
        <v>43234.761828703704</v>
      </c>
      <c r="C1555" s="10">
        <v>43236.135694444441</v>
      </c>
      <c r="D1555" s="10">
        <v>43236.634027777778</v>
      </c>
      <c r="E1555" s="10">
        <v>43241.81858796296</v>
      </c>
      <c r="F1555" s="10">
        <v>43242</v>
      </c>
      <c r="G1555" t="s">
        <v>8</v>
      </c>
      <c r="H1555" t="s">
        <v>108</v>
      </c>
      <c r="I1555" t="s">
        <v>141</v>
      </c>
      <c r="J1555" s="11">
        <v>1</v>
      </c>
      <c r="K1555" s="12">
        <v>399</v>
      </c>
      <c r="L1555" s="12">
        <v>13.42</v>
      </c>
      <c r="M1555" s="13">
        <v>5</v>
      </c>
      <c r="N1555" s="13">
        <f t="shared" si="192"/>
        <v>7.0567592592560686</v>
      </c>
      <c r="O1555" s="13">
        <f t="shared" si="193"/>
        <v>0</v>
      </c>
      <c r="P1555" t="str">
        <f t="shared" si="194"/>
        <v>On Time</v>
      </c>
      <c r="Q1555" s="13">
        <f t="shared" si="195"/>
        <v>32.972777777700685</v>
      </c>
      <c r="R1555" s="13">
        <f t="shared" si="196"/>
        <v>0.49833333333663177</v>
      </c>
      <c r="S1555" s="13">
        <f t="shared" si="197"/>
        <v>5.1845601851819083</v>
      </c>
      <c r="T1555" t="str">
        <f t="shared" si="198"/>
        <v>On Time/Early</v>
      </c>
      <c r="U1555" t="str">
        <f t="shared" si="199"/>
        <v>Normal</v>
      </c>
      <c r="V1555" t="s">
        <v>102</v>
      </c>
    </row>
    <row r="1556" spans="1:22">
      <c r="A1556" t="s">
        <v>2259</v>
      </c>
      <c r="B1556" s="10">
        <v>43234.808287037034</v>
      </c>
      <c r="C1556" s="10">
        <v>43234.816192129627</v>
      </c>
      <c r="D1556" s="10">
        <v>43235.614583333336</v>
      </c>
      <c r="E1556" s="10">
        <v>43237.069988425923</v>
      </c>
      <c r="F1556" s="10">
        <v>43242</v>
      </c>
      <c r="G1556" t="s">
        <v>8</v>
      </c>
      <c r="H1556" t="s">
        <v>821</v>
      </c>
      <c r="I1556" t="s">
        <v>101</v>
      </c>
      <c r="J1556" s="11">
        <v>2</v>
      </c>
      <c r="K1556" s="12">
        <v>81.8</v>
      </c>
      <c r="L1556" s="12">
        <v>17.760000000000002</v>
      </c>
      <c r="M1556" s="13">
        <v>5</v>
      </c>
      <c r="N1556" s="13">
        <f t="shared" si="192"/>
        <v>2.2617013888884685</v>
      </c>
      <c r="O1556" s="13">
        <f t="shared" si="193"/>
        <v>0</v>
      </c>
      <c r="P1556" t="str">
        <f t="shared" si="194"/>
        <v>On Time</v>
      </c>
      <c r="Q1556" s="13">
        <f t="shared" si="195"/>
        <v>0.18972222221782431</v>
      </c>
      <c r="R1556" s="13">
        <f t="shared" si="196"/>
        <v>0.7983912037088885</v>
      </c>
      <c r="S1556" s="13">
        <f t="shared" si="197"/>
        <v>1.4554050925871707</v>
      </c>
      <c r="T1556" t="str">
        <f t="shared" si="198"/>
        <v>On Time/Early</v>
      </c>
      <c r="U1556" t="str">
        <f t="shared" si="199"/>
        <v>Normal</v>
      </c>
      <c r="V1556" t="s">
        <v>102</v>
      </c>
    </row>
    <row r="1557" spans="1:22">
      <c r="A1557" t="s">
        <v>2260</v>
      </c>
      <c r="B1557" s="10">
        <v>43234.81658564815</v>
      </c>
      <c r="C1557" s="10">
        <v>43234.83189814815</v>
      </c>
      <c r="D1557" s="10">
        <v>43236.323611111111</v>
      </c>
      <c r="E1557" s="10">
        <v>43245.735219907408</v>
      </c>
      <c r="F1557" s="10">
        <v>43257</v>
      </c>
      <c r="G1557" t="s">
        <v>16</v>
      </c>
      <c r="H1557" t="s">
        <v>138</v>
      </c>
      <c r="I1557" t="s">
        <v>101</v>
      </c>
      <c r="J1557" s="11">
        <v>1</v>
      </c>
      <c r="K1557" s="12">
        <v>24.9</v>
      </c>
      <c r="L1557" s="12">
        <v>7.55</v>
      </c>
      <c r="M1557" s="13">
        <v>4</v>
      </c>
      <c r="N1557" s="13">
        <f t="shared" si="192"/>
        <v>10.918634259258397</v>
      </c>
      <c r="O1557" s="13">
        <f t="shared" si="193"/>
        <v>0</v>
      </c>
      <c r="P1557" t="str">
        <f t="shared" si="194"/>
        <v>On Time</v>
      </c>
      <c r="Q1557" s="13">
        <f t="shared" si="195"/>
        <v>0.36749999999301508</v>
      </c>
      <c r="R1557" s="13">
        <f t="shared" si="196"/>
        <v>1.4917129629611736</v>
      </c>
      <c r="S1557" s="13">
        <f t="shared" si="197"/>
        <v>9.4116087962975143</v>
      </c>
      <c r="T1557" t="str">
        <f t="shared" si="198"/>
        <v>On Time/Early</v>
      </c>
      <c r="U1557" t="str">
        <f t="shared" si="199"/>
        <v>Normal</v>
      </c>
      <c r="V1557" t="s">
        <v>102</v>
      </c>
    </row>
    <row r="1558" spans="1:22">
      <c r="A1558" t="s">
        <v>2261</v>
      </c>
      <c r="B1558" s="10">
        <v>43234.877430555556</v>
      </c>
      <c r="C1558" s="10">
        <v>43234.888020833336</v>
      </c>
      <c r="D1558" s="10">
        <v>43242.555555555555</v>
      </c>
      <c r="E1558" s="10">
        <v>43262.754467592589</v>
      </c>
      <c r="F1558" s="10">
        <v>43257</v>
      </c>
      <c r="G1558" t="s">
        <v>20</v>
      </c>
      <c r="H1558" t="s">
        <v>2262</v>
      </c>
      <c r="I1558" t="s">
        <v>185</v>
      </c>
      <c r="J1558" s="11">
        <v>1</v>
      </c>
      <c r="K1558" s="12">
        <v>949.9</v>
      </c>
      <c r="L1558" s="12">
        <v>102.46</v>
      </c>
      <c r="M1558" s="13">
        <v>5</v>
      </c>
      <c r="N1558" s="13">
        <f t="shared" si="192"/>
        <v>27.877037037033006</v>
      </c>
      <c r="O1558" s="13">
        <f t="shared" si="193"/>
        <v>5.7544675925892079</v>
      </c>
      <c r="P1558" t="str">
        <f t="shared" si="194"/>
        <v>Delayed</v>
      </c>
      <c r="Q1558" s="13">
        <f t="shared" si="195"/>
        <v>0.25416666670935228</v>
      </c>
      <c r="R1558" s="13">
        <f t="shared" si="196"/>
        <v>7.6675347222189885</v>
      </c>
      <c r="S1558" s="13">
        <f t="shared" si="197"/>
        <v>20.198912037034461</v>
      </c>
      <c r="T1558" t="str">
        <f t="shared" si="198"/>
        <v>4-7 Days Late</v>
      </c>
      <c r="U1558" t="str">
        <f t="shared" si="199"/>
        <v>Needs Review</v>
      </c>
      <c r="V1558" t="s">
        <v>102</v>
      </c>
    </row>
    <row r="1559" spans="1:22">
      <c r="A1559" t="s">
        <v>2263</v>
      </c>
      <c r="B1559" s="10">
        <v>43234.959548611114</v>
      </c>
      <c r="C1559" s="10">
        <v>43234.970648148148</v>
      </c>
      <c r="D1559" s="10">
        <v>43236.606249999997</v>
      </c>
      <c r="E1559" s="10">
        <v>43242.811631944445</v>
      </c>
      <c r="F1559" s="10">
        <v>43252</v>
      </c>
      <c r="G1559" t="s">
        <v>33</v>
      </c>
      <c r="H1559" t="s">
        <v>1756</v>
      </c>
      <c r="I1559" t="s">
        <v>101</v>
      </c>
      <c r="J1559" s="11">
        <v>1</v>
      </c>
      <c r="K1559" s="12">
        <v>200</v>
      </c>
      <c r="L1559" s="12">
        <v>27.48</v>
      </c>
      <c r="M1559" s="13">
        <v>4</v>
      </c>
      <c r="N1559" s="13">
        <f t="shared" si="192"/>
        <v>7.8520833333313931</v>
      </c>
      <c r="O1559" s="13">
        <f t="shared" si="193"/>
        <v>0</v>
      </c>
      <c r="P1559" t="str">
        <f t="shared" si="194"/>
        <v>On Time</v>
      </c>
      <c r="Q1559" s="13">
        <f t="shared" si="195"/>
        <v>0.2663888888200745</v>
      </c>
      <c r="R1559" s="13">
        <f t="shared" si="196"/>
        <v>1.63560185184906</v>
      </c>
      <c r="S1559" s="13">
        <f t="shared" si="197"/>
        <v>6.2053819444481633</v>
      </c>
      <c r="T1559" t="str">
        <f t="shared" si="198"/>
        <v>On Time/Early</v>
      </c>
      <c r="U1559" t="str">
        <f t="shared" si="199"/>
        <v>Normal</v>
      </c>
      <c r="V1559" t="s">
        <v>102</v>
      </c>
    </row>
    <row r="1560" spans="1:22">
      <c r="A1560" t="s">
        <v>2264</v>
      </c>
      <c r="B1560" s="10">
        <v>43235.464606481481</v>
      </c>
      <c r="C1560" s="10">
        <v>43236.149606481478</v>
      </c>
      <c r="D1560" s="10">
        <v>43237.536111111112</v>
      </c>
      <c r="E1560" s="10">
        <v>43263.987488425926</v>
      </c>
      <c r="F1560" s="10">
        <v>43262</v>
      </c>
      <c r="G1560" t="s">
        <v>20</v>
      </c>
      <c r="H1560" t="s">
        <v>190</v>
      </c>
      <c r="I1560" t="s">
        <v>101</v>
      </c>
      <c r="J1560" s="11">
        <v>1</v>
      </c>
      <c r="K1560" s="12">
        <v>39.5</v>
      </c>
      <c r="L1560" s="12">
        <v>22.06</v>
      </c>
      <c r="M1560" s="13">
        <v>4</v>
      </c>
      <c r="N1560" s="13">
        <f t="shared" si="192"/>
        <v>28.522881944445544</v>
      </c>
      <c r="O1560" s="13">
        <f t="shared" si="193"/>
        <v>1.9874884259261307</v>
      </c>
      <c r="P1560" t="str">
        <f t="shared" si="194"/>
        <v>Delayed</v>
      </c>
      <c r="Q1560" s="13">
        <f t="shared" si="195"/>
        <v>16.439999999944121</v>
      </c>
      <c r="R1560" s="13">
        <f t="shared" si="196"/>
        <v>1.3865046296341461</v>
      </c>
      <c r="S1560" s="13">
        <f t="shared" si="197"/>
        <v>26.451377314813726</v>
      </c>
      <c r="T1560" t="str">
        <f t="shared" si="198"/>
        <v>1-3 Days Late</v>
      </c>
      <c r="U1560" t="str">
        <f t="shared" si="199"/>
        <v>Needs Review</v>
      </c>
      <c r="V1560" t="s">
        <v>102</v>
      </c>
    </row>
    <row r="1561" spans="1:22">
      <c r="A1561" t="s">
        <v>2265</v>
      </c>
      <c r="B1561" s="10">
        <v>43235.46675925926</v>
      </c>
      <c r="C1561" s="10">
        <v>43236.471620370372</v>
      </c>
      <c r="D1561" s="10">
        <v>43236.543055555558</v>
      </c>
      <c r="E1561" s="10">
        <v>43253.668923611112</v>
      </c>
      <c r="F1561" s="10">
        <v>43264</v>
      </c>
      <c r="G1561" t="s">
        <v>1444</v>
      </c>
      <c r="H1561" t="s">
        <v>1445</v>
      </c>
      <c r="I1561" t="s">
        <v>143</v>
      </c>
      <c r="J1561" s="11">
        <v>1</v>
      </c>
      <c r="K1561" s="12">
        <v>13.99</v>
      </c>
      <c r="L1561" s="12">
        <v>22.85</v>
      </c>
      <c r="M1561" s="13">
        <v>5</v>
      </c>
      <c r="N1561" s="13">
        <f t="shared" si="192"/>
        <v>18.202164351852844</v>
      </c>
      <c r="O1561" s="13">
        <f t="shared" si="193"/>
        <v>0</v>
      </c>
      <c r="P1561" t="str">
        <f t="shared" si="194"/>
        <v>On Time</v>
      </c>
      <c r="Q1561" s="13">
        <f t="shared" si="195"/>
        <v>24.116666666697711</v>
      </c>
      <c r="R1561" s="13">
        <f t="shared" si="196"/>
        <v>7.1435185185691807E-2</v>
      </c>
      <c r="S1561" s="13">
        <f t="shared" si="197"/>
        <v>17.125868055554747</v>
      </c>
      <c r="T1561" t="str">
        <f t="shared" si="198"/>
        <v>On Time/Early</v>
      </c>
      <c r="U1561" t="str">
        <f t="shared" si="199"/>
        <v>Normal</v>
      </c>
      <c r="V1561" t="s">
        <v>102</v>
      </c>
    </row>
    <row r="1562" spans="1:22">
      <c r="A1562" t="s">
        <v>2266</v>
      </c>
      <c r="B1562" s="10">
        <v>43235.544675925928</v>
      </c>
      <c r="C1562" s="10">
        <v>43235.563483796293</v>
      </c>
      <c r="D1562" s="10">
        <v>43243.599305555559</v>
      </c>
      <c r="E1562" s="10">
        <v>43263.640960648147</v>
      </c>
      <c r="F1562" s="10">
        <v>43257</v>
      </c>
      <c r="G1562" t="s">
        <v>16</v>
      </c>
      <c r="H1562" t="s">
        <v>852</v>
      </c>
      <c r="I1562" t="s">
        <v>180</v>
      </c>
      <c r="J1562" s="11">
        <v>1</v>
      </c>
      <c r="K1562" s="12">
        <v>179</v>
      </c>
      <c r="L1562" s="12">
        <v>23.79</v>
      </c>
      <c r="M1562" s="13">
        <v>1</v>
      </c>
      <c r="N1562" s="13">
        <f t="shared" si="192"/>
        <v>28.096284722218115</v>
      </c>
      <c r="O1562" s="13">
        <f t="shared" si="193"/>
        <v>6.6409606481465744</v>
      </c>
      <c r="P1562" t="str">
        <f t="shared" si="194"/>
        <v>Delayed</v>
      </c>
      <c r="Q1562" s="13">
        <f t="shared" si="195"/>
        <v>0.45138888875953853</v>
      </c>
      <c r="R1562" s="13">
        <f t="shared" si="196"/>
        <v>8.0358217592656729</v>
      </c>
      <c r="S1562" s="13">
        <f t="shared" si="197"/>
        <v>20.041655092587462</v>
      </c>
      <c r="T1562" t="str">
        <f t="shared" si="198"/>
        <v>4-7 Days Late</v>
      </c>
      <c r="U1562" t="str">
        <f t="shared" si="199"/>
        <v>Needs Review</v>
      </c>
      <c r="V1562" t="s">
        <v>102</v>
      </c>
    </row>
    <row r="1563" spans="1:22">
      <c r="A1563" t="s">
        <v>2267</v>
      </c>
      <c r="B1563" s="10">
        <v>43235.632303240738</v>
      </c>
      <c r="C1563" s="10">
        <v>43236.121631944443</v>
      </c>
      <c r="D1563" s="10">
        <v>43238.522916666669</v>
      </c>
      <c r="E1563" s="10">
        <v>43260.793958333335</v>
      </c>
      <c r="F1563" s="10">
        <v>43255</v>
      </c>
      <c r="G1563" t="s">
        <v>8</v>
      </c>
      <c r="H1563" t="s">
        <v>140</v>
      </c>
      <c r="I1563" t="s">
        <v>58</v>
      </c>
      <c r="J1563" s="11">
        <v>1</v>
      </c>
      <c r="K1563" s="12">
        <v>69.989999999999995</v>
      </c>
      <c r="L1563" s="12">
        <v>18.07</v>
      </c>
      <c r="M1563" s="13">
        <v>2</v>
      </c>
      <c r="N1563" s="13">
        <f t="shared" si="192"/>
        <v>25.161655092597357</v>
      </c>
      <c r="O1563" s="13">
        <f t="shared" si="193"/>
        <v>5.7939583333354676</v>
      </c>
      <c r="P1563" t="str">
        <f t="shared" si="194"/>
        <v>Delayed</v>
      </c>
      <c r="Q1563" s="13">
        <f t="shared" si="195"/>
        <v>11.743888888915535</v>
      </c>
      <c r="R1563" s="13">
        <f t="shared" si="196"/>
        <v>2.4012847222256823</v>
      </c>
      <c r="S1563" s="13">
        <f t="shared" si="197"/>
        <v>22.271041666666861</v>
      </c>
      <c r="T1563" t="str">
        <f t="shared" si="198"/>
        <v>4-7 Days Late</v>
      </c>
      <c r="U1563" t="str">
        <f t="shared" si="199"/>
        <v>Needs Review</v>
      </c>
      <c r="V1563" t="s">
        <v>102</v>
      </c>
    </row>
    <row r="1564" spans="1:22">
      <c r="A1564" t="s">
        <v>2268</v>
      </c>
      <c r="B1564" s="10">
        <v>43235.648425925923</v>
      </c>
      <c r="C1564" s="10">
        <v>43235.663923611108</v>
      </c>
      <c r="D1564" s="10">
        <v>43235.592361111114</v>
      </c>
      <c r="E1564" s="10">
        <v>43238.700578703705</v>
      </c>
      <c r="F1564" s="10">
        <v>43250</v>
      </c>
      <c r="G1564" t="s">
        <v>8</v>
      </c>
      <c r="H1564" t="s">
        <v>2269</v>
      </c>
      <c r="I1564" t="s">
        <v>180</v>
      </c>
      <c r="J1564" s="11">
        <v>1</v>
      </c>
      <c r="K1564" s="12">
        <v>56.1</v>
      </c>
      <c r="L1564" s="12">
        <v>8.3800000000000008</v>
      </c>
      <c r="M1564" s="13">
        <v>5</v>
      </c>
      <c r="N1564" s="13">
        <f t="shared" si="192"/>
        <v>3.0521527777818847</v>
      </c>
      <c r="O1564" s="13">
        <f t="shared" si="193"/>
        <v>0</v>
      </c>
      <c r="P1564" t="str">
        <f t="shared" si="194"/>
        <v>On Time</v>
      </c>
      <c r="Q1564" s="13">
        <f t="shared" si="195"/>
        <v>0.3719444444286637</v>
      </c>
      <c r="R1564" s="13">
        <f t="shared" si="196"/>
        <v>-7.1562499993888196E-2</v>
      </c>
      <c r="S1564" s="13">
        <f t="shared" si="197"/>
        <v>3.1082175925912452</v>
      </c>
      <c r="T1564" t="str">
        <f t="shared" si="198"/>
        <v>On Time/Early</v>
      </c>
      <c r="U1564" t="str">
        <f t="shared" si="199"/>
        <v>Normal</v>
      </c>
      <c r="V1564" t="s">
        <v>102</v>
      </c>
    </row>
    <row r="1565" spans="1:22">
      <c r="A1565" t="s">
        <v>2270</v>
      </c>
      <c r="B1565" s="10">
        <v>43235.676122685189</v>
      </c>
      <c r="C1565" s="10">
        <v>43235.710381944446</v>
      </c>
      <c r="D1565" s="10">
        <v>43236.292361111111</v>
      </c>
      <c r="E1565" s="10">
        <v>43241.678414351853</v>
      </c>
      <c r="F1565" s="10">
        <v>43257</v>
      </c>
      <c r="G1565" t="s">
        <v>8</v>
      </c>
      <c r="H1565" t="s">
        <v>140</v>
      </c>
      <c r="I1565" t="s">
        <v>753</v>
      </c>
      <c r="J1565" s="11">
        <v>1</v>
      </c>
      <c r="K1565" s="12">
        <v>139</v>
      </c>
      <c r="L1565" s="12">
        <v>13.62</v>
      </c>
      <c r="M1565" s="13">
        <v>5</v>
      </c>
      <c r="N1565" s="13">
        <f t="shared" si="192"/>
        <v>6.0022916666639503</v>
      </c>
      <c r="O1565" s="13">
        <f t="shared" si="193"/>
        <v>0</v>
      </c>
      <c r="P1565" t="str">
        <f t="shared" si="194"/>
        <v>On Time</v>
      </c>
      <c r="Q1565" s="13">
        <f t="shared" si="195"/>
        <v>0.82222222216660157</v>
      </c>
      <c r="R1565" s="13">
        <f t="shared" si="196"/>
        <v>0.5819791666654055</v>
      </c>
      <c r="S1565" s="13">
        <f t="shared" si="197"/>
        <v>5.3860532407416031</v>
      </c>
      <c r="T1565" t="str">
        <f t="shared" si="198"/>
        <v>On Time/Early</v>
      </c>
      <c r="U1565" t="str">
        <f t="shared" si="199"/>
        <v>Normal</v>
      </c>
      <c r="V1565" t="s">
        <v>102</v>
      </c>
    </row>
    <row r="1566" spans="1:22">
      <c r="A1566" t="s">
        <v>2271</v>
      </c>
      <c r="B1566" s="10">
        <v>43235.699131944442</v>
      </c>
      <c r="C1566" s="10">
        <v>43235.734814814816</v>
      </c>
      <c r="D1566" s="10">
        <v>43236.521527777775</v>
      </c>
      <c r="E1566" s="10">
        <v>43250.502002314817</v>
      </c>
      <c r="F1566" s="10">
        <v>43263</v>
      </c>
      <c r="G1566" t="s">
        <v>134</v>
      </c>
      <c r="H1566" t="s">
        <v>799</v>
      </c>
      <c r="I1566" t="s">
        <v>136</v>
      </c>
      <c r="J1566" s="11">
        <v>1</v>
      </c>
      <c r="K1566" s="12">
        <v>169.99</v>
      </c>
      <c r="L1566" s="12">
        <v>20.92</v>
      </c>
      <c r="M1566" s="13">
        <v>5</v>
      </c>
      <c r="N1566" s="13">
        <f t="shared" si="192"/>
        <v>14.802870370374876</v>
      </c>
      <c r="O1566" s="13">
        <f t="shared" si="193"/>
        <v>0</v>
      </c>
      <c r="P1566" t="str">
        <f t="shared" si="194"/>
        <v>On Time</v>
      </c>
      <c r="Q1566" s="13">
        <f t="shared" si="195"/>
        <v>0.85638888896210119</v>
      </c>
      <c r="R1566" s="13">
        <f t="shared" si="196"/>
        <v>0.78671296295942739</v>
      </c>
      <c r="S1566" s="13">
        <f t="shared" si="197"/>
        <v>13.980474537042028</v>
      </c>
      <c r="T1566" t="str">
        <f t="shared" si="198"/>
        <v>On Time/Early</v>
      </c>
      <c r="U1566" t="str">
        <f t="shared" si="199"/>
        <v>Normal</v>
      </c>
      <c r="V1566" t="s">
        <v>102</v>
      </c>
    </row>
    <row r="1567" spans="1:22">
      <c r="A1567" t="s">
        <v>2272</v>
      </c>
      <c r="B1567" s="10">
        <v>43236.071504629632</v>
      </c>
      <c r="C1567" s="10">
        <v>43236.080011574071</v>
      </c>
      <c r="D1567" s="10">
        <v>43237.53402777778</v>
      </c>
      <c r="E1567" s="10">
        <v>43241.82403935185</v>
      </c>
      <c r="F1567" s="10">
        <v>43252</v>
      </c>
      <c r="G1567" t="s">
        <v>8</v>
      </c>
      <c r="H1567" t="s">
        <v>2273</v>
      </c>
      <c r="I1567" t="s">
        <v>115</v>
      </c>
      <c r="J1567" s="11">
        <v>1</v>
      </c>
      <c r="K1567" s="12">
        <v>98.99</v>
      </c>
      <c r="L1567" s="12">
        <v>14.78</v>
      </c>
      <c r="M1567" s="13">
        <v>5</v>
      </c>
      <c r="N1567" s="13">
        <f t="shared" si="192"/>
        <v>5.7525347222181153</v>
      </c>
      <c r="O1567" s="13">
        <f t="shared" si="193"/>
        <v>0</v>
      </c>
      <c r="P1567" t="str">
        <f t="shared" si="194"/>
        <v>On Time</v>
      </c>
      <c r="Q1567" s="13">
        <f t="shared" si="195"/>
        <v>0.20416666654637083</v>
      </c>
      <c r="R1567" s="13">
        <f t="shared" si="196"/>
        <v>1.4540162037083064</v>
      </c>
      <c r="S1567" s="13">
        <f t="shared" si="197"/>
        <v>4.2900115740703768</v>
      </c>
      <c r="T1567" t="str">
        <f t="shared" si="198"/>
        <v>On Time/Early</v>
      </c>
      <c r="U1567" t="str">
        <f t="shared" si="199"/>
        <v>Normal</v>
      </c>
      <c r="V1567" t="s">
        <v>102</v>
      </c>
    </row>
    <row r="1568" spans="1:22">
      <c r="A1568" t="s">
        <v>2274</v>
      </c>
      <c r="B1568" s="10">
        <v>43236.444791666669</v>
      </c>
      <c r="C1568" s="10">
        <v>43236.454409722224</v>
      </c>
      <c r="D1568" s="10">
        <v>43237.629166666666</v>
      </c>
      <c r="E1568" s="10">
        <v>43242.099189814813</v>
      </c>
      <c r="F1568" s="10">
        <v>43256</v>
      </c>
      <c r="G1568" t="s">
        <v>8</v>
      </c>
      <c r="H1568" t="s">
        <v>140</v>
      </c>
      <c r="I1568" t="s">
        <v>180</v>
      </c>
      <c r="J1568" s="11">
        <v>3</v>
      </c>
      <c r="K1568" s="12">
        <v>270.14999999999998</v>
      </c>
      <c r="L1568" s="12">
        <v>46.25</v>
      </c>
      <c r="M1568" s="13">
        <v>4</v>
      </c>
      <c r="N1568" s="13">
        <f t="shared" si="192"/>
        <v>5.6543981481445371</v>
      </c>
      <c r="O1568" s="13">
        <f t="shared" si="193"/>
        <v>0</v>
      </c>
      <c r="P1568" t="str">
        <f t="shared" si="194"/>
        <v>On Time</v>
      </c>
      <c r="Q1568" s="13">
        <f t="shared" si="195"/>
        <v>0.23083333333488554</v>
      </c>
      <c r="R1568" s="13">
        <f t="shared" si="196"/>
        <v>1.1747569444414694</v>
      </c>
      <c r="S1568" s="13">
        <f t="shared" si="197"/>
        <v>4.4700231481474475</v>
      </c>
      <c r="T1568" t="str">
        <f t="shared" si="198"/>
        <v>On Time/Early</v>
      </c>
      <c r="U1568" t="str">
        <f t="shared" si="199"/>
        <v>Normal</v>
      </c>
      <c r="V1568" t="s">
        <v>102</v>
      </c>
    </row>
    <row r="1569" spans="1:22">
      <c r="A1569" t="s">
        <v>2275</v>
      </c>
      <c r="B1569" s="10">
        <v>43236.463263888887</v>
      </c>
      <c r="C1569" s="10">
        <v>43236.482106481482</v>
      </c>
      <c r="D1569" s="10">
        <v>43237.57708333333</v>
      </c>
      <c r="E1569" s="10">
        <v>43259.815150462964</v>
      </c>
      <c r="F1569" s="10">
        <v>43252</v>
      </c>
      <c r="G1569" t="s">
        <v>43</v>
      </c>
      <c r="H1569" t="s">
        <v>167</v>
      </c>
      <c r="I1569" t="s">
        <v>136</v>
      </c>
      <c r="J1569" s="11">
        <v>1</v>
      </c>
      <c r="K1569" s="12">
        <v>370</v>
      </c>
      <c r="L1569" s="12">
        <v>15.74</v>
      </c>
      <c r="M1569" s="13">
        <v>1</v>
      </c>
      <c r="N1569" s="13">
        <f t="shared" si="192"/>
        <v>23.351886574077071</v>
      </c>
      <c r="O1569" s="13">
        <f t="shared" si="193"/>
        <v>7.815150462964084</v>
      </c>
      <c r="P1569" t="str">
        <f t="shared" si="194"/>
        <v>Delayed</v>
      </c>
      <c r="Q1569" s="13">
        <f t="shared" si="195"/>
        <v>0.4522222222876735</v>
      </c>
      <c r="R1569" s="13">
        <f t="shared" si="196"/>
        <v>1.0949768518476048</v>
      </c>
      <c r="S1569" s="13">
        <f t="shared" si="197"/>
        <v>22.238067129634146</v>
      </c>
      <c r="T1569" t="str">
        <f t="shared" si="198"/>
        <v>8+ Days Late</v>
      </c>
      <c r="U1569" t="str">
        <f t="shared" si="199"/>
        <v>Needs Review</v>
      </c>
      <c r="V1569" t="s">
        <v>102</v>
      </c>
    </row>
    <row r="1570" spans="1:22">
      <c r="A1570" t="s">
        <v>2276</v>
      </c>
      <c r="B1570" s="10">
        <v>43236.493530092594</v>
      </c>
      <c r="C1570" s="10">
        <v>43236.509745370371</v>
      </c>
      <c r="D1570" s="10">
        <v>43236.54583333333</v>
      </c>
      <c r="E1570" s="10">
        <v>43242.841886574075</v>
      </c>
      <c r="F1570" s="10">
        <v>43250</v>
      </c>
      <c r="G1570" t="s">
        <v>8</v>
      </c>
      <c r="H1570" t="s">
        <v>140</v>
      </c>
      <c r="I1570" t="s">
        <v>368</v>
      </c>
      <c r="J1570" s="11">
        <v>1</v>
      </c>
      <c r="K1570" s="12">
        <v>89.9</v>
      </c>
      <c r="L1570" s="12">
        <v>16.600000000000001</v>
      </c>
      <c r="M1570" s="13">
        <v>5</v>
      </c>
      <c r="N1570" s="13">
        <f t="shared" si="192"/>
        <v>6.3483564814814599</v>
      </c>
      <c r="O1570" s="13">
        <f t="shared" si="193"/>
        <v>0</v>
      </c>
      <c r="P1570" t="str">
        <f t="shared" si="194"/>
        <v>On Time</v>
      </c>
      <c r="Q1570" s="13">
        <f t="shared" si="195"/>
        <v>0.38916666666045785</v>
      </c>
      <c r="R1570" s="13">
        <f t="shared" si="196"/>
        <v>3.608796295884531E-2</v>
      </c>
      <c r="S1570" s="13">
        <f t="shared" si="197"/>
        <v>6.2960532407450955</v>
      </c>
      <c r="T1570" t="str">
        <f t="shared" si="198"/>
        <v>On Time/Early</v>
      </c>
      <c r="U1570" t="str">
        <f t="shared" si="199"/>
        <v>Normal</v>
      </c>
      <c r="V1570" t="s">
        <v>102</v>
      </c>
    </row>
    <row r="1571" spans="1:22">
      <c r="A1571" t="s">
        <v>2277</v>
      </c>
      <c r="B1571" s="10">
        <v>43236.518101851849</v>
      </c>
      <c r="C1571" s="10">
        <v>43236.537395833337</v>
      </c>
      <c r="D1571" s="10">
        <v>43237.673611111109</v>
      </c>
      <c r="E1571" s="10">
        <v>43238.871365740742</v>
      </c>
      <c r="F1571" s="10">
        <v>43245</v>
      </c>
      <c r="G1571" t="s">
        <v>8</v>
      </c>
      <c r="H1571" t="s">
        <v>1595</v>
      </c>
      <c r="I1571" t="s">
        <v>180</v>
      </c>
      <c r="J1571" s="11">
        <v>1</v>
      </c>
      <c r="K1571" s="12">
        <v>159.9</v>
      </c>
      <c r="L1571" s="12">
        <v>13.02</v>
      </c>
      <c r="M1571" s="13">
        <v>5</v>
      </c>
      <c r="N1571" s="13">
        <f t="shared" si="192"/>
        <v>2.3532638888937072</v>
      </c>
      <c r="O1571" s="13">
        <f t="shared" si="193"/>
        <v>0</v>
      </c>
      <c r="P1571" t="str">
        <f t="shared" si="194"/>
        <v>On Time</v>
      </c>
      <c r="Q1571" s="13">
        <f t="shared" si="195"/>
        <v>0.46305555570870638</v>
      </c>
      <c r="R1571" s="13">
        <f t="shared" si="196"/>
        <v>1.1362152777728625</v>
      </c>
      <c r="S1571" s="13">
        <f t="shared" si="197"/>
        <v>1.197754629632982</v>
      </c>
      <c r="T1571" t="str">
        <f t="shared" si="198"/>
        <v>On Time/Early</v>
      </c>
      <c r="U1571" t="str">
        <f t="shared" si="199"/>
        <v>Normal</v>
      </c>
      <c r="V1571" t="s">
        <v>102</v>
      </c>
    </row>
    <row r="1572" spans="1:22">
      <c r="A1572" t="s">
        <v>2278</v>
      </c>
      <c r="B1572" s="10">
        <v>43236.544432870367</v>
      </c>
      <c r="C1572" s="10">
        <v>43237.136331018519</v>
      </c>
      <c r="D1572" s="10">
        <v>43237.606944444444</v>
      </c>
      <c r="E1572" s="10">
        <v>43242.696423611109</v>
      </c>
      <c r="F1572" s="10">
        <v>43256</v>
      </c>
      <c r="G1572" t="s">
        <v>8</v>
      </c>
      <c r="H1572" t="s">
        <v>2279</v>
      </c>
      <c r="I1572" t="s">
        <v>246</v>
      </c>
      <c r="J1572" s="11">
        <v>1</v>
      </c>
      <c r="K1572" s="12">
        <v>35.950000000000003</v>
      </c>
      <c r="L1572" s="12">
        <v>14.43</v>
      </c>
      <c r="M1572" s="13">
        <v>3</v>
      </c>
      <c r="N1572" s="13">
        <f t="shared" si="192"/>
        <v>6.1519907407418941</v>
      </c>
      <c r="O1572" s="13">
        <f t="shared" si="193"/>
        <v>0</v>
      </c>
      <c r="P1572" t="str">
        <f t="shared" si="194"/>
        <v>On Time</v>
      </c>
      <c r="Q1572" s="13">
        <f t="shared" si="195"/>
        <v>14.205555555643514</v>
      </c>
      <c r="R1572" s="13">
        <f t="shared" si="196"/>
        <v>0.47061342592496658</v>
      </c>
      <c r="S1572" s="13">
        <f t="shared" si="197"/>
        <v>5.0894791666651145</v>
      </c>
      <c r="T1572" t="str">
        <f t="shared" si="198"/>
        <v>On Time/Early</v>
      </c>
      <c r="U1572" t="str">
        <f t="shared" si="199"/>
        <v>Normal</v>
      </c>
      <c r="V1572" t="s">
        <v>102</v>
      </c>
    </row>
    <row r="1573" spans="1:22">
      <c r="A1573" t="s">
        <v>2280</v>
      </c>
      <c r="B1573" s="10">
        <v>43236.609212962961</v>
      </c>
      <c r="C1573" s="10">
        <v>43236.637569444443</v>
      </c>
      <c r="D1573" s="10">
        <v>43236.586805555555</v>
      </c>
      <c r="E1573" s="10">
        <v>43253.727719907409</v>
      </c>
      <c r="F1573" s="10">
        <v>43258</v>
      </c>
      <c r="G1573" t="s">
        <v>16</v>
      </c>
      <c r="H1573" t="s">
        <v>714</v>
      </c>
      <c r="I1573" t="s">
        <v>180</v>
      </c>
      <c r="J1573" s="11">
        <v>1</v>
      </c>
      <c r="K1573" s="12">
        <v>56.1</v>
      </c>
      <c r="L1573" s="12">
        <v>14.01</v>
      </c>
      <c r="M1573" s="13">
        <v>1</v>
      </c>
      <c r="N1573" s="13">
        <f t="shared" si="192"/>
        <v>17.11850694444729</v>
      </c>
      <c r="O1573" s="13">
        <f t="shared" si="193"/>
        <v>0</v>
      </c>
      <c r="P1573" t="str">
        <f t="shared" si="194"/>
        <v>On Time</v>
      </c>
      <c r="Q1573" s="13">
        <f t="shared" si="195"/>
        <v>0.68055555556202307</v>
      </c>
      <c r="R1573" s="13">
        <f t="shared" si="196"/>
        <v>-5.07638888884685E-2</v>
      </c>
      <c r="S1573" s="13">
        <f t="shared" si="197"/>
        <v>17.140914351854008</v>
      </c>
      <c r="T1573" t="str">
        <f t="shared" si="198"/>
        <v>On Time/Early</v>
      </c>
      <c r="U1573" t="str">
        <f t="shared" si="199"/>
        <v>Normal</v>
      </c>
      <c r="V1573" t="s">
        <v>102</v>
      </c>
    </row>
    <row r="1574" spans="1:22">
      <c r="A1574" t="s">
        <v>2281</v>
      </c>
      <c r="B1574" s="10">
        <v>43236.612800925926</v>
      </c>
      <c r="C1574" s="10">
        <v>43236.637650462966</v>
      </c>
      <c r="D1574" s="10">
        <v>43237.643750000003</v>
      </c>
      <c r="E1574" s="10">
        <v>43241.922581018516</v>
      </c>
      <c r="F1574" s="10">
        <v>43265</v>
      </c>
      <c r="G1574" t="s">
        <v>16</v>
      </c>
      <c r="H1574" t="s">
        <v>138</v>
      </c>
      <c r="I1574" t="s">
        <v>58</v>
      </c>
      <c r="J1574" s="11">
        <v>1</v>
      </c>
      <c r="K1574" s="12">
        <v>79.989999999999995</v>
      </c>
      <c r="L1574" s="12">
        <v>9.26</v>
      </c>
      <c r="M1574" s="13">
        <v>5</v>
      </c>
      <c r="N1574" s="13">
        <f t="shared" si="192"/>
        <v>5.30978009258979</v>
      </c>
      <c r="O1574" s="13">
        <f t="shared" si="193"/>
        <v>0</v>
      </c>
      <c r="P1574" t="str">
        <f t="shared" si="194"/>
        <v>On Time</v>
      </c>
      <c r="Q1574" s="13">
        <f t="shared" si="195"/>
        <v>0.59638888895278797</v>
      </c>
      <c r="R1574" s="13">
        <f t="shared" si="196"/>
        <v>1.0060995370367891</v>
      </c>
      <c r="S1574" s="13">
        <f t="shared" si="197"/>
        <v>4.2788310185133014</v>
      </c>
      <c r="T1574" t="str">
        <f t="shared" si="198"/>
        <v>On Time/Early</v>
      </c>
      <c r="U1574" t="str">
        <f t="shared" si="199"/>
        <v>Normal</v>
      </c>
      <c r="V1574" t="s">
        <v>102</v>
      </c>
    </row>
    <row r="1575" spans="1:22">
      <c r="A1575" t="s">
        <v>2282</v>
      </c>
      <c r="B1575" s="10">
        <v>43236.630347222221</v>
      </c>
      <c r="C1575" s="10">
        <v>43237.136296296296</v>
      </c>
      <c r="D1575" s="10">
        <v>43237.538194444445</v>
      </c>
      <c r="E1575" s="10">
        <v>43258.692071759258</v>
      </c>
      <c r="F1575" s="10">
        <v>43270</v>
      </c>
      <c r="G1575" t="s">
        <v>175</v>
      </c>
      <c r="H1575" t="s">
        <v>348</v>
      </c>
      <c r="I1575" t="s">
        <v>101</v>
      </c>
      <c r="J1575" s="11">
        <v>1</v>
      </c>
      <c r="K1575" s="12">
        <v>99.9</v>
      </c>
      <c r="L1575" s="12">
        <v>29.97</v>
      </c>
      <c r="M1575" s="13">
        <v>4</v>
      </c>
      <c r="N1575" s="13">
        <f t="shared" si="192"/>
        <v>22.061724537037662</v>
      </c>
      <c r="O1575" s="13">
        <f t="shared" si="193"/>
        <v>0</v>
      </c>
      <c r="P1575" t="str">
        <f t="shared" si="194"/>
        <v>On Time</v>
      </c>
      <c r="Q1575" s="13">
        <f t="shared" si="195"/>
        <v>12.142777777800802</v>
      </c>
      <c r="R1575" s="13">
        <f t="shared" si="196"/>
        <v>0.40189814814948477</v>
      </c>
      <c r="S1575" s="13">
        <f t="shared" si="197"/>
        <v>21.153877314813144</v>
      </c>
      <c r="T1575" t="str">
        <f t="shared" si="198"/>
        <v>On Time/Early</v>
      </c>
      <c r="U1575" t="str">
        <f t="shared" si="199"/>
        <v>Normal</v>
      </c>
      <c r="V1575" t="s">
        <v>102</v>
      </c>
    </row>
    <row r="1576" spans="1:22">
      <c r="A1576" t="s">
        <v>2283</v>
      </c>
      <c r="B1576" s="10">
        <v>43236.657453703701</v>
      </c>
      <c r="C1576" s="10">
        <v>43236.676840277774</v>
      </c>
      <c r="D1576" s="10">
        <v>43238.37222222222</v>
      </c>
      <c r="E1576" s="10">
        <v>43256.747685185182</v>
      </c>
      <c r="F1576" s="10">
        <v>43258</v>
      </c>
      <c r="G1576" t="s">
        <v>8</v>
      </c>
      <c r="H1576" t="s">
        <v>1425</v>
      </c>
      <c r="I1576" t="s">
        <v>141</v>
      </c>
      <c r="J1576" s="11">
        <v>1</v>
      </c>
      <c r="K1576" s="12">
        <v>359</v>
      </c>
      <c r="L1576" s="12">
        <v>140.4</v>
      </c>
      <c r="M1576" s="13">
        <v>3</v>
      </c>
      <c r="N1576" s="13">
        <f t="shared" si="192"/>
        <v>20.090231481481169</v>
      </c>
      <c r="O1576" s="13">
        <f t="shared" si="193"/>
        <v>0</v>
      </c>
      <c r="P1576" t="str">
        <f t="shared" si="194"/>
        <v>On Time</v>
      </c>
      <c r="Q1576" s="13">
        <f t="shared" si="195"/>
        <v>0.46527777775190771</v>
      </c>
      <c r="R1576" s="13">
        <f t="shared" si="196"/>
        <v>1.695381944446126</v>
      </c>
      <c r="S1576" s="13">
        <f t="shared" si="197"/>
        <v>18.375462962962047</v>
      </c>
      <c r="T1576" t="str">
        <f t="shared" si="198"/>
        <v>On Time/Early</v>
      </c>
      <c r="U1576" t="str">
        <f t="shared" si="199"/>
        <v>Normal</v>
      </c>
      <c r="V1576" t="s">
        <v>102</v>
      </c>
    </row>
    <row r="1577" spans="1:22">
      <c r="A1577" t="s">
        <v>2284</v>
      </c>
      <c r="B1577" s="10">
        <v>43236.739236111112</v>
      </c>
      <c r="C1577" s="10">
        <v>43236.748819444445</v>
      </c>
      <c r="D1577" s="10">
        <v>43237.578472222223</v>
      </c>
      <c r="E1577" s="10">
        <v>43259.064340277779</v>
      </c>
      <c r="F1577" s="10">
        <v>43257</v>
      </c>
      <c r="G1577" t="s">
        <v>747</v>
      </c>
      <c r="H1577" t="s">
        <v>748</v>
      </c>
      <c r="I1577" t="s">
        <v>112</v>
      </c>
      <c r="J1577" s="11">
        <v>1</v>
      </c>
      <c r="K1577" s="12">
        <v>249.99</v>
      </c>
      <c r="L1577" s="12">
        <v>53.88</v>
      </c>
      <c r="M1577" s="13">
        <v>4</v>
      </c>
      <c r="N1577" s="13">
        <f t="shared" si="192"/>
        <v>22.325104166666279</v>
      </c>
      <c r="O1577" s="13">
        <f t="shared" si="193"/>
        <v>2.0643402777786832</v>
      </c>
      <c r="P1577" t="str">
        <f t="shared" si="194"/>
        <v>Delayed</v>
      </c>
      <c r="Q1577" s="13">
        <f t="shared" si="195"/>
        <v>0.22999999998137355</v>
      </c>
      <c r="R1577" s="13">
        <f t="shared" si="196"/>
        <v>0.82965277777839219</v>
      </c>
      <c r="S1577" s="13">
        <f t="shared" si="197"/>
        <v>21.485868055555329</v>
      </c>
      <c r="T1577" t="str">
        <f t="shared" si="198"/>
        <v>1-3 Days Late</v>
      </c>
      <c r="U1577" t="str">
        <f t="shared" si="199"/>
        <v>Needs Review</v>
      </c>
      <c r="V1577" t="s">
        <v>102</v>
      </c>
    </row>
    <row r="1578" spans="1:22">
      <c r="A1578" t="s">
        <v>2285</v>
      </c>
      <c r="B1578" s="10">
        <v>43236.86278935185</v>
      </c>
      <c r="C1578" s="10">
        <v>43238.204456018517</v>
      </c>
      <c r="D1578" s="10">
        <v>43238.61041666667</v>
      </c>
      <c r="E1578" s="10">
        <v>43245.900555555556</v>
      </c>
      <c r="F1578" s="10">
        <v>43256</v>
      </c>
      <c r="G1578" t="s">
        <v>8</v>
      </c>
      <c r="H1578" t="s">
        <v>1466</v>
      </c>
      <c r="I1578" t="s">
        <v>368</v>
      </c>
      <c r="J1578" s="11">
        <v>1</v>
      </c>
      <c r="K1578" s="12">
        <v>56.58</v>
      </c>
      <c r="L1578" s="12">
        <v>15.25</v>
      </c>
      <c r="M1578" s="13">
        <v>5</v>
      </c>
      <c r="N1578" s="13">
        <f t="shared" si="192"/>
        <v>9.0377662037062692</v>
      </c>
      <c r="O1578" s="13">
        <f t="shared" si="193"/>
        <v>0</v>
      </c>
      <c r="P1578" t="str">
        <f t="shared" si="194"/>
        <v>On Time</v>
      </c>
      <c r="Q1578" s="13">
        <f t="shared" si="195"/>
        <v>32.200000000011642</v>
      </c>
      <c r="R1578" s="13">
        <f t="shared" si="196"/>
        <v>0.40596064815326827</v>
      </c>
      <c r="S1578" s="13">
        <f t="shared" si="197"/>
        <v>7.2901388888858492</v>
      </c>
      <c r="T1578" t="str">
        <f t="shared" si="198"/>
        <v>On Time/Early</v>
      </c>
      <c r="U1578" t="str">
        <f t="shared" si="199"/>
        <v>Normal</v>
      </c>
      <c r="V1578" t="s">
        <v>102</v>
      </c>
    </row>
    <row r="1579" spans="1:22">
      <c r="A1579" t="s">
        <v>2286</v>
      </c>
      <c r="B1579" s="10">
        <v>43236.882060185184</v>
      </c>
      <c r="C1579" s="10">
        <v>43236.899953703702</v>
      </c>
      <c r="D1579" s="10">
        <v>43238.620138888888</v>
      </c>
      <c r="E1579" s="10">
        <v>43245.99050925926</v>
      </c>
      <c r="F1579" s="10">
        <v>43245</v>
      </c>
      <c r="G1579" t="s">
        <v>8</v>
      </c>
      <c r="H1579" t="s">
        <v>140</v>
      </c>
      <c r="I1579" t="s">
        <v>101</v>
      </c>
      <c r="J1579" s="11">
        <v>3</v>
      </c>
      <c r="K1579" s="12">
        <v>125.08</v>
      </c>
      <c r="L1579" s="12">
        <v>32.46</v>
      </c>
      <c r="M1579" s="13">
        <v>5</v>
      </c>
      <c r="N1579" s="13">
        <f t="shared" si="192"/>
        <v>9.1084490740759065</v>
      </c>
      <c r="O1579" s="13">
        <f t="shared" si="193"/>
        <v>0.99050925925985212</v>
      </c>
      <c r="P1579" t="str">
        <f t="shared" si="194"/>
        <v>Delayed</v>
      </c>
      <c r="Q1579" s="13">
        <f t="shared" si="195"/>
        <v>0.42944444442400709</v>
      </c>
      <c r="R1579" s="13">
        <f t="shared" si="196"/>
        <v>1.7201851851859828</v>
      </c>
      <c r="S1579" s="13">
        <f t="shared" si="197"/>
        <v>7.3703703703722567</v>
      </c>
      <c r="T1579" t="str">
        <f t="shared" si="198"/>
        <v>1-3 Days Late</v>
      </c>
      <c r="U1579" t="str">
        <f t="shared" si="199"/>
        <v>Needs Review</v>
      </c>
      <c r="V1579" t="s">
        <v>102</v>
      </c>
    </row>
    <row r="1580" spans="1:22">
      <c r="A1580" t="s">
        <v>2287</v>
      </c>
      <c r="B1580" s="10">
        <v>43236.936377314814</v>
      </c>
      <c r="C1580" s="10">
        <v>43236.955393518518</v>
      </c>
      <c r="D1580" s="10">
        <v>43237.531944444447</v>
      </c>
      <c r="E1580" s="10">
        <v>43241.828287037039</v>
      </c>
      <c r="F1580" s="10">
        <v>43250</v>
      </c>
      <c r="G1580" t="s">
        <v>8</v>
      </c>
      <c r="H1580" t="s">
        <v>2288</v>
      </c>
      <c r="I1580" t="s">
        <v>58</v>
      </c>
      <c r="J1580" s="11">
        <v>1</v>
      </c>
      <c r="K1580" s="12">
        <v>82</v>
      </c>
      <c r="L1580" s="12">
        <v>13.01</v>
      </c>
      <c r="M1580" s="13">
        <v>5</v>
      </c>
      <c r="N1580" s="13">
        <f t="shared" si="192"/>
        <v>4.8919097222242272</v>
      </c>
      <c r="O1580" s="13">
        <f t="shared" si="193"/>
        <v>0</v>
      </c>
      <c r="P1580" t="str">
        <f t="shared" si="194"/>
        <v>On Time</v>
      </c>
      <c r="Q1580" s="13">
        <f t="shared" si="195"/>
        <v>0.45638888888061047</v>
      </c>
      <c r="R1580" s="13">
        <f t="shared" si="196"/>
        <v>0.57655092592904111</v>
      </c>
      <c r="S1580" s="13">
        <f t="shared" si="197"/>
        <v>4.2963425925918273</v>
      </c>
      <c r="T1580" t="str">
        <f t="shared" si="198"/>
        <v>On Time/Early</v>
      </c>
      <c r="U1580" t="str">
        <f t="shared" si="199"/>
        <v>Normal</v>
      </c>
      <c r="V1580" t="s">
        <v>102</v>
      </c>
    </row>
    <row r="1581" spans="1:22">
      <c r="A1581" t="s">
        <v>2289</v>
      </c>
      <c r="B1581" s="10">
        <v>43236.992164351854</v>
      </c>
      <c r="C1581" s="10">
        <v>43237.358634259261</v>
      </c>
      <c r="D1581" s="10">
        <v>43237.579861111109</v>
      </c>
      <c r="E1581" s="10">
        <v>43258.578206018516</v>
      </c>
      <c r="F1581" s="10">
        <v>43264</v>
      </c>
      <c r="G1581" t="s">
        <v>57</v>
      </c>
      <c r="H1581" t="s">
        <v>1736</v>
      </c>
      <c r="I1581" t="s">
        <v>221</v>
      </c>
      <c r="J1581" s="11">
        <v>1</v>
      </c>
      <c r="K1581" s="12">
        <v>594.9</v>
      </c>
      <c r="L1581" s="12">
        <v>40.85</v>
      </c>
      <c r="M1581" s="13">
        <v>5</v>
      </c>
      <c r="N1581" s="13">
        <f t="shared" si="192"/>
        <v>21.586041666661913</v>
      </c>
      <c r="O1581" s="13">
        <f t="shared" si="193"/>
        <v>0</v>
      </c>
      <c r="P1581" t="str">
        <f t="shared" si="194"/>
        <v>On Time</v>
      </c>
      <c r="Q1581" s="13">
        <f t="shared" si="195"/>
        <v>8.7952777777682059</v>
      </c>
      <c r="R1581" s="13">
        <f t="shared" si="196"/>
        <v>0.221226851848769</v>
      </c>
      <c r="S1581" s="13">
        <f t="shared" si="197"/>
        <v>20.998344907406135</v>
      </c>
      <c r="T1581" t="str">
        <f t="shared" si="198"/>
        <v>On Time/Early</v>
      </c>
      <c r="U1581" t="str">
        <f t="shared" si="199"/>
        <v>Normal</v>
      </c>
      <c r="V1581" t="s">
        <v>102</v>
      </c>
    </row>
    <row r="1582" spans="1:22">
      <c r="A1582" t="s">
        <v>2290</v>
      </c>
      <c r="B1582" s="10">
        <v>43237.358067129629</v>
      </c>
      <c r="C1582" s="10">
        <v>43237.443449074075</v>
      </c>
      <c r="D1582" s="10">
        <v>43237.567361111112</v>
      </c>
      <c r="E1582" s="10">
        <v>43238.801793981482</v>
      </c>
      <c r="F1582" s="10">
        <v>43248</v>
      </c>
      <c r="G1582" t="s">
        <v>8</v>
      </c>
      <c r="H1582" t="s">
        <v>140</v>
      </c>
      <c r="I1582" t="s">
        <v>118</v>
      </c>
      <c r="J1582" s="11">
        <v>1</v>
      </c>
      <c r="K1582" s="12">
        <v>29.99</v>
      </c>
      <c r="L1582" s="12">
        <v>7.39</v>
      </c>
      <c r="M1582" s="13">
        <v>5</v>
      </c>
      <c r="N1582" s="13">
        <f t="shared" si="192"/>
        <v>1.4437268518522615</v>
      </c>
      <c r="O1582" s="13">
        <f t="shared" si="193"/>
        <v>0</v>
      </c>
      <c r="P1582" t="str">
        <f t="shared" si="194"/>
        <v>On Time</v>
      </c>
      <c r="Q1582" s="13">
        <f t="shared" si="195"/>
        <v>2.0491666666930541</v>
      </c>
      <c r="R1582" s="13">
        <f t="shared" si="196"/>
        <v>0.12391203703737119</v>
      </c>
      <c r="S1582" s="13">
        <f t="shared" si="197"/>
        <v>1.2344328703693463</v>
      </c>
      <c r="T1582" t="str">
        <f t="shared" si="198"/>
        <v>On Time/Early</v>
      </c>
      <c r="U1582" t="str">
        <f t="shared" si="199"/>
        <v>Normal</v>
      </c>
      <c r="V1582" t="s">
        <v>102</v>
      </c>
    </row>
    <row r="1583" spans="1:22">
      <c r="A1583" t="s">
        <v>2291</v>
      </c>
      <c r="B1583" s="10">
        <v>43237.379571759258</v>
      </c>
      <c r="C1583" s="10">
        <v>43238.219826388886</v>
      </c>
      <c r="D1583" s="10">
        <v>43238.409722222219</v>
      </c>
      <c r="E1583" s="10">
        <v>43259.952685185184</v>
      </c>
      <c r="F1583" s="10">
        <v>43269</v>
      </c>
      <c r="G1583" t="s">
        <v>30</v>
      </c>
      <c r="H1583" t="s">
        <v>2292</v>
      </c>
      <c r="I1583" t="s">
        <v>118</v>
      </c>
      <c r="J1583" s="11">
        <v>1</v>
      </c>
      <c r="K1583" s="12">
        <v>21.99</v>
      </c>
      <c r="L1583" s="12">
        <v>18.23</v>
      </c>
      <c r="M1583" s="13">
        <v>4</v>
      </c>
      <c r="N1583" s="13">
        <f t="shared" si="192"/>
        <v>22.57311342592584</v>
      </c>
      <c r="O1583" s="13">
        <f t="shared" si="193"/>
        <v>0</v>
      </c>
      <c r="P1583" t="str">
        <f t="shared" si="194"/>
        <v>On Time</v>
      </c>
      <c r="Q1583" s="13">
        <f t="shared" si="195"/>
        <v>20.166111111058854</v>
      </c>
      <c r="R1583" s="13">
        <f t="shared" si="196"/>
        <v>0.18989583333313931</v>
      </c>
      <c r="S1583" s="13">
        <f t="shared" si="197"/>
        <v>21.542962962965248</v>
      </c>
      <c r="T1583" t="str">
        <f t="shared" si="198"/>
        <v>On Time/Early</v>
      </c>
      <c r="U1583" t="str">
        <f t="shared" si="199"/>
        <v>Normal</v>
      </c>
      <c r="V1583" t="s">
        <v>102</v>
      </c>
    </row>
    <row r="1584" spans="1:22">
      <c r="A1584" t="s">
        <v>2293</v>
      </c>
      <c r="B1584" s="10">
        <v>43237.390983796293</v>
      </c>
      <c r="C1584" s="10">
        <v>43237.44327546296</v>
      </c>
      <c r="D1584" s="10">
        <v>43238.45</v>
      </c>
      <c r="E1584" s="10">
        <v>43242.91983796296</v>
      </c>
      <c r="F1584" s="10">
        <v>43252</v>
      </c>
      <c r="G1584" t="s">
        <v>8</v>
      </c>
      <c r="H1584" t="s">
        <v>140</v>
      </c>
      <c r="I1584" t="s">
        <v>180</v>
      </c>
      <c r="J1584" s="11">
        <v>2</v>
      </c>
      <c r="K1584" s="12">
        <v>98</v>
      </c>
      <c r="L1584" s="12">
        <v>28.88</v>
      </c>
      <c r="M1584" s="13">
        <v>5</v>
      </c>
      <c r="N1584" s="13">
        <f t="shared" si="192"/>
        <v>5.5288541666668607</v>
      </c>
      <c r="O1584" s="13">
        <f t="shared" si="193"/>
        <v>0</v>
      </c>
      <c r="P1584" t="str">
        <f t="shared" si="194"/>
        <v>On Time</v>
      </c>
      <c r="Q1584" s="13">
        <f t="shared" si="195"/>
        <v>1.2550000000046566</v>
      </c>
      <c r="R1584" s="13">
        <f t="shared" si="196"/>
        <v>1.0067245370373712</v>
      </c>
      <c r="S1584" s="13">
        <f t="shared" si="197"/>
        <v>4.4698379629626288</v>
      </c>
      <c r="T1584" t="str">
        <f t="shared" si="198"/>
        <v>On Time/Early</v>
      </c>
      <c r="U1584" t="str">
        <f t="shared" si="199"/>
        <v>Normal</v>
      </c>
      <c r="V1584" t="s">
        <v>102</v>
      </c>
    </row>
    <row r="1585" spans="1:22">
      <c r="A1585" t="s">
        <v>2294</v>
      </c>
      <c r="B1585" s="10">
        <v>43237.413715277777</v>
      </c>
      <c r="C1585" s="10">
        <v>43238.21974537037</v>
      </c>
      <c r="D1585" s="10">
        <v>43244.603472222225</v>
      </c>
      <c r="E1585" s="10">
        <v>43258.800636574073</v>
      </c>
      <c r="F1585" s="10">
        <v>43265</v>
      </c>
      <c r="G1585" t="s">
        <v>30</v>
      </c>
      <c r="H1585" t="s">
        <v>1741</v>
      </c>
      <c r="I1585" t="s">
        <v>101</v>
      </c>
      <c r="J1585" s="11">
        <v>1</v>
      </c>
      <c r="K1585" s="12">
        <v>259.89999999999998</v>
      </c>
      <c r="L1585" s="12">
        <v>47.9</v>
      </c>
      <c r="M1585" s="13">
        <v>3</v>
      </c>
      <c r="N1585" s="13">
        <f t="shared" si="192"/>
        <v>21.38692129629635</v>
      </c>
      <c r="O1585" s="13">
        <f t="shared" si="193"/>
        <v>0</v>
      </c>
      <c r="P1585" t="str">
        <f t="shared" si="194"/>
        <v>On Time</v>
      </c>
      <c r="Q1585" s="13">
        <f t="shared" si="195"/>
        <v>19.344722222245764</v>
      </c>
      <c r="R1585" s="13">
        <f t="shared" si="196"/>
        <v>6.3837268518545898</v>
      </c>
      <c r="S1585" s="13">
        <f t="shared" si="197"/>
        <v>14.197164351848187</v>
      </c>
      <c r="T1585" t="str">
        <f t="shared" si="198"/>
        <v>On Time/Early</v>
      </c>
      <c r="U1585" t="str">
        <f t="shared" si="199"/>
        <v>Normal</v>
      </c>
      <c r="V1585" t="s">
        <v>102</v>
      </c>
    </row>
    <row r="1586" spans="1:22">
      <c r="A1586" t="s">
        <v>2295</v>
      </c>
      <c r="B1586" s="10">
        <v>43237.612754629627</v>
      </c>
      <c r="C1586" s="10">
        <v>43238.219687500001</v>
      </c>
      <c r="D1586" s="10">
        <v>43238.631249999999</v>
      </c>
      <c r="E1586" s="10">
        <v>43242.703020833331</v>
      </c>
      <c r="F1586" s="10">
        <v>43252</v>
      </c>
      <c r="G1586" t="s">
        <v>8</v>
      </c>
      <c r="H1586" t="s">
        <v>2296</v>
      </c>
      <c r="I1586" t="s">
        <v>154</v>
      </c>
      <c r="J1586" s="11">
        <v>1</v>
      </c>
      <c r="K1586" s="12">
        <v>42.99</v>
      </c>
      <c r="L1586" s="12">
        <v>13.71</v>
      </c>
      <c r="M1586" s="13">
        <v>5</v>
      </c>
      <c r="N1586" s="13">
        <f t="shared" si="192"/>
        <v>5.0902662037042319</v>
      </c>
      <c r="O1586" s="13">
        <f t="shared" si="193"/>
        <v>0</v>
      </c>
      <c r="P1586" t="str">
        <f t="shared" si="194"/>
        <v>On Time</v>
      </c>
      <c r="Q1586" s="13">
        <f t="shared" si="195"/>
        <v>14.566388888983056</v>
      </c>
      <c r="R1586" s="13">
        <f t="shared" si="196"/>
        <v>0.41156249999767169</v>
      </c>
      <c r="S1586" s="13">
        <f t="shared" si="197"/>
        <v>4.0717708333322662</v>
      </c>
      <c r="T1586" t="str">
        <f t="shared" si="198"/>
        <v>On Time/Early</v>
      </c>
      <c r="U1586" t="str">
        <f t="shared" si="199"/>
        <v>Normal</v>
      </c>
      <c r="V1586" t="s">
        <v>102</v>
      </c>
    </row>
    <row r="1587" spans="1:22">
      <c r="A1587" t="s">
        <v>2297</v>
      </c>
      <c r="B1587" s="10">
        <v>43237.648356481484</v>
      </c>
      <c r="C1587" s="10">
        <v>43238.02615740741</v>
      </c>
      <c r="D1587" s="10">
        <v>43238.425694444442</v>
      </c>
      <c r="E1587" s="10">
        <v>43243.424629629626</v>
      </c>
      <c r="F1587" s="10">
        <v>43252</v>
      </c>
      <c r="G1587" t="s">
        <v>8</v>
      </c>
      <c r="H1587" t="s">
        <v>1094</v>
      </c>
      <c r="I1587" t="s">
        <v>120</v>
      </c>
      <c r="J1587" s="11">
        <v>1</v>
      </c>
      <c r="K1587" s="12">
        <v>68</v>
      </c>
      <c r="L1587" s="12">
        <v>14.57</v>
      </c>
      <c r="M1587" s="13">
        <v>4</v>
      </c>
      <c r="N1587" s="13">
        <f t="shared" si="192"/>
        <v>5.7762731481416267</v>
      </c>
      <c r="O1587" s="13">
        <f t="shared" si="193"/>
        <v>0</v>
      </c>
      <c r="P1587" t="str">
        <f t="shared" si="194"/>
        <v>On Time</v>
      </c>
      <c r="Q1587" s="13">
        <f t="shared" si="195"/>
        <v>9.0672222222201526</v>
      </c>
      <c r="R1587" s="13">
        <f t="shared" si="196"/>
        <v>0.3995370370321325</v>
      </c>
      <c r="S1587" s="13">
        <f t="shared" si="197"/>
        <v>4.9989351851836545</v>
      </c>
      <c r="T1587" t="str">
        <f t="shared" si="198"/>
        <v>On Time/Early</v>
      </c>
      <c r="U1587" t="str">
        <f t="shared" si="199"/>
        <v>Normal</v>
      </c>
      <c r="V1587" t="s">
        <v>102</v>
      </c>
    </row>
    <row r="1588" spans="1:22">
      <c r="A1588" t="s">
        <v>2298</v>
      </c>
      <c r="B1588" s="10">
        <v>43237.674745370372</v>
      </c>
      <c r="C1588" s="10">
        <v>43238.09337962963</v>
      </c>
      <c r="D1588" s="10">
        <v>43238.566666666666</v>
      </c>
      <c r="E1588" s="10">
        <v>43248.806840277779</v>
      </c>
      <c r="F1588" s="10">
        <v>43259</v>
      </c>
      <c r="G1588" t="s">
        <v>8</v>
      </c>
      <c r="H1588" t="s">
        <v>607</v>
      </c>
      <c r="I1588" t="s">
        <v>141</v>
      </c>
      <c r="J1588" s="11">
        <v>1</v>
      </c>
      <c r="K1588" s="12">
        <v>192.9</v>
      </c>
      <c r="L1588" s="12">
        <v>23.93</v>
      </c>
      <c r="M1588" s="13">
        <v>3</v>
      </c>
      <c r="N1588" s="13">
        <f t="shared" si="192"/>
        <v>11.132094907407009</v>
      </c>
      <c r="O1588" s="13">
        <f t="shared" si="193"/>
        <v>0</v>
      </c>
      <c r="P1588" t="str">
        <f t="shared" si="194"/>
        <v>On Time</v>
      </c>
      <c r="Q1588" s="13">
        <f t="shared" si="195"/>
        <v>10.047222222201526</v>
      </c>
      <c r="R1588" s="13">
        <f t="shared" si="196"/>
        <v>0.47328703703533392</v>
      </c>
      <c r="S1588" s="13">
        <f t="shared" si="197"/>
        <v>10.240173611113278</v>
      </c>
      <c r="T1588" t="str">
        <f t="shared" si="198"/>
        <v>On Time/Early</v>
      </c>
      <c r="U1588" t="str">
        <f t="shared" si="199"/>
        <v>Normal</v>
      </c>
      <c r="V1588" t="s">
        <v>102</v>
      </c>
    </row>
    <row r="1589" spans="1:22">
      <c r="A1589" t="s">
        <v>2299</v>
      </c>
      <c r="B1589" s="10">
        <v>43237.691192129627</v>
      </c>
      <c r="C1589" s="10">
        <v>43238.010405092595</v>
      </c>
      <c r="D1589" s="10">
        <v>43242.67083333333</v>
      </c>
      <c r="E1589" s="10">
        <v>43243.721273148149</v>
      </c>
      <c r="F1589" s="10">
        <v>43248</v>
      </c>
      <c r="G1589" t="s">
        <v>8</v>
      </c>
      <c r="H1589" t="s">
        <v>309</v>
      </c>
      <c r="I1589" t="s">
        <v>101</v>
      </c>
      <c r="J1589" s="11">
        <v>1</v>
      </c>
      <c r="K1589" s="12">
        <v>78</v>
      </c>
      <c r="L1589" s="12">
        <v>12.45</v>
      </c>
      <c r="M1589" s="13">
        <v>5</v>
      </c>
      <c r="N1589" s="13">
        <f t="shared" si="192"/>
        <v>6.0300810185217415</v>
      </c>
      <c r="O1589" s="13">
        <f t="shared" si="193"/>
        <v>0</v>
      </c>
      <c r="P1589" t="str">
        <f t="shared" si="194"/>
        <v>On Time</v>
      </c>
      <c r="Q1589" s="13">
        <f t="shared" si="195"/>
        <v>7.6611111112288199</v>
      </c>
      <c r="R1589" s="13">
        <f t="shared" si="196"/>
        <v>4.6604282407352002</v>
      </c>
      <c r="S1589" s="13">
        <f t="shared" si="197"/>
        <v>1.0504398148186738</v>
      </c>
      <c r="T1589" t="str">
        <f t="shared" si="198"/>
        <v>On Time/Early</v>
      </c>
      <c r="U1589" t="str">
        <f t="shared" si="199"/>
        <v>Normal</v>
      </c>
      <c r="V1589" t="s">
        <v>102</v>
      </c>
    </row>
    <row r="1590" spans="1:22">
      <c r="A1590" t="s">
        <v>2300</v>
      </c>
      <c r="B1590" s="10">
        <v>43237.692696759259</v>
      </c>
      <c r="C1590" s="10">
        <v>43238.010254629633</v>
      </c>
      <c r="D1590" s="10">
        <v>43238.412499999999</v>
      </c>
      <c r="E1590" s="10">
        <v>43260.598634259259</v>
      </c>
      <c r="F1590" s="10">
        <v>43273</v>
      </c>
      <c r="G1590" t="s">
        <v>175</v>
      </c>
      <c r="H1590" t="s">
        <v>338</v>
      </c>
      <c r="I1590" t="s">
        <v>31</v>
      </c>
      <c r="J1590" s="11">
        <v>1</v>
      </c>
      <c r="K1590" s="12">
        <v>44</v>
      </c>
      <c r="L1590" s="12">
        <v>19.04</v>
      </c>
      <c r="M1590" s="13">
        <v>4</v>
      </c>
      <c r="N1590" s="13">
        <f t="shared" si="192"/>
        <v>22.905937499999709</v>
      </c>
      <c r="O1590" s="13">
        <f t="shared" si="193"/>
        <v>0</v>
      </c>
      <c r="P1590" t="str">
        <f t="shared" si="194"/>
        <v>On Time</v>
      </c>
      <c r="Q1590" s="13">
        <f t="shared" si="195"/>
        <v>7.621388888976071</v>
      </c>
      <c r="R1590" s="13">
        <f t="shared" si="196"/>
        <v>0.40224537036556285</v>
      </c>
      <c r="S1590" s="13">
        <f t="shared" si="197"/>
        <v>22.186134259260143</v>
      </c>
      <c r="T1590" t="str">
        <f t="shared" si="198"/>
        <v>On Time/Early</v>
      </c>
      <c r="U1590" t="str">
        <f t="shared" si="199"/>
        <v>Normal</v>
      </c>
      <c r="V1590" t="s">
        <v>102</v>
      </c>
    </row>
    <row r="1591" spans="1:22">
      <c r="A1591" t="s">
        <v>2301</v>
      </c>
      <c r="B1591" s="10">
        <v>43237.699444444443</v>
      </c>
      <c r="C1591" s="10">
        <v>43238.371944444443</v>
      </c>
      <c r="D1591" s="10">
        <v>43238.530555555553</v>
      </c>
      <c r="E1591" s="10">
        <v>43256.940682870372</v>
      </c>
      <c r="F1591" s="10">
        <v>43252</v>
      </c>
      <c r="G1591" t="s">
        <v>36</v>
      </c>
      <c r="H1591" t="s">
        <v>216</v>
      </c>
      <c r="I1591" t="s">
        <v>1508</v>
      </c>
      <c r="J1591" s="11">
        <v>1</v>
      </c>
      <c r="K1591" s="12">
        <v>429</v>
      </c>
      <c r="L1591" s="12">
        <v>24.53</v>
      </c>
      <c r="M1591" s="13">
        <v>4</v>
      </c>
      <c r="N1591" s="13">
        <f t="shared" si="192"/>
        <v>19.241238425929623</v>
      </c>
      <c r="O1591" s="13">
        <f t="shared" si="193"/>
        <v>4.9406828703722567</v>
      </c>
      <c r="P1591" t="str">
        <f t="shared" si="194"/>
        <v>Delayed</v>
      </c>
      <c r="Q1591" s="13">
        <f t="shared" si="195"/>
        <v>16.14000000001397</v>
      </c>
      <c r="R1591" s="13">
        <f t="shared" si="196"/>
        <v>0.15861111111007631</v>
      </c>
      <c r="S1591" s="13">
        <f t="shared" si="197"/>
        <v>18.410127314818965</v>
      </c>
      <c r="T1591" t="str">
        <f t="shared" si="198"/>
        <v>4-7 Days Late</v>
      </c>
      <c r="U1591" t="str">
        <f t="shared" si="199"/>
        <v>Needs Review</v>
      </c>
      <c r="V1591" t="s">
        <v>102</v>
      </c>
    </row>
    <row r="1592" spans="1:22">
      <c r="A1592" t="s">
        <v>2302</v>
      </c>
      <c r="B1592" s="10">
        <v>43237.746689814812</v>
      </c>
      <c r="C1592" s="10">
        <v>43238.191724537035</v>
      </c>
      <c r="D1592" s="10">
        <v>43238.584722222222</v>
      </c>
      <c r="E1592" s="10">
        <v>43257.786597222221</v>
      </c>
      <c r="F1592" s="10">
        <v>43269</v>
      </c>
      <c r="G1592" t="s">
        <v>16</v>
      </c>
      <c r="H1592" t="s">
        <v>138</v>
      </c>
      <c r="I1592" t="s">
        <v>143</v>
      </c>
      <c r="J1592" s="11">
        <v>1</v>
      </c>
      <c r="K1592" s="12">
        <v>37.9</v>
      </c>
      <c r="L1592" s="12">
        <v>16.32</v>
      </c>
      <c r="M1592" s="13">
        <v>5</v>
      </c>
      <c r="N1592" s="13">
        <f t="shared" si="192"/>
        <v>20.039907407408464</v>
      </c>
      <c r="O1592" s="13">
        <f t="shared" si="193"/>
        <v>0</v>
      </c>
      <c r="P1592" t="str">
        <f t="shared" si="194"/>
        <v>On Time</v>
      </c>
      <c r="Q1592" s="13">
        <f t="shared" si="195"/>
        <v>10.680833333346527</v>
      </c>
      <c r="R1592" s="13">
        <f t="shared" si="196"/>
        <v>0.39299768518685596</v>
      </c>
      <c r="S1592" s="13">
        <f t="shared" si="197"/>
        <v>19.201874999998836</v>
      </c>
      <c r="T1592" t="str">
        <f t="shared" si="198"/>
        <v>On Time/Early</v>
      </c>
      <c r="U1592" t="str">
        <f t="shared" si="199"/>
        <v>Normal</v>
      </c>
      <c r="V1592" t="s">
        <v>102</v>
      </c>
    </row>
    <row r="1593" spans="1:22">
      <c r="A1593" t="s">
        <v>2303</v>
      </c>
      <c r="B1593" s="10">
        <v>43237.748194444444</v>
      </c>
      <c r="C1593" s="10">
        <v>43238.136342592596</v>
      </c>
      <c r="D1593" s="10">
        <v>43238.529861111114</v>
      </c>
      <c r="E1593" s="10">
        <v>43243.515127314815</v>
      </c>
      <c r="F1593" s="10">
        <v>43252</v>
      </c>
      <c r="G1593" t="s">
        <v>8</v>
      </c>
      <c r="H1593" t="s">
        <v>2032</v>
      </c>
      <c r="I1593" t="s">
        <v>44</v>
      </c>
      <c r="J1593" s="11">
        <v>3</v>
      </c>
      <c r="K1593" s="12">
        <v>311.7</v>
      </c>
      <c r="L1593" s="12">
        <v>44.46</v>
      </c>
      <c r="M1593" s="13">
        <v>5</v>
      </c>
      <c r="N1593" s="13">
        <f t="shared" si="192"/>
        <v>5.7669328703705105</v>
      </c>
      <c r="O1593" s="13">
        <f t="shared" si="193"/>
        <v>0</v>
      </c>
      <c r="P1593" t="str">
        <f t="shared" si="194"/>
        <v>On Time</v>
      </c>
      <c r="Q1593" s="13">
        <f t="shared" si="195"/>
        <v>9.315555555629544</v>
      </c>
      <c r="R1593" s="13">
        <f t="shared" si="196"/>
        <v>0.39351851851824904</v>
      </c>
      <c r="S1593" s="13">
        <f t="shared" si="197"/>
        <v>4.9852662037010305</v>
      </c>
      <c r="T1593" t="str">
        <f t="shared" si="198"/>
        <v>On Time/Early</v>
      </c>
      <c r="U1593" t="str">
        <f t="shared" si="199"/>
        <v>Normal</v>
      </c>
      <c r="V1593" t="s">
        <v>102</v>
      </c>
    </row>
    <row r="1594" spans="1:22">
      <c r="A1594" t="s">
        <v>2304</v>
      </c>
      <c r="B1594" s="10">
        <v>43237.836435185185</v>
      </c>
      <c r="C1594" s="10">
        <v>43238.081493055557</v>
      </c>
      <c r="D1594" s="10">
        <v>43245.512499999997</v>
      </c>
      <c r="E1594" s="10">
        <v>43248.674849537034</v>
      </c>
      <c r="F1594" s="10">
        <v>43250</v>
      </c>
      <c r="G1594" t="s">
        <v>8</v>
      </c>
      <c r="H1594" t="s">
        <v>430</v>
      </c>
      <c r="I1594" t="s">
        <v>44</v>
      </c>
      <c r="J1594" s="11">
        <v>1</v>
      </c>
      <c r="K1594" s="12">
        <v>132.9</v>
      </c>
      <c r="L1594" s="12">
        <v>11.56</v>
      </c>
      <c r="M1594" s="13">
        <v>5</v>
      </c>
      <c r="N1594" s="13">
        <f t="shared" si="192"/>
        <v>10.838414351848769</v>
      </c>
      <c r="O1594" s="13">
        <f t="shared" si="193"/>
        <v>0</v>
      </c>
      <c r="P1594" t="str">
        <f t="shared" si="194"/>
        <v>On Time</v>
      </c>
      <c r="Q1594" s="13">
        <f t="shared" si="195"/>
        <v>5.8813888889271766</v>
      </c>
      <c r="R1594" s="13">
        <f t="shared" si="196"/>
        <v>7.4310069444400142</v>
      </c>
      <c r="S1594" s="13">
        <f t="shared" si="197"/>
        <v>3.1623495370367891</v>
      </c>
      <c r="T1594" t="str">
        <f t="shared" si="198"/>
        <v>On Time/Early</v>
      </c>
      <c r="U1594" t="str">
        <f t="shared" si="199"/>
        <v>Normal</v>
      </c>
      <c r="V1594" t="s">
        <v>102</v>
      </c>
    </row>
    <row r="1595" spans="1:22">
      <c r="A1595" t="s">
        <v>2305</v>
      </c>
      <c r="B1595" s="10">
        <v>43237.870532407411</v>
      </c>
      <c r="C1595" s="10">
        <v>43238.177256944444</v>
      </c>
      <c r="D1595" s="10">
        <v>43238.53125</v>
      </c>
      <c r="E1595" s="10">
        <v>43257.936574074076</v>
      </c>
      <c r="F1595" s="10">
        <v>43272</v>
      </c>
      <c r="G1595" t="s">
        <v>16</v>
      </c>
      <c r="H1595" t="s">
        <v>138</v>
      </c>
      <c r="I1595" t="s">
        <v>2306</v>
      </c>
      <c r="J1595" s="11">
        <v>1</v>
      </c>
      <c r="K1595" s="12">
        <v>858.9</v>
      </c>
      <c r="L1595" s="12">
        <v>28.55</v>
      </c>
      <c r="M1595" s="13">
        <v>5</v>
      </c>
      <c r="N1595" s="13">
        <f t="shared" si="192"/>
        <v>20.066041666665114</v>
      </c>
      <c r="O1595" s="13">
        <f t="shared" si="193"/>
        <v>0</v>
      </c>
      <c r="P1595" t="str">
        <f t="shared" si="194"/>
        <v>On Time</v>
      </c>
      <c r="Q1595" s="13">
        <f t="shared" si="195"/>
        <v>7.3613888887921348</v>
      </c>
      <c r="R1595" s="13">
        <f t="shared" si="196"/>
        <v>0.35399305555620231</v>
      </c>
      <c r="S1595" s="13">
        <f t="shared" si="197"/>
        <v>19.405324074075907</v>
      </c>
      <c r="T1595" t="str">
        <f t="shared" si="198"/>
        <v>On Time/Early</v>
      </c>
      <c r="U1595" t="str">
        <f t="shared" si="199"/>
        <v>Normal</v>
      </c>
      <c r="V1595" t="s">
        <v>102</v>
      </c>
    </row>
    <row r="1596" spans="1:22">
      <c r="A1596" t="s">
        <v>2307</v>
      </c>
      <c r="B1596" s="10">
        <v>43237.90179398148</v>
      </c>
      <c r="C1596" s="10">
        <v>43238.121064814812</v>
      </c>
      <c r="D1596" s="10">
        <v>43238.645138888889</v>
      </c>
      <c r="E1596" s="10">
        <v>43256.740856481483</v>
      </c>
      <c r="F1596" s="10">
        <v>43257</v>
      </c>
      <c r="G1596" t="s">
        <v>36</v>
      </c>
      <c r="H1596" t="s">
        <v>2308</v>
      </c>
      <c r="I1596" t="s">
        <v>2309</v>
      </c>
      <c r="J1596" s="11">
        <v>1</v>
      </c>
      <c r="K1596" s="12">
        <v>339.9</v>
      </c>
      <c r="L1596" s="12">
        <v>20.260000000000002</v>
      </c>
      <c r="M1596" s="13">
        <v>4</v>
      </c>
      <c r="N1596" s="13">
        <f t="shared" si="192"/>
        <v>18.83906250000291</v>
      </c>
      <c r="O1596" s="13">
        <f t="shared" si="193"/>
        <v>0</v>
      </c>
      <c r="P1596" t="str">
        <f t="shared" si="194"/>
        <v>On Time</v>
      </c>
      <c r="Q1596" s="13">
        <f t="shared" si="195"/>
        <v>5.2624999999534339</v>
      </c>
      <c r="R1596" s="13">
        <f t="shared" si="196"/>
        <v>0.52407407407736173</v>
      </c>
      <c r="S1596" s="13">
        <f t="shared" si="197"/>
        <v>18.095717592594156</v>
      </c>
      <c r="T1596" t="str">
        <f t="shared" si="198"/>
        <v>On Time/Early</v>
      </c>
      <c r="U1596" t="str">
        <f t="shared" si="199"/>
        <v>Normal</v>
      </c>
      <c r="V1596" t="s">
        <v>102</v>
      </c>
    </row>
    <row r="1597" spans="1:22">
      <c r="A1597" t="s">
        <v>2310</v>
      </c>
      <c r="B1597" s="10">
        <v>43238.456145833334</v>
      </c>
      <c r="C1597" s="10">
        <v>43238.534872685188</v>
      </c>
      <c r="D1597" s="10">
        <v>43241.686111111114</v>
      </c>
      <c r="E1597" s="10">
        <v>43243.719895833332</v>
      </c>
      <c r="F1597" s="10">
        <v>43250</v>
      </c>
      <c r="G1597" t="s">
        <v>8</v>
      </c>
      <c r="H1597" t="s">
        <v>140</v>
      </c>
      <c r="I1597" t="s">
        <v>58</v>
      </c>
      <c r="J1597" s="11">
        <v>1</v>
      </c>
      <c r="K1597" s="12">
        <v>49.9</v>
      </c>
      <c r="L1597" s="12">
        <v>11.15</v>
      </c>
      <c r="M1597" s="13">
        <v>5</v>
      </c>
      <c r="N1597" s="13">
        <f t="shared" si="192"/>
        <v>5.2637499999982538</v>
      </c>
      <c r="O1597" s="13">
        <f t="shared" si="193"/>
        <v>0</v>
      </c>
      <c r="P1597" t="str">
        <f t="shared" si="194"/>
        <v>On Time</v>
      </c>
      <c r="Q1597" s="13">
        <f t="shared" si="195"/>
        <v>1.8894444445031695</v>
      </c>
      <c r="R1597" s="13">
        <f t="shared" si="196"/>
        <v>3.1512384259258397</v>
      </c>
      <c r="S1597" s="13">
        <f t="shared" si="197"/>
        <v>2.0337847222181153</v>
      </c>
      <c r="T1597" t="str">
        <f t="shared" si="198"/>
        <v>On Time/Early</v>
      </c>
      <c r="U1597" t="str">
        <f t="shared" si="199"/>
        <v>Normal</v>
      </c>
      <c r="V1597" t="s">
        <v>102</v>
      </c>
    </row>
    <row r="1598" spans="1:22">
      <c r="A1598" t="s">
        <v>2311</v>
      </c>
      <c r="B1598" s="10">
        <v>43238.579837962963</v>
      </c>
      <c r="C1598" s="10">
        <v>43239.541354166664</v>
      </c>
      <c r="D1598" s="10">
        <v>43241.677083333336</v>
      </c>
      <c r="E1598" s="10">
        <v>43243.779317129629</v>
      </c>
      <c r="F1598" s="10">
        <v>43250</v>
      </c>
      <c r="G1598" t="s">
        <v>8</v>
      </c>
      <c r="H1598" t="s">
        <v>140</v>
      </c>
      <c r="I1598" t="s">
        <v>368</v>
      </c>
      <c r="J1598" s="11">
        <v>2</v>
      </c>
      <c r="K1598" s="12">
        <v>339.8</v>
      </c>
      <c r="L1598" s="12">
        <v>19.079999999999998</v>
      </c>
      <c r="M1598" s="13">
        <v>5</v>
      </c>
      <c r="N1598" s="13">
        <f t="shared" si="192"/>
        <v>5.1994791666656965</v>
      </c>
      <c r="O1598" s="13">
        <f t="shared" si="193"/>
        <v>0</v>
      </c>
      <c r="P1598" t="str">
        <f t="shared" si="194"/>
        <v>On Time</v>
      </c>
      <c r="Q1598" s="13">
        <f t="shared" si="195"/>
        <v>23.076388888817746</v>
      </c>
      <c r="R1598" s="13">
        <f t="shared" si="196"/>
        <v>2.1357291666718083</v>
      </c>
      <c r="S1598" s="13">
        <f t="shared" si="197"/>
        <v>2.1022337962931488</v>
      </c>
      <c r="T1598" t="str">
        <f t="shared" si="198"/>
        <v>On Time/Early</v>
      </c>
      <c r="U1598" t="str">
        <f t="shared" si="199"/>
        <v>Normal</v>
      </c>
      <c r="V1598" t="s">
        <v>102</v>
      </c>
    </row>
    <row r="1599" spans="1:22">
      <c r="A1599" t="s">
        <v>2312</v>
      </c>
      <c r="B1599" s="10">
        <v>43238.664039351854</v>
      </c>
      <c r="C1599" s="10">
        <v>43242.384965277779</v>
      </c>
      <c r="D1599" s="10">
        <v>43243.632638888892</v>
      </c>
      <c r="E1599" s="10">
        <v>43252.502662037034</v>
      </c>
      <c r="F1599" s="10">
        <v>43248</v>
      </c>
      <c r="G1599" t="s">
        <v>8</v>
      </c>
      <c r="H1599" t="s">
        <v>1466</v>
      </c>
      <c r="I1599" t="s">
        <v>177</v>
      </c>
      <c r="J1599" s="11">
        <v>1</v>
      </c>
      <c r="K1599" s="12">
        <v>55</v>
      </c>
      <c r="L1599" s="12">
        <v>8.8800000000000008</v>
      </c>
      <c r="M1599" s="13">
        <v>4</v>
      </c>
      <c r="N1599" s="13">
        <f t="shared" si="192"/>
        <v>13.838622685179871</v>
      </c>
      <c r="O1599" s="13">
        <f t="shared" si="193"/>
        <v>4.5026620370335877</v>
      </c>
      <c r="P1599" t="str">
        <f t="shared" si="194"/>
        <v>Delayed</v>
      </c>
      <c r="Q1599" s="13">
        <f t="shared" si="195"/>
        <v>89.302222222206183</v>
      </c>
      <c r="R1599" s="13">
        <f t="shared" si="196"/>
        <v>1.2476736111129867</v>
      </c>
      <c r="S1599" s="13">
        <f t="shared" si="197"/>
        <v>8.8700231481416267</v>
      </c>
      <c r="T1599" t="str">
        <f t="shared" si="198"/>
        <v>4-7 Days Late</v>
      </c>
      <c r="U1599" t="str">
        <f t="shared" si="199"/>
        <v>Needs Review</v>
      </c>
      <c r="V1599" t="s">
        <v>102</v>
      </c>
    </row>
    <row r="1600" spans="1:22">
      <c r="A1600" t="s">
        <v>2313</v>
      </c>
      <c r="B1600" s="10">
        <v>43238.863043981481</v>
      </c>
      <c r="C1600" s="10">
        <v>43238.873495370368</v>
      </c>
      <c r="D1600" s="10">
        <v>43241.734722222223</v>
      </c>
      <c r="E1600" s="10">
        <v>43243.870567129627</v>
      </c>
      <c r="F1600" s="10">
        <v>43248</v>
      </c>
      <c r="G1600" t="s">
        <v>8</v>
      </c>
      <c r="H1600" t="s">
        <v>140</v>
      </c>
      <c r="I1600" t="s">
        <v>58</v>
      </c>
      <c r="J1600" s="11">
        <v>1</v>
      </c>
      <c r="K1600" s="12">
        <v>43.49</v>
      </c>
      <c r="L1600" s="12">
        <v>27.39</v>
      </c>
      <c r="M1600" s="13">
        <v>5</v>
      </c>
      <c r="N1600" s="13">
        <f t="shared" si="192"/>
        <v>5.0075231481459923</v>
      </c>
      <c r="O1600" s="13">
        <f t="shared" si="193"/>
        <v>0</v>
      </c>
      <c r="P1600" t="str">
        <f t="shared" si="194"/>
        <v>On Time</v>
      </c>
      <c r="Q1600" s="13">
        <f t="shared" si="195"/>
        <v>0.25083333329530433</v>
      </c>
      <c r="R1600" s="13">
        <f t="shared" si="196"/>
        <v>2.8612268518554629</v>
      </c>
      <c r="S1600" s="13">
        <f t="shared" si="197"/>
        <v>2.1358449074032251</v>
      </c>
      <c r="T1600" t="str">
        <f t="shared" si="198"/>
        <v>On Time/Early</v>
      </c>
      <c r="U1600" t="str">
        <f t="shared" si="199"/>
        <v>Normal</v>
      </c>
      <c r="V1600" t="s">
        <v>102</v>
      </c>
    </row>
    <row r="1601" spans="1:22">
      <c r="A1601" t="s">
        <v>2314</v>
      </c>
      <c r="B1601" s="10">
        <v>43239.390127314815</v>
      </c>
      <c r="C1601" s="10">
        <v>43239.402662037035</v>
      </c>
      <c r="D1601" s="10">
        <v>43241.611805555556</v>
      </c>
      <c r="E1601" s="10">
        <v>43258.603194444448</v>
      </c>
      <c r="F1601" s="10">
        <v>43269</v>
      </c>
      <c r="G1601" t="s">
        <v>23</v>
      </c>
      <c r="H1601" t="s">
        <v>637</v>
      </c>
      <c r="I1601" t="s">
        <v>58</v>
      </c>
      <c r="J1601" s="11">
        <v>1</v>
      </c>
      <c r="K1601" s="12">
        <v>14.49</v>
      </c>
      <c r="L1601" s="12">
        <v>22.06</v>
      </c>
      <c r="M1601" s="13">
        <v>5</v>
      </c>
      <c r="N1601" s="13">
        <f t="shared" si="192"/>
        <v>19.213067129632691</v>
      </c>
      <c r="O1601" s="13">
        <f t="shared" si="193"/>
        <v>0</v>
      </c>
      <c r="P1601" t="str">
        <f t="shared" si="194"/>
        <v>On Time</v>
      </c>
      <c r="Q1601" s="13">
        <f t="shared" si="195"/>
        <v>0.3008333332836628</v>
      </c>
      <c r="R1601" s="13">
        <f t="shared" si="196"/>
        <v>2.2091435185211594</v>
      </c>
      <c r="S1601" s="13">
        <f t="shared" si="197"/>
        <v>16.991388888891379</v>
      </c>
      <c r="T1601" t="str">
        <f t="shared" si="198"/>
        <v>On Time/Early</v>
      </c>
      <c r="U1601" t="str">
        <f t="shared" si="199"/>
        <v>Normal</v>
      </c>
      <c r="V1601" t="s">
        <v>102</v>
      </c>
    </row>
    <row r="1602" spans="1:22">
      <c r="A1602" t="s">
        <v>2315</v>
      </c>
      <c r="B1602" s="10">
        <v>43239.68340277778</v>
      </c>
      <c r="C1602" s="10">
        <v>43239.708055555559</v>
      </c>
      <c r="D1602" s="10">
        <v>43241.428472222222</v>
      </c>
      <c r="E1602" s="10">
        <v>43258.87400462963</v>
      </c>
      <c r="F1602" s="10">
        <v>43258</v>
      </c>
      <c r="G1602" t="s">
        <v>474</v>
      </c>
      <c r="H1602" t="s">
        <v>475</v>
      </c>
      <c r="I1602" t="s">
        <v>221</v>
      </c>
      <c r="J1602" s="11">
        <v>2</v>
      </c>
      <c r="K1602" s="12">
        <v>98</v>
      </c>
      <c r="L1602" s="12">
        <v>45.7</v>
      </c>
      <c r="M1602" s="13">
        <v>1</v>
      </c>
      <c r="N1602" s="13">
        <f t="shared" ref="N1602:N1665" si="200">IFERROR(E1602-B1602,"")</f>
        <v>19.190601851849351</v>
      </c>
      <c r="O1602" s="13">
        <f t="shared" ref="O1602:O1665" si="201">IFERROR(MAX(0,E1602-F1602),"")</f>
        <v>0.87400462962978054</v>
      </c>
      <c r="P1602" t="str">
        <f t="shared" ref="P1602:P1665" si="202">IF(O1602&gt;0,"Delayed","On Time")</f>
        <v>Delayed</v>
      </c>
      <c r="Q1602" s="13">
        <f t="shared" ref="Q1602:Q1665" si="203">IFERROR((C1602-B1602)*24,"")</f>
        <v>0.59166666667442769</v>
      </c>
      <c r="R1602" s="13">
        <f t="shared" ref="R1602:R1665" si="204">IFERROR(D1602-C1602,"")</f>
        <v>1.7204166666633682</v>
      </c>
      <c r="S1602" s="13">
        <f t="shared" ref="S1602:S1665" si="205">IFERROR(E1602-D1602,"")</f>
        <v>17.445532407407882</v>
      </c>
      <c r="T1602" t="str">
        <f t="shared" ref="T1602:T1665" si="206">IF(O1602=0,"On Time/Early",IF(O1602&lt;=3,"1-3 Days Late",IF(O1602&lt;=7,"4-7 Days Late","8+ Days Late")))</f>
        <v>1-3 Days Late</v>
      </c>
      <c r="U1602" t="str">
        <f t="shared" ref="U1602:U1665" si="207">IF(P1602="Delayed","Needs Review","Normal")</f>
        <v>Needs Review</v>
      </c>
      <c r="V1602" t="s">
        <v>102</v>
      </c>
    </row>
    <row r="1603" spans="1:22">
      <c r="A1603" t="s">
        <v>2316</v>
      </c>
      <c r="B1603" s="10">
        <v>43239.746979166666</v>
      </c>
      <c r="C1603" s="10">
        <v>43239.763090277775</v>
      </c>
      <c r="D1603" s="10">
        <v>43241.622916666667</v>
      </c>
      <c r="E1603" s="10">
        <v>43244.721273148149</v>
      </c>
      <c r="F1603" s="10">
        <v>43258</v>
      </c>
      <c r="G1603" t="s">
        <v>8</v>
      </c>
      <c r="H1603" t="s">
        <v>212</v>
      </c>
      <c r="I1603" t="s">
        <v>228</v>
      </c>
      <c r="J1603" s="11">
        <v>1</v>
      </c>
      <c r="K1603" s="12">
        <v>69</v>
      </c>
      <c r="L1603" s="12">
        <v>40.9</v>
      </c>
      <c r="M1603" s="13">
        <v>5</v>
      </c>
      <c r="N1603" s="13">
        <f t="shared" si="200"/>
        <v>4.974293981482333</v>
      </c>
      <c r="O1603" s="13">
        <f t="shared" si="201"/>
        <v>0</v>
      </c>
      <c r="P1603" t="str">
        <f t="shared" si="202"/>
        <v>On Time</v>
      </c>
      <c r="Q1603" s="13">
        <f t="shared" si="203"/>
        <v>0.38666666659992188</v>
      </c>
      <c r="R1603" s="13">
        <f t="shared" si="204"/>
        <v>1.859826388892543</v>
      </c>
      <c r="S1603" s="13">
        <f t="shared" si="205"/>
        <v>3.0983564814814599</v>
      </c>
      <c r="T1603" t="str">
        <f t="shared" si="206"/>
        <v>On Time/Early</v>
      </c>
      <c r="U1603" t="str">
        <f t="shared" si="207"/>
        <v>Normal</v>
      </c>
      <c r="V1603" t="s">
        <v>102</v>
      </c>
    </row>
    <row r="1604" spans="1:22">
      <c r="A1604" t="s">
        <v>2317</v>
      </c>
      <c r="B1604" s="10">
        <v>43240.350717592592</v>
      </c>
      <c r="C1604" s="10">
        <v>43240.373483796298</v>
      </c>
      <c r="D1604" s="10">
        <v>43241.427777777775</v>
      </c>
      <c r="E1604" s="10">
        <v>43259.838101851848</v>
      </c>
      <c r="F1604" s="10">
        <v>43258</v>
      </c>
      <c r="G1604" t="s">
        <v>277</v>
      </c>
      <c r="H1604" t="s">
        <v>335</v>
      </c>
      <c r="I1604" t="s">
        <v>221</v>
      </c>
      <c r="J1604" s="11">
        <v>2</v>
      </c>
      <c r="K1604" s="12">
        <v>124</v>
      </c>
      <c r="L1604" s="12">
        <v>45.86</v>
      </c>
      <c r="M1604" s="13">
        <v>1</v>
      </c>
      <c r="N1604" s="13">
        <f t="shared" si="200"/>
        <v>19.487384259256942</v>
      </c>
      <c r="O1604" s="13">
        <f t="shared" si="201"/>
        <v>1.838101851848478</v>
      </c>
      <c r="P1604" t="str">
        <f t="shared" si="202"/>
        <v>Delayed</v>
      </c>
      <c r="Q1604" s="13">
        <f t="shared" si="203"/>
        <v>0.5463888889644295</v>
      </c>
      <c r="R1604" s="13">
        <f t="shared" si="204"/>
        <v>1.0542939814768033</v>
      </c>
      <c r="S1604" s="13">
        <f t="shared" si="205"/>
        <v>18.410324074073287</v>
      </c>
      <c r="T1604" t="str">
        <f t="shared" si="206"/>
        <v>1-3 Days Late</v>
      </c>
      <c r="U1604" t="str">
        <f t="shared" si="207"/>
        <v>Needs Review</v>
      </c>
      <c r="V1604" t="s">
        <v>102</v>
      </c>
    </row>
    <row r="1605" spans="1:22">
      <c r="A1605" t="s">
        <v>2318</v>
      </c>
      <c r="B1605" s="10">
        <v>43240.71193287037</v>
      </c>
      <c r="C1605" s="10">
        <v>43240.718993055554</v>
      </c>
      <c r="D1605" s="10">
        <v>43243.620138888888</v>
      </c>
      <c r="E1605" s="10">
        <v>43244.735173611109</v>
      </c>
      <c r="F1605" s="10">
        <v>43255</v>
      </c>
      <c r="G1605" t="s">
        <v>8</v>
      </c>
      <c r="H1605" t="s">
        <v>418</v>
      </c>
      <c r="I1605" t="s">
        <v>177</v>
      </c>
      <c r="J1605" s="11">
        <v>1</v>
      </c>
      <c r="K1605" s="12">
        <v>39.99</v>
      </c>
      <c r="L1605" s="12">
        <v>7.71</v>
      </c>
      <c r="M1605" s="13">
        <v>5</v>
      </c>
      <c r="N1605" s="13">
        <f t="shared" si="200"/>
        <v>4.0232407407384017</v>
      </c>
      <c r="O1605" s="13">
        <f t="shared" si="201"/>
        <v>0</v>
      </c>
      <c r="P1605" t="str">
        <f t="shared" si="202"/>
        <v>On Time</v>
      </c>
      <c r="Q1605" s="13">
        <f t="shared" si="203"/>
        <v>0.16944444441469386</v>
      </c>
      <c r="R1605" s="13">
        <f t="shared" si="204"/>
        <v>2.9011458333334303</v>
      </c>
      <c r="S1605" s="13">
        <f t="shared" si="205"/>
        <v>1.1150347222210257</v>
      </c>
      <c r="T1605" t="str">
        <f t="shared" si="206"/>
        <v>On Time/Early</v>
      </c>
      <c r="U1605" t="str">
        <f t="shared" si="207"/>
        <v>Normal</v>
      </c>
      <c r="V1605" t="s">
        <v>102</v>
      </c>
    </row>
    <row r="1606" spans="1:22">
      <c r="A1606" t="s">
        <v>2319</v>
      </c>
      <c r="B1606" s="10">
        <v>43241.439583333333</v>
      </c>
      <c r="C1606" s="10">
        <v>43241.647222222222</v>
      </c>
      <c r="D1606" s="10">
        <v>43243.583333333336</v>
      </c>
      <c r="E1606" s="10">
        <v>43245.922673611109</v>
      </c>
      <c r="F1606" s="10">
        <v>43250</v>
      </c>
      <c r="G1606" t="s">
        <v>8</v>
      </c>
      <c r="H1606" t="s">
        <v>140</v>
      </c>
      <c r="I1606" t="s">
        <v>221</v>
      </c>
      <c r="J1606" s="11">
        <v>1</v>
      </c>
      <c r="K1606" s="12">
        <v>189</v>
      </c>
      <c r="L1606" s="12">
        <v>8.19</v>
      </c>
      <c r="M1606" s="13">
        <v>5</v>
      </c>
      <c r="N1606" s="13">
        <f t="shared" si="200"/>
        <v>4.4830902777757728</v>
      </c>
      <c r="O1606" s="13">
        <f t="shared" si="201"/>
        <v>0</v>
      </c>
      <c r="P1606" t="str">
        <f t="shared" si="202"/>
        <v>On Time</v>
      </c>
      <c r="Q1606" s="13">
        <f t="shared" si="203"/>
        <v>4.9833333333372138</v>
      </c>
      <c r="R1606" s="13">
        <f t="shared" si="204"/>
        <v>1.9361111111138598</v>
      </c>
      <c r="S1606" s="13">
        <f t="shared" si="205"/>
        <v>2.3393402777728625</v>
      </c>
      <c r="T1606" t="str">
        <f t="shared" si="206"/>
        <v>On Time/Early</v>
      </c>
      <c r="U1606" t="str">
        <f t="shared" si="207"/>
        <v>Normal</v>
      </c>
      <c r="V1606" t="s">
        <v>102</v>
      </c>
    </row>
    <row r="1607" spans="1:22">
      <c r="A1607" t="s">
        <v>2320</v>
      </c>
      <c r="B1607" s="10">
        <v>43241.519745370373</v>
      </c>
      <c r="C1607" s="10">
        <v>43241.648912037039</v>
      </c>
      <c r="D1607" s="10">
        <v>43242.530555555553</v>
      </c>
      <c r="E1607" s="10">
        <v>43257.602638888886</v>
      </c>
      <c r="F1607" s="10">
        <v>43262</v>
      </c>
      <c r="G1607" t="s">
        <v>110</v>
      </c>
      <c r="H1607" t="s">
        <v>1014</v>
      </c>
      <c r="I1607" t="s">
        <v>112</v>
      </c>
      <c r="J1607" s="11">
        <v>1</v>
      </c>
      <c r="K1607" s="12">
        <v>39.69</v>
      </c>
      <c r="L1607" s="12">
        <v>22.93</v>
      </c>
      <c r="M1607" s="13">
        <v>5</v>
      </c>
      <c r="N1607" s="13">
        <f t="shared" si="200"/>
        <v>16.082893518512719</v>
      </c>
      <c r="O1607" s="13">
        <f t="shared" si="201"/>
        <v>0</v>
      </c>
      <c r="P1607" t="str">
        <f t="shared" si="202"/>
        <v>On Time</v>
      </c>
      <c r="Q1607" s="13">
        <f t="shared" si="203"/>
        <v>3.0999999999767169</v>
      </c>
      <c r="R1607" s="13">
        <f t="shared" si="204"/>
        <v>0.88164351851446554</v>
      </c>
      <c r="S1607" s="13">
        <f t="shared" si="205"/>
        <v>15.072083333332557</v>
      </c>
      <c r="T1607" t="str">
        <f t="shared" si="206"/>
        <v>On Time/Early</v>
      </c>
      <c r="U1607" t="str">
        <f t="shared" si="207"/>
        <v>Normal</v>
      </c>
      <c r="V1607" t="s">
        <v>102</v>
      </c>
    </row>
    <row r="1608" spans="1:22">
      <c r="A1608" t="s">
        <v>2321</v>
      </c>
      <c r="B1608" s="10">
        <v>43242.40861111111</v>
      </c>
      <c r="C1608" s="10">
        <v>43242.718449074076</v>
      </c>
      <c r="D1608" s="10">
        <v>43243.409722222219</v>
      </c>
      <c r="E1608" s="10">
        <v>43258.869456018518</v>
      </c>
      <c r="F1608" s="10">
        <v>43270</v>
      </c>
      <c r="G1608" t="s">
        <v>30</v>
      </c>
      <c r="H1608" t="s">
        <v>2322</v>
      </c>
      <c r="I1608" t="s">
        <v>180</v>
      </c>
      <c r="J1608" s="11">
        <v>1</v>
      </c>
      <c r="K1608" s="12">
        <v>77.989999999999995</v>
      </c>
      <c r="L1608" s="12">
        <v>24.71</v>
      </c>
      <c r="M1608" s="13">
        <v>5</v>
      </c>
      <c r="N1608" s="13">
        <f t="shared" si="200"/>
        <v>16.460844907407591</v>
      </c>
      <c r="O1608" s="13">
        <f t="shared" si="201"/>
        <v>0</v>
      </c>
      <c r="P1608" t="str">
        <f t="shared" si="202"/>
        <v>On Time</v>
      </c>
      <c r="Q1608" s="13">
        <f t="shared" si="203"/>
        <v>7.4361111111938953</v>
      </c>
      <c r="R1608" s="13">
        <f t="shared" si="204"/>
        <v>0.69127314814249985</v>
      </c>
      <c r="S1608" s="13">
        <f t="shared" si="205"/>
        <v>15.459733796298678</v>
      </c>
      <c r="T1608" t="str">
        <f t="shared" si="206"/>
        <v>On Time/Early</v>
      </c>
      <c r="U1608" t="str">
        <f t="shared" si="207"/>
        <v>Normal</v>
      </c>
      <c r="V1608" t="s">
        <v>102</v>
      </c>
    </row>
    <row r="1609" spans="1:22">
      <c r="A1609" t="s">
        <v>2323</v>
      </c>
      <c r="B1609" s="10">
        <v>43242.682581018518</v>
      </c>
      <c r="C1609" s="10">
        <v>43242.707037037035</v>
      </c>
      <c r="D1609" s="10">
        <v>43250.588194444441</v>
      </c>
      <c r="E1609" s="10">
        <v>43256.91715277778</v>
      </c>
      <c r="F1609" s="10">
        <v>43257</v>
      </c>
      <c r="G1609" t="s">
        <v>8</v>
      </c>
      <c r="H1609" t="s">
        <v>696</v>
      </c>
      <c r="I1609" t="s">
        <v>963</v>
      </c>
      <c r="J1609" s="11">
        <v>1</v>
      </c>
      <c r="K1609" s="12">
        <v>113.85</v>
      </c>
      <c r="L1609" s="12">
        <v>12.13</v>
      </c>
      <c r="M1609" s="13">
        <v>5</v>
      </c>
      <c r="N1609" s="13">
        <f t="shared" si="200"/>
        <v>14.234571759261598</v>
      </c>
      <c r="O1609" s="13">
        <f t="shared" si="201"/>
        <v>0</v>
      </c>
      <c r="P1609" t="str">
        <f t="shared" si="202"/>
        <v>On Time</v>
      </c>
      <c r="Q1609" s="13">
        <f t="shared" si="203"/>
        <v>0.58694444439606741</v>
      </c>
      <c r="R1609" s="13">
        <f t="shared" si="204"/>
        <v>7.8811574074061355</v>
      </c>
      <c r="S1609" s="13">
        <f t="shared" si="205"/>
        <v>6.3289583333389601</v>
      </c>
      <c r="T1609" t="str">
        <f t="shared" si="206"/>
        <v>On Time/Early</v>
      </c>
      <c r="U1609" t="str">
        <f t="shared" si="207"/>
        <v>Normal</v>
      </c>
      <c r="V1609" t="s">
        <v>102</v>
      </c>
    </row>
    <row r="1610" spans="1:22">
      <c r="A1610" t="s">
        <v>2324</v>
      </c>
      <c r="B1610" s="10">
        <v>43242.748888888891</v>
      </c>
      <c r="C1610" s="10">
        <v>43243.500081018516</v>
      </c>
      <c r="D1610" s="10">
        <v>43243.643055555556</v>
      </c>
      <c r="E1610" s="10">
        <v>43258.950254629628</v>
      </c>
      <c r="F1610" s="10">
        <v>43263</v>
      </c>
      <c r="G1610" t="s">
        <v>8</v>
      </c>
      <c r="H1610" t="s">
        <v>225</v>
      </c>
      <c r="I1610" t="s">
        <v>58</v>
      </c>
      <c r="J1610" s="11">
        <v>1</v>
      </c>
      <c r="K1610" s="12">
        <v>22.9</v>
      </c>
      <c r="L1610" s="12">
        <v>18.23</v>
      </c>
      <c r="M1610" s="13">
        <v>4</v>
      </c>
      <c r="N1610" s="13">
        <f t="shared" si="200"/>
        <v>16.201365740736946</v>
      </c>
      <c r="O1610" s="13">
        <f t="shared" si="201"/>
        <v>0</v>
      </c>
      <c r="P1610" t="str">
        <f t="shared" si="202"/>
        <v>On Time</v>
      </c>
      <c r="Q1610" s="13">
        <f t="shared" si="203"/>
        <v>18.028611110989004</v>
      </c>
      <c r="R1610" s="13">
        <f t="shared" si="204"/>
        <v>0.14297453704057261</v>
      </c>
      <c r="S1610" s="13">
        <f t="shared" si="205"/>
        <v>15.307199074071832</v>
      </c>
      <c r="T1610" t="str">
        <f t="shared" si="206"/>
        <v>On Time/Early</v>
      </c>
      <c r="U1610" t="str">
        <f t="shared" si="207"/>
        <v>Normal</v>
      </c>
      <c r="V1610" t="s">
        <v>102</v>
      </c>
    </row>
    <row r="1611" spans="1:22">
      <c r="A1611" t="s">
        <v>2325</v>
      </c>
      <c r="B1611" s="10">
        <v>43243.326504629629</v>
      </c>
      <c r="C1611" s="10">
        <v>43243.941504629627</v>
      </c>
      <c r="D1611" s="10">
        <v>43245.530555555553</v>
      </c>
      <c r="E1611" s="10">
        <v>43255.603425925925</v>
      </c>
      <c r="F1611" s="10">
        <v>43259</v>
      </c>
      <c r="G1611" t="s">
        <v>8</v>
      </c>
      <c r="H1611" t="s">
        <v>140</v>
      </c>
      <c r="I1611" t="s">
        <v>154</v>
      </c>
      <c r="J1611" s="11">
        <v>1</v>
      </c>
      <c r="K1611" s="12">
        <v>96</v>
      </c>
      <c r="L1611" s="12">
        <v>18.25</v>
      </c>
      <c r="M1611" s="13">
        <v>5</v>
      </c>
      <c r="N1611" s="13">
        <f t="shared" si="200"/>
        <v>12.276921296295768</v>
      </c>
      <c r="O1611" s="13">
        <f t="shared" si="201"/>
        <v>0</v>
      </c>
      <c r="P1611" t="str">
        <f t="shared" si="202"/>
        <v>On Time</v>
      </c>
      <c r="Q1611" s="13">
        <f t="shared" si="203"/>
        <v>14.759999999951106</v>
      </c>
      <c r="R1611" s="13">
        <f t="shared" si="204"/>
        <v>1.5890509259261307</v>
      </c>
      <c r="S1611" s="13">
        <f t="shared" si="205"/>
        <v>10.072870370371675</v>
      </c>
      <c r="T1611" t="str">
        <f t="shared" si="206"/>
        <v>On Time/Early</v>
      </c>
      <c r="U1611" t="str">
        <f t="shared" si="207"/>
        <v>Normal</v>
      </c>
      <c r="V1611" t="s">
        <v>102</v>
      </c>
    </row>
    <row r="1612" spans="1:22">
      <c r="A1612" t="s">
        <v>2326</v>
      </c>
      <c r="B1612" s="10">
        <v>43243.517083333332</v>
      </c>
      <c r="C1612" s="10">
        <v>43243.537997685184</v>
      </c>
      <c r="D1612" s="10">
        <v>43243.629861111112</v>
      </c>
      <c r="E1612" s="10">
        <v>43255.493460648147</v>
      </c>
      <c r="F1612" s="10">
        <v>43272</v>
      </c>
      <c r="G1612" t="s">
        <v>8</v>
      </c>
      <c r="H1612" t="s">
        <v>140</v>
      </c>
      <c r="I1612" t="s">
        <v>141</v>
      </c>
      <c r="J1612" s="11">
        <v>1</v>
      </c>
      <c r="K1612" s="12">
        <v>25.9</v>
      </c>
      <c r="L1612" s="12">
        <v>15.23</v>
      </c>
      <c r="M1612" s="13">
        <v>3</v>
      </c>
      <c r="N1612" s="13">
        <f t="shared" si="200"/>
        <v>11.976377314815181</v>
      </c>
      <c r="O1612" s="13">
        <f t="shared" si="201"/>
        <v>0</v>
      </c>
      <c r="P1612" t="str">
        <f t="shared" si="202"/>
        <v>On Time</v>
      </c>
      <c r="Q1612" s="13">
        <f t="shared" si="203"/>
        <v>0.50194444443332031</v>
      </c>
      <c r="R1612" s="13">
        <f t="shared" si="204"/>
        <v>9.1863425928750075E-2</v>
      </c>
      <c r="S1612" s="13">
        <f t="shared" si="205"/>
        <v>11.863599537035043</v>
      </c>
      <c r="T1612" t="str">
        <f t="shared" si="206"/>
        <v>On Time/Early</v>
      </c>
      <c r="U1612" t="str">
        <f t="shared" si="207"/>
        <v>Normal</v>
      </c>
      <c r="V1612" t="s">
        <v>102</v>
      </c>
    </row>
    <row r="1613" spans="1:22">
      <c r="A1613" t="s">
        <v>2327</v>
      </c>
      <c r="B1613" s="10">
        <v>43243.917951388888</v>
      </c>
      <c r="C1613" s="10">
        <v>43243.928668981483</v>
      </c>
      <c r="D1613" s="10">
        <v>43244.590277777781</v>
      </c>
      <c r="E1613" s="10">
        <v>43255.743472222224</v>
      </c>
      <c r="F1613" s="10">
        <v>43272</v>
      </c>
      <c r="G1613" t="s">
        <v>8</v>
      </c>
      <c r="H1613" t="s">
        <v>665</v>
      </c>
      <c r="I1613" t="s">
        <v>58</v>
      </c>
      <c r="J1613" s="11">
        <v>1</v>
      </c>
      <c r="K1613" s="12">
        <v>49.9</v>
      </c>
      <c r="L1613" s="12">
        <v>18.23</v>
      </c>
      <c r="M1613" s="13">
        <v>1</v>
      </c>
      <c r="N1613" s="13">
        <f t="shared" si="200"/>
        <v>11.825520833335759</v>
      </c>
      <c r="O1613" s="13">
        <f t="shared" si="201"/>
        <v>0</v>
      </c>
      <c r="P1613" t="str">
        <f t="shared" si="202"/>
        <v>On Time</v>
      </c>
      <c r="Q1613" s="13">
        <f t="shared" si="203"/>
        <v>0.25722222228068858</v>
      </c>
      <c r="R1613" s="13">
        <f t="shared" si="204"/>
        <v>0.66160879629751435</v>
      </c>
      <c r="S1613" s="13">
        <f t="shared" si="205"/>
        <v>11.153194444443216</v>
      </c>
      <c r="T1613" t="str">
        <f t="shared" si="206"/>
        <v>On Time/Early</v>
      </c>
      <c r="U1613" t="str">
        <f t="shared" si="207"/>
        <v>Normal</v>
      </c>
      <c r="V1613" t="s">
        <v>102</v>
      </c>
    </row>
    <row r="1614" spans="1:22">
      <c r="A1614" t="s">
        <v>2328</v>
      </c>
      <c r="B1614" s="10">
        <v>43243.999525462961</v>
      </c>
      <c r="C1614" s="10">
        <v>43244.013518518521</v>
      </c>
      <c r="D1614" s="10">
        <v>43244.575694444444</v>
      </c>
      <c r="E1614" s="10">
        <v>43255.820914351854</v>
      </c>
      <c r="F1614" s="10">
        <v>43269</v>
      </c>
      <c r="G1614" t="s">
        <v>8</v>
      </c>
      <c r="H1614" t="s">
        <v>1912</v>
      </c>
      <c r="I1614" t="s">
        <v>101</v>
      </c>
      <c r="J1614" s="11">
        <v>1</v>
      </c>
      <c r="K1614" s="12">
        <v>58.9</v>
      </c>
      <c r="L1614" s="12">
        <v>13.77</v>
      </c>
      <c r="M1614" s="13">
        <v>5</v>
      </c>
      <c r="N1614" s="13">
        <f t="shared" si="200"/>
        <v>11.821388888893125</v>
      </c>
      <c r="O1614" s="13">
        <f t="shared" si="201"/>
        <v>0</v>
      </c>
      <c r="P1614" t="str">
        <f t="shared" si="202"/>
        <v>On Time</v>
      </c>
      <c r="Q1614" s="13">
        <f t="shared" si="203"/>
        <v>0.33583333343267441</v>
      </c>
      <c r="R1614" s="13">
        <f t="shared" si="204"/>
        <v>0.56217592592292931</v>
      </c>
      <c r="S1614" s="13">
        <f t="shared" si="205"/>
        <v>11.245219907410501</v>
      </c>
      <c r="T1614" t="str">
        <f t="shared" si="206"/>
        <v>On Time/Early</v>
      </c>
      <c r="U1614" t="str">
        <f t="shared" si="207"/>
        <v>Normal</v>
      </c>
      <c r="V1614" t="s">
        <v>102</v>
      </c>
    </row>
    <row r="1615" spans="1:22">
      <c r="A1615" t="s">
        <v>2329</v>
      </c>
      <c r="B1615" s="10">
        <v>43246.892430555556</v>
      </c>
      <c r="C1615" s="10">
        <v>43246.909780092596</v>
      </c>
      <c r="D1615" s="10">
        <v>43248.589583333334</v>
      </c>
      <c r="E1615" s="10">
        <v>43255.739212962966</v>
      </c>
      <c r="F1615" s="10">
        <v>43284</v>
      </c>
      <c r="G1615" t="s">
        <v>16</v>
      </c>
      <c r="H1615" t="s">
        <v>852</v>
      </c>
      <c r="I1615" t="s">
        <v>180</v>
      </c>
      <c r="J1615" s="11">
        <v>1</v>
      </c>
      <c r="K1615" s="12">
        <v>79.900000000000006</v>
      </c>
      <c r="L1615" s="12">
        <v>9.76</v>
      </c>
      <c r="M1615" s="13">
        <v>3</v>
      </c>
      <c r="N1615" s="13">
        <f t="shared" si="200"/>
        <v>8.846782407410501</v>
      </c>
      <c r="O1615" s="13">
        <f t="shared" si="201"/>
        <v>0</v>
      </c>
      <c r="P1615" t="str">
        <f t="shared" si="202"/>
        <v>On Time</v>
      </c>
      <c r="Q1615" s="13">
        <f t="shared" si="203"/>
        <v>0.41638888895977288</v>
      </c>
      <c r="R1615" s="13">
        <f t="shared" si="204"/>
        <v>1.6798032407386927</v>
      </c>
      <c r="S1615" s="13">
        <f t="shared" si="205"/>
        <v>7.1496296296318178</v>
      </c>
      <c r="T1615" t="str">
        <f t="shared" si="206"/>
        <v>On Time/Early</v>
      </c>
      <c r="U1615" t="str">
        <f t="shared" si="207"/>
        <v>Normal</v>
      </c>
      <c r="V1615" t="s">
        <v>102</v>
      </c>
    </row>
    <row r="1616" spans="1:22">
      <c r="A1616" t="s">
        <v>2330</v>
      </c>
      <c r="B1616" s="10">
        <v>43247.695879629631</v>
      </c>
      <c r="C1616" s="10">
        <v>43249.135254629633</v>
      </c>
      <c r="D1616" s="10">
        <v>43259.433333333334</v>
      </c>
      <c r="E1616" s="10">
        <v>43271.561597222222</v>
      </c>
      <c r="F1616" s="10">
        <v>43307</v>
      </c>
      <c r="G1616" t="s">
        <v>16</v>
      </c>
      <c r="H1616" t="s">
        <v>138</v>
      </c>
      <c r="I1616" t="s">
        <v>37</v>
      </c>
      <c r="J1616" s="11">
        <v>1</v>
      </c>
      <c r="K1616" s="12">
        <v>169.99</v>
      </c>
      <c r="L1616" s="12">
        <v>51.14</v>
      </c>
      <c r="M1616" s="13">
        <v>5</v>
      </c>
      <c r="N1616" s="13">
        <f t="shared" si="200"/>
        <v>23.865717592590954</v>
      </c>
      <c r="O1616" s="13">
        <f t="shared" si="201"/>
        <v>0</v>
      </c>
      <c r="P1616" t="str">
        <f t="shared" si="202"/>
        <v>On Time</v>
      </c>
      <c r="Q1616" s="13">
        <f t="shared" si="203"/>
        <v>34.54500000004191</v>
      </c>
      <c r="R1616" s="13">
        <f t="shared" si="204"/>
        <v>10.298078703701322</v>
      </c>
      <c r="S1616" s="13">
        <f t="shared" si="205"/>
        <v>12.128263888887886</v>
      </c>
      <c r="T1616" t="str">
        <f t="shared" si="206"/>
        <v>On Time/Early</v>
      </c>
      <c r="U1616" t="str">
        <f t="shared" si="207"/>
        <v>Normal</v>
      </c>
      <c r="V1616" t="s">
        <v>102</v>
      </c>
    </row>
    <row r="1617" spans="1:22">
      <c r="A1617" t="s">
        <v>2331</v>
      </c>
      <c r="B1617" s="10">
        <v>43247.782754629632</v>
      </c>
      <c r="C1617" s="10">
        <v>43247.788425925923</v>
      </c>
      <c r="D1617" s="10">
        <v>43248.417361111111</v>
      </c>
      <c r="E1617" s="10">
        <v>43265.703206018516</v>
      </c>
      <c r="F1617" s="10">
        <v>43280</v>
      </c>
      <c r="G1617" t="s">
        <v>43</v>
      </c>
      <c r="H1617" t="s">
        <v>249</v>
      </c>
      <c r="I1617" t="s">
        <v>221</v>
      </c>
      <c r="J1617" s="11">
        <v>1</v>
      </c>
      <c r="K1617" s="12">
        <v>129</v>
      </c>
      <c r="L1617" s="12">
        <v>15.78</v>
      </c>
      <c r="M1617" s="13">
        <v>5</v>
      </c>
      <c r="N1617" s="13">
        <f t="shared" si="200"/>
        <v>17.920451388883521</v>
      </c>
      <c r="O1617" s="13">
        <f t="shared" si="201"/>
        <v>0</v>
      </c>
      <c r="P1617" t="str">
        <f t="shared" si="202"/>
        <v>On Time</v>
      </c>
      <c r="Q1617" s="13">
        <f t="shared" si="203"/>
        <v>0.13611111097270623</v>
      </c>
      <c r="R1617" s="13">
        <f t="shared" si="204"/>
        <v>0.62893518518831115</v>
      </c>
      <c r="S1617" s="13">
        <f t="shared" si="205"/>
        <v>17.28584490740468</v>
      </c>
      <c r="T1617" t="str">
        <f t="shared" si="206"/>
        <v>On Time/Early</v>
      </c>
      <c r="U1617" t="str">
        <f t="shared" si="207"/>
        <v>Normal</v>
      </c>
      <c r="V1617" t="s">
        <v>102</v>
      </c>
    </row>
    <row r="1618" spans="1:22">
      <c r="A1618" t="s">
        <v>2332</v>
      </c>
      <c r="B1618" s="10">
        <v>43248.445011574076</v>
      </c>
      <c r="C1618" s="10">
        <v>43250.105624999997</v>
      </c>
      <c r="D1618" s="10">
        <v>43250.628472222219</v>
      </c>
      <c r="E1618" s="10">
        <v>43255.506689814814</v>
      </c>
      <c r="F1618" s="10">
        <v>43272</v>
      </c>
      <c r="G1618" t="s">
        <v>8</v>
      </c>
      <c r="H1618" t="s">
        <v>179</v>
      </c>
      <c r="I1618" t="s">
        <v>368</v>
      </c>
      <c r="J1618" s="11">
        <v>1</v>
      </c>
      <c r="K1618" s="12">
        <v>73.900000000000006</v>
      </c>
      <c r="L1618" s="12">
        <v>9.26</v>
      </c>
      <c r="M1618" s="13">
        <v>5</v>
      </c>
      <c r="N1618" s="13">
        <f t="shared" si="200"/>
        <v>7.0616782407378196</v>
      </c>
      <c r="O1618" s="13">
        <f t="shared" si="201"/>
        <v>0</v>
      </c>
      <c r="P1618" t="str">
        <f t="shared" si="202"/>
        <v>On Time</v>
      </c>
      <c r="Q1618" s="13">
        <f t="shared" si="203"/>
        <v>39.854722222080454</v>
      </c>
      <c r="R1618" s="13">
        <f t="shared" si="204"/>
        <v>0.52284722222248092</v>
      </c>
      <c r="S1618" s="13">
        <f t="shared" si="205"/>
        <v>4.8782175925953197</v>
      </c>
      <c r="T1618" t="str">
        <f t="shared" si="206"/>
        <v>On Time/Early</v>
      </c>
      <c r="U1618" t="str">
        <f t="shared" si="207"/>
        <v>Normal</v>
      </c>
      <c r="V1618" t="s">
        <v>102</v>
      </c>
    </row>
    <row r="1619" spans="1:22">
      <c r="A1619" t="s">
        <v>2333</v>
      </c>
      <c r="B1619" s="10">
        <v>43249.403055555558</v>
      </c>
      <c r="C1619" s="10">
        <v>43250.399467592593</v>
      </c>
      <c r="D1619" s="10">
        <v>43250.576388888891</v>
      </c>
      <c r="E1619" s="10">
        <v>43257.789548611108</v>
      </c>
      <c r="F1619" s="10">
        <v>43280</v>
      </c>
      <c r="G1619" t="s">
        <v>20</v>
      </c>
      <c r="H1619" t="s">
        <v>104</v>
      </c>
      <c r="I1619" t="s">
        <v>58</v>
      </c>
      <c r="J1619" s="11">
        <v>1</v>
      </c>
      <c r="K1619" s="12">
        <v>65</v>
      </c>
      <c r="L1619" s="12">
        <v>15.33</v>
      </c>
      <c r="M1619" s="13">
        <v>5</v>
      </c>
      <c r="N1619" s="13">
        <f t="shared" si="200"/>
        <v>8.3864930555500905</v>
      </c>
      <c r="O1619" s="13">
        <f t="shared" si="201"/>
        <v>0</v>
      </c>
      <c r="P1619" t="str">
        <f t="shared" si="202"/>
        <v>On Time</v>
      </c>
      <c r="Q1619" s="13">
        <f t="shared" si="203"/>
        <v>23.913888888841029</v>
      </c>
      <c r="R1619" s="13">
        <f t="shared" si="204"/>
        <v>0.17692129629722331</v>
      </c>
      <c r="S1619" s="13">
        <f t="shared" si="205"/>
        <v>7.2131597222178243</v>
      </c>
      <c r="T1619" t="str">
        <f t="shared" si="206"/>
        <v>On Time/Early</v>
      </c>
      <c r="U1619" t="str">
        <f t="shared" si="207"/>
        <v>Normal</v>
      </c>
      <c r="V1619" t="s">
        <v>102</v>
      </c>
    </row>
    <row r="1620" spans="1:22">
      <c r="A1620" t="s">
        <v>2334</v>
      </c>
      <c r="B1620" s="10">
        <v>43249.696157407408</v>
      </c>
      <c r="C1620" s="10">
        <v>43249.702615740738</v>
      </c>
      <c r="D1620" s="10">
        <v>43250.566666666666</v>
      </c>
      <c r="E1620" s="10">
        <v>43259.898113425923</v>
      </c>
      <c r="F1620" s="10">
        <v>43293</v>
      </c>
      <c r="G1620" t="s">
        <v>57</v>
      </c>
      <c r="H1620" t="s">
        <v>2335</v>
      </c>
      <c r="I1620" t="s">
        <v>123</v>
      </c>
      <c r="J1620" s="11">
        <v>1</v>
      </c>
      <c r="K1620" s="12">
        <v>209.99</v>
      </c>
      <c r="L1620" s="12">
        <v>29.73</v>
      </c>
      <c r="M1620" s="13">
        <v>5</v>
      </c>
      <c r="N1620" s="13">
        <f t="shared" si="200"/>
        <v>10.201956018514466</v>
      </c>
      <c r="O1620" s="13">
        <f t="shared" si="201"/>
        <v>0</v>
      </c>
      <c r="P1620" t="str">
        <f t="shared" si="202"/>
        <v>On Time</v>
      </c>
      <c r="Q1620" s="13">
        <f t="shared" si="203"/>
        <v>0.15499999991152436</v>
      </c>
      <c r="R1620" s="13">
        <f t="shared" si="204"/>
        <v>0.86405092592758592</v>
      </c>
      <c r="S1620" s="13">
        <f t="shared" si="205"/>
        <v>9.3314467592572328</v>
      </c>
      <c r="T1620" t="str">
        <f t="shared" si="206"/>
        <v>On Time/Early</v>
      </c>
      <c r="U1620" t="str">
        <f t="shared" si="207"/>
        <v>Normal</v>
      </c>
      <c r="V1620" t="s">
        <v>102</v>
      </c>
    </row>
    <row r="1621" spans="1:22">
      <c r="A1621" t="s">
        <v>2336</v>
      </c>
      <c r="B1621" s="10">
        <v>43249.916006944448</v>
      </c>
      <c r="C1621" s="10">
        <v>43249.939421296294</v>
      </c>
      <c r="D1621" s="10">
        <v>43250.611111111109</v>
      </c>
      <c r="E1621" s="10">
        <v>43253.570810185185</v>
      </c>
      <c r="F1621" s="10">
        <v>43272</v>
      </c>
      <c r="G1621" t="s">
        <v>8</v>
      </c>
      <c r="H1621" t="s">
        <v>430</v>
      </c>
      <c r="I1621" t="s">
        <v>136</v>
      </c>
      <c r="J1621" s="11">
        <v>1</v>
      </c>
      <c r="K1621" s="12">
        <v>74.989999999999995</v>
      </c>
      <c r="L1621" s="12">
        <v>11.15</v>
      </c>
      <c r="M1621" s="13">
        <v>5</v>
      </c>
      <c r="N1621" s="13">
        <f t="shared" si="200"/>
        <v>3.6548032407372375</v>
      </c>
      <c r="O1621" s="13">
        <f t="shared" si="201"/>
        <v>0</v>
      </c>
      <c r="P1621" t="str">
        <f t="shared" si="202"/>
        <v>On Time</v>
      </c>
      <c r="Q1621" s="13">
        <f t="shared" si="203"/>
        <v>0.56194444431457669</v>
      </c>
      <c r="R1621" s="13">
        <f t="shared" si="204"/>
        <v>0.67168981481518131</v>
      </c>
      <c r="S1621" s="13">
        <f t="shared" si="205"/>
        <v>2.9596990740756155</v>
      </c>
      <c r="T1621" t="str">
        <f t="shared" si="206"/>
        <v>On Time/Early</v>
      </c>
      <c r="U1621" t="str">
        <f t="shared" si="207"/>
        <v>Normal</v>
      </c>
      <c r="V1621" t="s">
        <v>102</v>
      </c>
    </row>
    <row r="1622" spans="1:22">
      <c r="A1622" t="s">
        <v>2337</v>
      </c>
      <c r="B1622" s="10">
        <v>43249.963113425925</v>
      </c>
      <c r="C1622" s="10">
        <v>43251.149907407409</v>
      </c>
      <c r="D1622" s="10">
        <v>43256.793749999997</v>
      </c>
      <c r="E1622" s="10">
        <v>43258.564432870371</v>
      </c>
      <c r="F1622" s="10">
        <v>43272</v>
      </c>
      <c r="G1622" t="s">
        <v>8</v>
      </c>
      <c r="H1622" t="s">
        <v>140</v>
      </c>
      <c r="I1622" t="s">
        <v>180</v>
      </c>
      <c r="J1622" s="11">
        <v>2</v>
      </c>
      <c r="K1622" s="12">
        <v>199.8</v>
      </c>
      <c r="L1622" s="12">
        <v>18.86</v>
      </c>
      <c r="M1622" s="13">
        <v>5</v>
      </c>
      <c r="N1622" s="13">
        <f t="shared" si="200"/>
        <v>8.601319444445835</v>
      </c>
      <c r="O1622" s="13">
        <f t="shared" si="201"/>
        <v>0</v>
      </c>
      <c r="P1622" t="str">
        <f t="shared" si="202"/>
        <v>On Time</v>
      </c>
      <c r="Q1622" s="13">
        <f t="shared" si="203"/>
        <v>28.483055555610918</v>
      </c>
      <c r="R1622" s="13">
        <f t="shared" si="204"/>
        <v>5.6438425925880438</v>
      </c>
      <c r="S1622" s="13">
        <f t="shared" si="205"/>
        <v>1.770682870374003</v>
      </c>
      <c r="T1622" t="str">
        <f t="shared" si="206"/>
        <v>On Time/Early</v>
      </c>
      <c r="U1622" t="str">
        <f t="shared" si="207"/>
        <v>Normal</v>
      </c>
      <c r="V1622" t="s">
        <v>102</v>
      </c>
    </row>
    <row r="1623" spans="1:22">
      <c r="A1623" t="s">
        <v>2338</v>
      </c>
      <c r="B1623" s="10">
        <v>43250.096863425926</v>
      </c>
      <c r="C1623" s="10">
        <v>43250.107766203706</v>
      </c>
      <c r="D1623" s="10">
        <v>43250.618750000001</v>
      </c>
      <c r="E1623" s="10">
        <v>43262.724780092591</v>
      </c>
      <c r="F1623" s="10">
        <v>43294</v>
      </c>
      <c r="G1623" t="s">
        <v>23</v>
      </c>
      <c r="H1623" t="s">
        <v>275</v>
      </c>
      <c r="I1623" t="s">
        <v>136</v>
      </c>
      <c r="J1623" s="11">
        <v>1</v>
      </c>
      <c r="K1623" s="12">
        <v>135</v>
      </c>
      <c r="L1623" s="12">
        <v>32.75</v>
      </c>
      <c r="M1623" s="13">
        <v>4</v>
      </c>
      <c r="N1623" s="13">
        <f t="shared" si="200"/>
        <v>12.627916666664532</v>
      </c>
      <c r="O1623" s="13">
        <f t="shared" si="201"/>
        <v>0</v>
      </c>
      <c r="P1623" t="str">
        <f t="shared" si="202"/>
        <v>On Time</v>
      </c>
      <c r="Q1623" s="13">
        <f t="shared" si="203"/>
        <v>0.2616666667163372</v>
      </c>
      <c r="R1623" s="13">
        <f t="shared" si="204"/>
        <v>0.51098379629547708</v>
      </c>
      <c r="S1623" s="13">
        <f t="shared" si="205"/>
        <v>12.106030092589208</v>
      </c>
      <c r="T1623" t="str">
        <f t="shared" si="206"/>
        <v>On Time/Early</v>
      </c>
      <c r="U1623" t="str">
        <f t="shared" si="207"/>
        <v>Normal</v>
      </c>
      <c r="V1623" t="s">
        <v>102</v>
      </c>
    </row>
    <row r="1624" spans="1:22">
      <c r="A1624" t="s">
        <v>2339</v>
      </c>
      <c r="B1624" s="10">
        <v>43250.486250000002</v>
      </c>
      <c r="C1624" s="10">
        <v>43250.493287037039</v>
      </c>
      <c r="D1624" s="10">
        <v>43256.59375</v>
      </c>
      <c r="E1624" s="10">
        <v>43267.722708333335</v>
      </c>
      <c r="F1624" s="10">
        <v>43307</v>
      </c>
      <c r="G1624" t="s">
        <v>134</v>
      </c>
      <c r="H1624" t="s">
        <v>2340</v>
      </c>
      <c r="I1624" t="s">
        <v>384</v>
      </c>
      <c r="J1624" s="11">
        <v>1</v>
      </c>
      <c r="K1624" s="12">
        <v>99.9</v>
      </c>
      <c r="L1624" s="12">
        <v>23.63</v>
      </c>
      <c r="M1624" s="13">
        <v>5</v>
      </c>
      <c r="N1624" s="13">
        <f t="shared" si="200"/>
        <v>17.236458333332848</v>
      </c>
      <c r="O1624" s="13">
        <f t="shared" si="201"/>
        <v>0</v>
      </c>
      <c r="P1624" t="str">
        <f t="shared" si="202"/>
        <v>On Time</v>
      </c>
      <c r="Q1624" s="13">
        <f t="shared" si="203"/>
        <v>0.16888888890389353</v>
      </c>
      <c r="R1624" s="13">
        <f t="shared" si="204"/>
        <v>6.1004629629605915</v>
      </c>
      <c r="S1624" s="13">
        <f t="shared" si="205"/>
        <v>11.128958333334594</v>
      </c>
      <c r="T1624" t="str">
        <f t="shared" si="206"/>
        <v>On Time/Early</v>
      </c>
      <c r="U1624" t="str">
        <f t="shared" si="207"/>
        <v>Normal</v>
      </c>
      <c r="V1624" t="s">
        <v>102</v>
      </c>
    </row>
    <row r="1625" spans="1:22">
      <c r="A1625" t="s">
        <v>2341</v>
      </c>
      <c r="B1625" s="10">
        <v>43250.537581018521</v>
      </c>
      <c r="C1625" s="10">
        <v>43250.548113425924</v>
      </c>
      <c r="D1625" s="10">
        <v>43252.611111111109</v>
      </c>
      <c r="E1625" s="10">
        <v>43272.768460648149</v>
      </c>
      <c r="F1625" s="10">
        <v>43292</v>
      </c>
      <c r="G1625" t="s">
        <v>36</v>
      </c>
      <c r="H1625" t="s">
        <v>2308</v>
      </c>
      <c r="I1625" t="s">
        <v>112</v>
      </c>
      <c r="J1625" s="11">
        <v>1</v>
      </c>
      <c r="K1625" s="12">
        <v>38.9</v>
      </c>
      <c r="L1625" s="12">
        <v>19.32</v>
      </c>
      <c r="M1625" s="13">
        <v>5</v>
      </c>
      <c r="N1625" s="13">
        <f t="shared" si="200"/>
        <v>22.230879629627452</v>
      </c>
      <c r="O1625" s="13">
        <f t="shared" si="201"/>
        <v>0</v>
      </c>
      <c r="P1625" t="str">
        <f t="shared" si="202"/>
        <v>On Time</v>
      </c>
      <c r="Q1625" s="13">
        <f t="shared" si="203"/>
        <v>0.25277777767041698</v>
      </c>
      <c r="R1625" s="13">
        <f t="shared" si="204"/>
        <v>2.0629976851851097</v>
      </c>
      <c r="S1625" s="13">
        <f t="shared" si="205"/>
        <v>20.157349537039408</v>
      </c>
      <c r="T1625" t="str">
        <f t="shared" si="206"/>
        <v>On Time/Early</v>
      </c>
      <c r="U1625" t="str">
        <f t="shared" si="207"/>
        <v>Normal</v>
      </c>
      <c r="V1625" t="s">
        <v>102</v>
      </c>
    </row>
    <row r="1626" spans="1:22">
      <c r="A1626" t="s">
        <v>2342</v>
      </c>
      <c r="B1626" s="10">
        <v>43250.593078703707</v>
      </c>
      <c r="C1626" s="10">
        <v>43250.605509259258</v>
      </c>
      <c r="D1626" s="10">
        <v>43252.611111111109</v>
      </c>
      <c r="E1626" s="10">
        <v>43260.571296296293</v>
      </c>
      <c r="F1626" s="10">
        <v>43284</v>
      </c>
      <c r="G1626" t="s">
        <v>8</v>
      </c>
      <c r="H1626" t="s">
        <v>528</v>
      </c>
      <c r="I1626" t="s">
        <v>112</v>
      </c>
      <c r="J1626" s="11">
        <v>1</v>
      </c>
      <c r="K1626" s="12">
        <v>38.9</v>
      </c>
      <c r="L1626" s="12">
        <v>13.71</v>
      </c>
      <c r="M1626" s="13">
        <v>4</v>
      </c>
      <c r="N1626" s="13">
        <f t="shared" si="200"/>
        <v>9.9782175925865886</v>
      </c>
      <c r="O1626" s="13">
        <f t="shared" si="201"/>
        <v>0</v>
      </c>
      <c r="P1626" t="str">
        <f t="shared" si="202"/>
        <v>On Time</v>
      </c>
      <c r="Q1626" s="13">
        <f t="shared" si="203"/>
        <v>0.29833333322312683</v>
      </c>
      <c r="R1626" s="13">
        <f t="shared" si="204"/>
        <v>2.0056018518516794</v>
      </c>
      <c r="S1626" s="13">
        <f t="shared" si="205"/>
        <v>7.9601851851839456</v>
      </c>
      <c r="T1626" t="str">
        <f t="shared" si="206"/>
        <v>On Time/Early</v>
      </c>
      <c r="U1626" t="str">
        <f t="shared" si="207"/>
        <v>Normal</v>
      </c>
      <c r="V1626" t="s">
        <v>102</v>
      </c>
    </row>
    <row r="1627" spans="1:22">
      <c r="A1627" t="s">
        <v>2343</v>
      </c>
      <c r="B1627" s="10">
        <v>43250.78328703704</v>
      </c>
      <c r="C1627" s="10">
        <v>43251.150185185186</v>
      </c>
      <c r="D1627" s="10">
        <v>43256.556250000001</v>
      </c>
      <c r="E1627" s="10">
        <v>43257.689618055556</v>
      </c>
      <c r="F1627" s="10">
        <v>43269</v>
      </c>
      <c r="G1627" t="s">
        <v>8</v>
      </c>
      <c r="H1627" t="s">
        <v>140</v>
      </c>
      <c r="I1627" t="s">
        <v>141</v>
      </c>
      <c r="J1627" s="11">
        <v>1</v>
      </c>
      <c r="K1627" s="12">
        <v>85</v>
      </c>
      <c r="L1627" s="12">
        <v>7.46</v>
      </c>
      <c r="M1627" s="13">
        <v>4</v>
      </c>
      <c r="N1627" s="13">
        <f t="shared" si="200"/>
        <v>6.9063310185156297</v>
      </c>
      <c r="O1627" s="13">
        <f t="shared" si="201"/>
        <v>0</v>
      </c>
      <c r="P1627" t="str">
        <f t="shared" si="202"/>
        <v>On Time</v>
      </c>
      <c r="Q1627" s="13">
        <f t="shared" si="203"/>
        <v>8.8055555555038154</v>
      </c>
      <c r="R1627" s="13">
        <f t="shared" si="204"/>
        <v>5.4060648148151813</v>
      </c>
      <c r="S1627" s="13">
        <f t="shared" si="205"/>
        <v>1.1333680555544561</v>
      </c>
      <c r="T1627" t="str">
        <f t="shared" si="206"/>
        <v>On Time/Early</v>
      </c>
      <c r="U1627" t="str">
        <f t="shared" si="207"/>
        <v>Normal</v>
      </c>
      <c r="V1627" t="s">
        <v>102</v>
      </c>
    </row>
    <row r="1628" spans="1:22">
      <c r="A1628" t="s">
        <v>2344</v>
      </c>
      <c r="B1628" s="10">
        <v>43250.85633101852</v>
      </c>
      <c r="C1628" s="10">
        <v>43250.871759259258</v>
      </c>
      <c r="D1628" s="10">
        <v>43252.769444444442</v>
      </c>
      <c r="E1628" s="10">
        <v>43264.737268518518</v>
      </c>
      <c r="F1628" s="10">
        <v>43292</v>
      </c>
      <c r="G1628" t="s">
        <v>110</v>
      </c>
      <c r="H1628" t="s">
        <v>1533</v>
      </c>
      <c r="I1628" t="s">
        <v>180</v>
      </c>
      <c r="J1628" s="11">
        <v>1</v>
      </c>
      <c r="K1628" s="12">
        <v>99.9</v>
      </c>
      <c r="L1628" s="12">
        <v>23.28</v>
      </c>
      <c r="M1628" s="13">
        <v>5</v>
      </c>
      <c r="N1628" s="13">
        <f t="shared" si="200"/>
        <v>13.880937499998254</v>
      </c>
      <c r="O1628" s="13">
        <f t="shared" si="201"/>
        <v>0</v>
      </c>
      <c r="P1628" t="str">
        <f t="shared" si="202"/>
        <v>On Time</v>
      </c>
      <c r="Q1628" s="13">
        <f t="shared" si="203"/>
        <v>0.37027777772163972</v>
      </c>
      <c r="R1628" s="13">
        <f t="shared" si="204"/>
        <v>1.8976851851839456</v>
      </c>
      <c r="S1628" s="13">
        <f t="shared" si="205"/>
        <v>11.967824074075907</v>
      </c>
      <c r="T1628" t="str">
        <f t="shared" si="206"/>
        <v>On Time/Early</v>
      </c>
      <c r="U1628" t="str">
        <f t="shared" si="207"/>
        <v>Normal</v>
      </c>
      <c r="V1628" t="s">
        <v>102</v>
      </c>
    </row>
    <row r="1629" spans="1:22">
      <c r="A1629" t="s">
        <v>2345</v>
      </c>
      <c r="B1629" s="10">
        <v>43251.426134259258</v>
      </c>
      <c r="C1629" s="10">
        <v>43251.438020833331</v>
      </c>
      <c r="D1629" s="10">
        <v>43266.600694444445</v>
      </c>
      <c r="E1629" s="10">
        <v>43271.657268518517</v>
      </c>
      <c r="F1629" s="10">
        <v>43292</v>
      </c>
      <c r="G1629" t="s">
        <v>8</v>
      </c>
      <c r="H1629" t="s">
        <v>182</v>
      </c>
      <c r="I1629" t="s">
        <v>37</v>
      </c>
      <c r="J1629" s="11">
        <v>1</v>
      </c>
      <c r="K1629" s="12">
        <v>179.9</v>
      </c>
      <c r="L1629" s="12">
        <v>39.46</v>
      </c>
      <c r="M1629" s="13">
        <v>4</v>
      </c>
      <c r="N1629" s="13">
        <f t="shared" si="200"/>
        <v>20.231134259258397</v>
      </c>
      <c r="O1629" s="13">
        <f t="shared" si="201"/>
        <v>0</v>
      </c>
      <c r="P1629" t="str">
        <f t="shared" si="202"/>
        <v>On Time</v>
      </c>
      <c r="Q1629" s="13">
        <f t="shared" si="203"/>
        <v>0.28527777775889263</v>
      </c>
      <c r="R1629" s="13">
        <f t="shared" si="204"/>
        <v>15.16267361111386</v>
      </c>
      <c r="S1629" s="13">
        <f t="shared" si="205"/>
        <v>5.0565740740712499</v>
      </c>
      <c r="T1629" t="str">
        <f t="shared" si="206"/>
        <v>On Time/Early</v>
      </c>
      <c r="U1629" t="str">
        <f t="shared" si="207"/>
        <v>Normal</v>
      </c>
      <c r="V1629" t="s">
        <v>102</v>
      </c>
    </row>
    <row r="1630" spans="1:22">
      <c r="A1630" t="s">
        <v>2346</v>
      </c>
      <c r="B1630" s="10">
        <v>43251.938368055555</v>
      </c>
      <c r="C1630" s="10">
        <v>43251.95171296296</v>
      </c>
      <c r="D1630" s="10">
        <v>43252.54583333333</v>
      </c>
      <c r="E1630" s="10">
        <v>43253.728148148148</v>
      </c>
      <c r="F1630" s="10">
        <v>43277</v>
      </c>
      <c r="G1630" t="s">
        <v>8</v>
      </c>
      <c r="H1630" t="s">
        <v>140</v>
      </c>
      <c r="I1630" t="s">
        <v>228</v>
      </c>
      <c r="J1630" s="11">
        <v>1</v>
      </c>
      <c r="K1630" s="12">
        <v>76</v>
      </c>
      <c r="L1630" s="12">
        <v>34.53</v>
      </c>
      <c r="M1630" s="13">
        <v>1</v>
      </c>
      <c r="N1630" s="13">
        <f t="shared" si="200"/>
        <v>1.7897800925929914</v>
      </c>
      <c r="O1630" s="13">
        <f t="shared" si="201"/>
        <v>0</v>
      </c>
      <c r="P1630" t="str">
        <f t="shared" si="202"/>
        <v>On Time</v>
      </c>
      <c r="Q1630" s="13">
        <f t="shared" si="203"/>
        <v>0.32027777773328125</v>
      </c>
      <c r="R1630" s="13">
        <f t="shared" si="204"/>
        <v>0.59412037036963739</v>
      </c>
      <c r="S1630" s="13">
        <f t="shared" si="205"/>
        <v>1.1823148148178007</v>
      </c>
      <c r="T1630" t="str">
        <f t="shared" si="206"/>
        <v>On Time/Early</v>
      </c>
      <c r="U1630" t="str">
        <f t="shared" si="207"/>
        <v>Normal</v>
      </c>
      <c r="V1630" t="s">
        <v>102</v>
      </c>
    </row>
    <row r="1631" spans="1:22">
      <c r="A1631" t="s">
        <v>2347</v>
      </c>
      <c r="B1631" s="10">
        <v>43252.401458333334</v>
      </c>
      <c r="C1631" s="10">
        <v>43252.412187499998</v>
      </c>
      <c r="D1631" s="10">
        <v>43252.495138888888</v>
      </c>
      <c r="E1631" s="10">
        <v>43259.018611111111</v>
      </c>
      <c r="F1631" s="10">
        <v>43285</v>
      </c>
      <c r="G1631" t="s">
        <v>20</v>
      </c>
      <c r="H1631" t="s">
        <v>104</v>
      </c>
      <c r="I1631" t="s">
        <v>136</v>
      </c>
      <c r="J1631" s="11">
        <v>1</v>
      </c>
      <c r="K1631" s="12">
        <v>179.99</v>
      </c>
      <c r="L1631" s="12">
        <v>14.38</v>
      </c>
      <c r="M1631" s="13">
        <v>1</v>
      </c>
      <c r="N1631" s="13">
        <f t="shared" si="200"/>
        <v>6.617152777776937</v>
      </c>
      <c r="O1631" s="13">
        <f t="shared" si="201"/>
        <v>0</v>
      </c>
      <c r="P1631" t="str">
        <f t="shared" si="202"/>
        <v>On Time</v>
      </c>
      <c r="Q1631" s="13">
        <f t="shared" si="203"/>
        <v>0.25749999994877726</v>
      </c>
      <c r="R1631" s="13">
        <f t="shared" si="204"/>
        <v>8.2951388889341615E-2</v>
      </c>
      <c r="S1631" s="13">
        <f t="shared" si="205"/>
        <v>6.523472222223063</v>
      </c>
      <c r="T1631" t="str">
        <f t="shared" si="206"/>
        <v>On Time/Early</v>
      </c>
      <c r="U1631" t="str">
        <f t="shared" si="207"/>
        <v>Normal</v>
      </c>
      <c r="V1631" t="s">
        <v>102</v>
      </c>
    </row>
    <row r="1632" spans="1:22">
      <c r="A1632" t="s">
        <v>2348</v>
      </c>
      <c r="B1632" s="10">
        <v>43252.459027777775</v>
      </c>
      <c r="C1632" s="10">
        <v>43252.468854166669</v>
      </c>
      <c r="D1632" s="10">
        <v>43257.634027777778</v>
      </c>
      <c r="E1632" s="10">
        <v>43263.050219907411</v>
      </c>
      <c r="F1632" s="10">
        <v>43285</v>
      </c>
      <c r="G1632" t="s">
        <v>8</v>
      </c>
      <c r="H1632" t="s">
        <v>140</v>
      </c>
      <c r="I1632" t="s">
        <v>120</v>
      </c>
      <c r="J1632" s="11">
        <v>1</v>
      </c>
      <c r="K1632" s="12">
        <v>46</v>
      </c>
      <c r="L1632" s="12">
        <v>13.71</v>
      </c>
      <c r="M1632" s="13">
        <v>5</v>
      </c>
      <c r="N1632" s="13">
        <f t="shared" si="200"/>
        <v>10.591192129635601</v>
      </c>
      <c r="O1632" s="13">
        <f t="shared" si="201"/>
        <v>0</v>
      </c>
      <c r="P1632" t="str">
        <f t="shared" si="202"/>
        <v>On Time</v>
      </c>
      <c r="Q1632" s="13">
        <f t="shared" si="203"/>
        <v>0.23583333345595747</v>
      </c>
      <c r="R1632" s="13">
        <f t="shared" si="204"/>
        <v>5.1651736111089122</v>
      </c>
      <c r="S1632" s="13">
        <f t="shared" si="205"/>
        <v>5.4161921296326909</v>
      </c>
      <c r="T1632" t="str">
        <f t="shared" si="206"/>
        <v>On Time/Early</v>
      </c>
      <c r="U1632" t="str">
        <f t="shared" si="207"/>
        <v>Normal</v>
      </c>
      <c r="V1632" t="s">
        <v>102</v>
      </c>
    </row>
    <row r="1633" spans="1:22">
      <c r="A1633" t="s">
        <v>2349</v>
      </c>
      <c r="B1633" s="10">
        <v>43252.61996527778</v>
      </c>
      <c r="C1633" s="10">
        <v>43256.20275462963</v>
      </c>
      <c r="D1633" s="10">
        <v>43258.60833333333</v>
      </c>
      <c r="E1633" s="10">
        <v>43259.575706018521</v>
      </c>
      <c r="F1633" s="10">
        <v>43293</v>
      </c>
      <c r="G1633" t="s">
        <v>8</v>
      </c>
      <c r="H1633" t="s">
        <v>140</v>
      </c>
      <c r="I1633" t="s">
        <v>141</v>
      </c>
      <c r="J1633" s="11">
        <v>1</v>
      </c>
      <c r="K1633" s="12">
        <v>180</v>
      </c>
      <c r="L1633" s="12">
        <v>17.14</v>
      </c>
      <c r="M1633" s="13">
        <v>5</v>
      </c>
      <c r="N1633" s="13">
        <f t="shared" si="200"/>
        <v>6.955740740741021</v>
      </c>
      <c r="O1633" s="13">
        <f t="shared" si="201"/>
        <v>0</v>
      </c>
      <c r="P1633" t="str">
        <f t="shared" si="202"/>
        <v>On Time</v>
      </c>
      <c r="Q1633" s="13">
        <f t="shared" si="203"/>
        <v>85.98694444441935</v>
      </c>
      <c r="R1633" s="13">
        <f t="shared" si="204"/>
        <v>2.4055787036995753</v>
      </c>
      <c r="S1633" s="13">
        <f t="shared" si="205"/>
        <v>0.96737268519063946</v>
      </c>
      <c r="T1633" t="str">
        <f t="shared" si="206"/>
        <v>On Time/Early</v>
      </c>
      <c r="U1633" t="str">
        <f t="shared" si="207"/>
        <v>Normal</v>
      </c>
      <c r="V1633" t="s">
        <v>102</v>
      </c>
    </row>
    <row r="1634" spans="1:22">
      <c r="A1634" t="s">
        <v>2350</v>
      </c>
      <c r="B1634" s="10">
        <v>43252.728692129633</v>
      </c>
      <c r="C1634" s="10">
        <v>43253.73028935185</v>
      </c>
      <c r="D1634" s="10">
        <v>43257.511805555558</v>
      </c>
      <c r="E1634" s="10">
        <v>43265.856157407405</v>
      </c>
      <c r="F1634" s="10">
        <v>43292</v>
      </c>
      <c r="G1634" t="s">
        <v>320</v>
      </c>
      <c r="H1634" t="s">
        <v>321</v>
      </c>
      <c r="I1634" t="s">
        <v>185</v>
      </c>
      <c r="J1634" s="11">
        <v>1</v>
      </c>
      <c r="K1634" s="12">
        <v>15.9</v>
      </c>
      <c r="L1634" s="12">
        <v>18.23</v>
      </c>
      <c r="M1634" s="13">
        <v>4</v>
      </c>
      <c r="N1634" s="13">
        <f t="shared" si="200"/>
        <v>13.127465277771989</v>
      </c>
      <c r="O1634" s="13">
        <f t="shared" si="201"/>
        <v>0</v>
      </c>
      <c r="P1634" t="str">
        <f t="shared" si="202"/>
        <v>On Time</v>
      </c>
      <c r="Q1634" s="13">
        <f t="shared" si="203"/>
        <v>24.038333333213814</v>
      </c>
      <c r="R1634" s="13">
        <f t="shared" si="204"/>
        <v>3.7815162037077243</v>
      </c>
      <c r="S1634" s="13">
        <f t="shared" si="205"/>
        <v>8.3443518518470228</v>
      </c>
      <c r="T1634" t="str">
        <f t="shared" si="206"/>
        <v>On Time/Early</v>
      </c>
      <c r="U1634" t="str">
        <f t="shared" si="207"/>
        <v>Normal</v>
      </c>
      <c r="V1634" t="s">
        <v>102</v>
      </c>
    </row>
    <row r="1635" spans="1:22">
      <c r="A1635" t="s">
        <v>2351</v>
      </c>
      <c r="B1635" s="10">
        <v>43252.744155092594</v>
      </c>
      <c r="C1635" s="10">
        <v>43252.7578125</v>
      </c>
      <c r="D1635" s="10">
        <v>43255.433333333334</v>
      </c>
      <c r="E1635" s="10">
        <v>43285.881041666667</v>
      </c>
      <c r="F1635" s="10">
        <v>43300</v>
      </c>
      <c r="G1635" t="s">
        <v>218</v>
      </c>
      <c r="H1635" t="s">
        <v>2352</v>
      </c>
      <c r="I1635" t="s">
        <v>34</v>
      </c>
      <c r="J1635" s="11">
        <v>1</v>
      </c>
      <c r="K1635" s="12">
        <v>74</v>
      </c>
      <c r="L1635" s="12">
        <v>52.65</v>
      </c>
      <c r="M1635" s="13">
        <v>5</v>
      </c>
      <c r="N1635" s="13">
        <f t="shared" si="200"/>
        <v>33.136886574073287</v>
      </c>
      <c r="O1635" s="13">
        <f t="shared" si="201"/>
        <v>0</v>
      </c>
      <c r="P1635" t="str">
        <f t="shared" si="202"/>
        <v>On Time</v>
      </c>
      <c r="Q1635" s="13">
        <f t="shared" si="203"/>
        <v>0.32777777774026617</v>
      </c>
      <c r="R1635" s="13">
        <f t="shared" si="204"/>
        <v>2.6755208333343035</v>
      </c>
      <c r="S1635" s="13">
        <f t="shared" si="205"/>
        <v>30.447708333333139</v>
      </c>
      <c r="T1635" t="str">
        <f t="shared" si="206"/>
        <v>On Time/Early</v>
      </c>
      <c r="U1635" t="str">
        <f t="shared" si="207"/>
        <v>Normal</v>
      </c>
      <c r="V1635" t="s">
        <v>102</v>
      </c>
    </row>
    <row r="1636" spans="1:22">
      <c r="A1636" t="s">
        <v>2353</v>
      </c>
      <c r="B1636" s="10">
        <v>43252.797986111109</v>
      </c>
      <c r="C1636" s="10">
        <v>43252.813483796293</v>
      </c>
      <c r="D1636" s="10">
        <v>43258.576388888891</v>
      </c>
      <c r="E1636" s="10">
        <v>43259.691527777781</v>
      </c>
      <c r="F1636" s="10">
        <v>43277</v>
      </c>
      <c r="G1636" t="s">
        <v>8</v>
      </c>
      <c r="H1636" t="s">
        <v>1021</v>
      </c>
      <c r="I1636" t="s">
        <v>101</v>
      </c>
      <c r="J1636" s="11">
        <v>3</v>
      </c>
      <c r="K1636" s="12">
        <v>81</v>
      </c>
      <c r="L1636" s="12">
        <v>33.450000000000003</v>
      </c>
      <c r="M1636" s="13">
        <v>4</v>
      </c>
      <c r="N1636" s="13">
        <f t="shared" si="200"/>
        <v>6.8935416666718083</v>
      </c>
      <c r="O1636" s="13">
        <f t="shared" si="201"/>
        <v>0</v>
      </c>
      <c r="P1636" t="str">
        <f t="shared" si="202"/>
        <v>On Time</v>
      </c>
      <c r="Q1636" s="13">
        <f t="shared" si="203"/>
        <v>0.3719444444286637</v>
      </c>
      <c r="R1636" s="13">
        <f t="shared" si="204"/>
        <v>5.762905092597066</v>
      </c>
      <c r="S1636" s="13">
        <f t="shared" si="205"/>
        <v>1.1151388888902147</v>
      </c>
      <c r="T1636" t="str">
        <f t="shared" si="206"/>
        <v>On Time/Early</v>
      </c>
      <c r="U1636" t="str">
        <f t="shared" si="207"/>
        <v>Normal</v>
      </c>
      <c r="V1636" t="s">
        <v>102</v>
      </c>
    </row>
    <row r="1637" spans="1:22">
      <c r="A1637" t="s">
        <v>2354</v>
      </c>
      <c r="B1637" s="10">
        <v>43253.493750000001</v>
      </c>
      <c r="C1637" s="10">
        <v>43253.507951388892</v>
      </c>
      <c r="D1637" s="10">
        <v>43256.626388888886</v>
      </c>
      <c r="E1637" s="10">
        <v>43271.965069444443</v>
      </c>
      <c r="F1637" s="10">
        <v>43294</v>
      </c>
      <c r="G1637" t="s">
        <v>110</v>
      </c>
      <c r="H1637" t="s">
        <v>111</v>
      </c>
      <c r="I1637" t="s">
        <v>963</v>
      </c>
      <c r="J1637" s="11">
        <v>1</v>
      </c>
      <c r="K1637" s="12">
        <v>129.94999999999999</v>
      </c>
      <c r="L1637" s="12">
        <v>18.79</v>
      </c>
      <c r="M1637" s="13">
        <v>5</v>
      </c>
      <c r="N1637" s="13">
        <f t="shared" si="200"/>
        <v>18.471319444441178</v>
      </c>
      <c r="O1637" s="13">
        <f t="shared" si="201"/>
        <v>0</v>
      </c>
      <c r="P1637" t="str">
        <f t="shared" si="202"/>
        <v>On Time</v>
      </c>
      <c r="Q1637" s="13">
        <f t="shared" si="203"/>
        <v>0.34083333337912336</v>
      </c>
      <c r="R1637" s="13">
        <f t="shared" si="204"/>
        <v>3.1184374999938882</v>
      </c>
      <c r="S1637" s="13">
        <f t="shared" si="205"/>
        <v>15.338680555556493</v>
      </c>
      <c r="T1637" t="str">
        <f t="shared" si="206"/>
        <v>On Time/Early</v>
      </c>
      <c r="U1637" t="str">
        <f t="shared" si="207"/>
        <v>Normal</v>
      </c>
      <c r="V1637" t="s">
        <v>102</v>
      </c>
    </row>
    <row r="1638" spans="1:22">
      <c r="A1638" t="s">
        <v>2355</v>
      </c>
      <c r="B1638" s="10">
        <v>43253.775960648149</v>
      </c>
      <c r="C1638" s="10">
        <v>43253.785752314812</v>
      </c>
      <c r="D1638" s="10">
        <v>43255.582638888889</v>
      </c>
      <c r="E1638" s="10">
        <v>43257.9609375</v>
      </c>
      <c r="F1638" s="10">
        <v>43286</v>
      </c>
      <c r="G1638" t="s">
        <v>8</v>
      </c>
      <c r="H1638" t="s">
        <v>140</v>
      </c>
      <c r="I1638" t="s">
        <v>180</v>
      </c>
      <c r="J1638" s="11">
        <v>1</v>
      </c>
      <c r="K1638" s="12">
        <v>64</v>
      </c>
      <c r="L1638" s="12">
        <v>13.81</v>
      </c>
      <c r="M1638" s="13">
        <v>5</v>
      </c>
      <c r="N1638" s="13">
        <f t="shared" si="200"/>
        <v>4.1849768518513883</v>
      </c>
      <c r="O1638" s="13">
        <f t="shared" si="201"/>
        <v>0</v>
      </c>
      <c r="P1638" t="str">
        <f t="shared" si="202"/>
        <v>On Time</v>
      </c>
      <c r="Q1638" s="13">
        <f t="shared" si="203"/>
        <v>0.2349999999278225</v>
      </c>
      <c r="R1638" s="13">
        <f t="shared" si="204"/>
        <v>1.7968865740767797</v>
      </c>
      <c r="S1638" s="13">
        <f t="shared" si="205"/>
        <v>2.3782986111109494</v>
      </c>
      <c r="T1638" t="str">
        <f t="shared" si="206"/>
        <v>On Time/Early</v>
      </c>
      <c r="U1638" t="str">
        <f t="shared" si="207"/>
        <v>Normal</v>
      </c>
      <c r="V1638" t="s">
        <v>102</v>
      </c>
    </row>
    <row r="1639" spans="1:22">
      <c r="A1639" t="s">
        <v>2356</v>
      </c>
      <c r="B1639" s="10">
        <v>43253.827534722222</v>
      </c>
      <c r="C1639" s="10">
        <v>43256.159687500003</v>
      </c>
      <c r="D1639" s="10">
        <v>43256.570138888892</v>
      </c>
      <c r="E1639" s="10">
        <v>43270.897407407407</v>
      </c>
      <c r="F1639" s="10">
        <v>43293</v>
      </c>
      <c r="G1639" t="s">
        <v>206</v>
      </c>
      <c r="H1639" t="s">
        <v>207</v>
      </c>
      <c r="I1639" t="s">
        <v>58</v>
      </c>
      <c r="J1639" s="11">
        <v>1</v>
      </c>
      <c r="K1639" s="12">
        <v>84.9</v>
      </c>
      <c r="L1639" s="12">
        <v>20.64</v>
      </c>
      <c r="M1639" s="13">
        <v>5</v>
      </c>
      <c r="N1639" s="13">
        <f t="shared" si="200"/>
        <v>17.069872685184237</v>
      </c>
      <c r="O1639" s="13">
        <f t="shared" si="201"/>
        <v>0</v>
      </c>
      <c r="P1639" t="str">
        <f t="shared" si="202"/>
        <v>On Time</v>
      </c>
      <c r="Q1639" s="13">
        <f t="shared" si="203"/>
        <v>55.971666666737292</v>
      </c>
      <c r="R1639" s="13">
        <f t="shared" si="204"/>
        <v>0.41045138888875954</v>
      </c>
      <c r="S1639" s="13">
        <f t="shared" si="205"/>
        <v>14.327268518514757</v>
      </c>
      <c r="T1639" t="str">
        <f t="shared" si="206"/>
        <v>On Time/Early</v>
      </c>
      <c r="U1639" t="str">
        <f t="shared" si="207"/>
        <v>Normal</v>
      </c>
      <c r="V1639" t="s">
        <v>102</v>
      </c>
    </row>
    <row r="1640" spans="1:22">
      <c r="A1640" t="s">
        <v>2357</v>
      </c>
      <c r="B1640" s="10">
        <v>43253.829965277779</v>
      </c>
      <c r="C1640" s="10">
        <v>43256.159942129627</v>
      </c>
      <c r="D1640" s="10">
        <v>43256.427083333336</v>
      </c>
      <c r="E1640" s="10">
        <v>43264.822650462964</v>
      </c>
      <c r="F1640" s="10">
        <v>43306</v>
      </c>
      <c r="G1640" t="s">
        <v>16</v>
      </c>
      <c r="H1640" t="s">
        <v>138</v>
      </c>
      <c r="I1640" t="s">
        <v>58</v>
      </c>
      <c r="J1640" s="11">
        <v>1</v>
      </c>
      <c r="K1640" s="12">
        <v>66.989999999999995</v>
      </c>
      <c r="L1640" s="12">
        <v>27.53</v>
      </c>
      <c r="M1640" s="13">
        <v>5</v>
      </c>
      <c r="N1640" s="13">
        <f t="shared" si="200"/>
        <v>10.99268518518511</v>
      </c>
      <c r="O1640" s="13">
        <f t="shared" si="201"/>
        <v>0</v>
      </c>
      <c r="P1640" t="str">
        <f t="shared" si="202"/>
        <v>On Time</v>
      </c>
      <c r="Q1640" s="13">
        <f t="shared" si="203"/>
        <v>55.919444444356486</v>
      </c>
      <c r="R1640" s="13">
        <f t="shared" si="204"/>
        <v>0.2671412037088885</v>
      </c>
      <c r="S1640" s="13">
        <f t="shared" si="205"/>
        <v>8.3955671296280343</v>
      </c>
      <c r="T1640" t="str">
        <f t="shared" si="206"/>
        <v>On Time/Early</v>
      </c>
      <c r="U1640" t="str">
        <f t="shared" si="207"/>
        <v>Normal</v>
      </c>
      <c r="V1640" t="s">
        <v>102</v>
      </c>
    </row>
    <row r="1641" spans="1:22">
      <c r="A1641" t="s">
        <v>2358</v>
      </c>
      <c r="B1641" s="10">
        <v>43253.910324074073</v>
      </c>
      <c r="C1641" s="10">
        <v>43253.924722222226</v>
      </c>
      <c r="D1641" s="10">
        <v>43256.427083333336</v>
      </c>
      <c r="E1641" s="10">
        <v>43268.606157407405</v>
      </c>
      <c r="F1641" s="10">
        <v>43293</v>
      </c>
      <c r="G1641" t="s">
        <v>36</v>
      </c>
      <c r="H1641" t="s">
        <v>467</v>
      </c>
      <c r="I1641" t="s">
        <v>58</v>
      </c>
      <c r="J1641" s="11">
        <v>1</v>
      </c>
      <c r="K1641" s="12">
        <v>64.989999999999995</v>
      </c>
      <c r="L1641" s="12">
        <v>27.51</v>
      </c>
      <c r="M1641" s="13">
        <v>4</v>
      </c>
      <c r="N1641" s="13">
        <f t="shared" si="200"/>
        <v>14.695833333331393</v>
      </c>
      <c r="O1641" s="13">
        <f t="shared" si="201"/>
        <v>0</v>
      </c>
      <c r="P1641" t="str">
        <f t="shared" si="202"/>
        <v>On Time</v>
      </c>
      <c r="Q1641" s="13">
        <f t="shared" si="203"/>
        <v>0.34555555565748364</v>
      </c>
      <c r="R1641" s="13">
        <f t="shared" si="204"/>
        <v>2.5023611111100763</v>
      </c>
      <c r="S1641" s="13">
        <f t="shared" si="205"/>
        <v>12.179074074068922</v>
      </c>
      <c r="T1641" t="str">
        <f t="shared" si="206"/>
        <v>On Time/Early</v>
      </c>
      <c r="U1641" t="str">
        <f t="shared" si="207"/>
        <v>Normal</v>
      </c>
      <c r="V1641" t="s">
        <v>102</v>
      </c>
    </row>
    <row r="1642" spans="1:22">
      <c r="A1642" t="s">
        <v>2359</v>
      </c>
      <c r="B1642" s="10">
        <v>43253.986770833333</v>
      </c>
      <c r="C1642" s="10">
        <v>43253.993321759262</v>
      </c>
      <c r="D1642" s="10">
        <v>43255.404166666667</v>
      </c>
      <c r="E1642" s="10">
        <v>43262.686527777776</v>
      </c>
      <c r="F1642" s="10">
        <v>43292</v>
      </c>
      <c r="G1642" t="s">
        <v>16</v>
      </c>
      <c r="H1642" t="s">
        <v>559</v>
      </c>
      <c r="I1642" t="s">
        <v>185</v>
      </c>
      <c r="J1642" s="11">
        <v>1</v>
      </c>
      <c r="K1642" s="12">
        <v>27.9</v>
      </c>
      <c r="L1642" s="12">
        <v>18.23</v>
      </c>
      <c r="M1642" s="13">
        <v>5</v>
      </c>
      <c r="N1642" s="13">
        <f t="shared" si="200"/>
        <v>8.6997569444429246</v>
      </c>
      <c r="O1642" s="13">
        <f t="shared" si="201"/>
        <v>0</v>
      </c>
      <c r="P1642" t="str">
        <f t="shared" si="202"/>
        <v>On Time</v>
      </c>
      <c r="Q1642" s="13">
        <f t="shared" si="203"/>
        <v>0.15722222230397165</v>
      </c>
      <c r="R1642" s="13">
        <f t="shared" si="204"/>
        <v>1.4108449074046803</v>
      </c>
      <c r="S1642" s="13">
        <f t="shared" si="205"/>
        <v>7.2823611111089122</v>
      </c>
      <c r="T1642" t="str">
        <f t="shared" si="206"/>
        <v>On Time/Early</v>
      </c>
      <c r="U1642" t="str">
        <f t="shared" si="207"/>
        <v>Normal</v>
      </c>
      <c r="V1642" t="s">
        <v>102</v>
      </c>
    </row>
    <row r="1643" spans="1:22">
      <c r="A1643" t="s">
        <v>2360</v>
      </c>
      <c r="B1643" s="10">
        <v>43254.837962962964</v>
      </c>
      <c r="C1643" s="10">
        <v>43254.855046296296</v>
      </c>
      <c r="D1643" s="10">
        <v>43256.48333333333</v>
      </c>
      <c r="E1643" s="10">
        <v>43258.59511574074</v>
      </c>
      <c r="F1643" s="10">
        <v>43279</v>
      </c>
      <c r="G1643" t="s">
        <v>8</v>
      </c>
      <c r="H1643" t="s">
        <v>161</v>
      </c>
      <c r="I1643" t="s">
        <v>58</v>
      </c>
      <c r="J1643" s="11">
        <v>2</v>
      </c>
      <c r="K1643" s="12">
        <v>58</v>
      </c>
      <c r="L1643" s="12">
        <v>15.74</v>
      </c>
      <c r="M1643" s="13">
        <v>5</v>
      </c>
      <c r="N1643" s="13">
        <f t="shared" si="200"/>
        <v>3.7571527777763549</v>
      </c>
      <c r="O1643" s="13">
        <f t="shared" si="201"/>
        <v>0</v>
      </c>
      <c r="P1643" t="str">
        <f t="shared" si="202"/>
        <v>On Time</v>
      </c>
      <c r="Q1643" s="13">
        <f t="shared" si="203"/>
        <v>0.40999999997438863</v>
      </c>
      <c r="R1643" s="13">
        <f t="shared" si="204"/>
        <v>1.6282870370341698</v>
      </c>
      <c r="S1643" s="13">
        <f t="shared" si="205"/>
        <v>2.111782407409919</v>
      </c>
      <c r="T1643" t="str">
        <f t="shared" si="206"/>
        <v>On Time/Early</v>
      </c>
      <c r="U1643" t="str">
        <f t="shared" si="207"/>
        <v>Normal</v>
      </c>
      <c r="V1643" t="s">
        <v>102</v>
      </c>
    </row>
    <row r="1644" spans="1:22">
      <c r="A1644" t="s">
        <v>2361</v>
      </c>
      <c r="B1644" s="10">
        <v>43255.508703703701</v>
      </c>
      <c r="C1644" s="10">
        <v>43257.121145833335</v>
      </c>
      <c r="D1644" s="10">
        <v>43257.475694444445</v>
      </c>
      <c r="E1644" s="10">
        <v>43264.8047337963</v>
      </c>
      <c r="F1644" s="10">
        <v>43286</v>
      </c>
      <c r="G1644" t="s">
        <v>8</v>
      </c>
      <c r="H1644" t="s">
        <v>540</v>
      </c>
      <c r="I1644" t="s">
        <v>279</v>
      </c>
      <c r="J1644" s="11">
        <v>1</v>
      </c>
      <c r="K1644" s="12">
        <v>83.9</v>
      </c>
      <c r="L1644" s="12">
        <v>13.95</v>
      </c>
      <c r="M1644" s="13">
        <v>2</v>
      </c>
      <c r="N1644" s="13">
        <f t="shared" si="200"/>
        <v>9.2960300925988122</v>
      </c>
      <c r="O1644" s="13">
        <f t="shared" si="201"/>
        <v>0</v>
      </c>
      <c r="P1644" t="str">
        <f t="shared" si="202"/>
        <v>On Time</v>
      </c>
      <c r="Q1644" s="13">
        <f t="shared" si="203"/>
        <v>38.698611111205537</v>
      </c>
      <c r="R1644" s="13">
        <f t="shared" si="204"/>
        <v>0.35454861111065838</v>
      </c>
      <c r="S1644" s="13">
        <f t="shared" si="205"/>
        <v>7.3290393518545898</v>
      </c>
      <c r="T1644" t="str">
        <f t="shared" si="206"/>
        <v>On Time/Early</v>
      </c>
      <c r="U1644" t="str">
        <f t="shared" si="207"/>
        <v>Normal</v>
      </c>
      <c r="V1644" t="s">
        <v>102</v>
      </c>
    </row>
    <row r="1645" spans="1:22">
      <c r="A1645" t="s">
        <v>2362</v>
      </c>
      <c r="B1645" s="10">
        <v>43255.526597222219</v>
      </c>
      <c r="C1645" s="10">
        <v>43255.535266203704</v>
      </c>
      <c r="D1645" s="10">
        <v>43255.581944444442</v>
      </c>
      <c r="E1645" s="10">
        <v>43259.449155092596</v>
      </c>
      <c r="F1645" s="10">
        <v>43293</v>
      </c>
      <c r="G1645" t="s">
        <v>8</v>
      </c>
      <c r="H1645" t="s">
        <v>182</v>
      </c>
      <c r="I1645" t="s">
        <v>58</v>
      </c>
      <c r="J1645" s="11">
        <v>1</v>
      </c>
      <c r="K1645" s="12">
        <v>1499.65</v>
      </c>
      <c r="L1645" s="12">
        <v>28.38</v>
      </c>
      <c r="M1645" s="13">
        <v>4</v>
      </c>
      <c r="N1645" s="13">
        <f t="shared" si="200"/>
        <v>3.9225578703772044</v>
      </c>
      <c r="O1645" s="13">
        <f t="shared" si="201"/>
        <v>0</v>
      </c>
      <c r="P1645" t="str">
        <f t="shared" si="202"/>
        <v>On Time</v>
      </c>
      <c r="Q1645" s="13">
        <f t="shared" si="203"/>
        <v>0.20805555564584211</v>
      </c>
      <c r="R1645" s="13">
        <f t="shared" si="204"/>
        <v>4.6678240738401655E-2</v>
      </c>
      <c r="S1645" s="13">
        <f t="shared" si="205"/>
        <v>3.8672106481535593</v>
      </c>
      <c r="T1645" t="str">
        <f t="shared" si="206"/>
        <v>On Time/Early</v>
      </c>
      <c r="U1645" t="str">
        <f t="shared" si="207"/>
        <v>Normal</v>
      </c>
      <c r="V1645" t="s">
        <v>102</v>
      </c>
    </row>
    <row r="1646" spans="1:22">
      <c r="A1646" t="s">
        <v>2363</v>
      </c>
      <c r="B1646" s="10">
        <v>43255.752916666665</v>
      </c>
      <c r="C1646" s="10">
        <v>43256.159953703704</v>
      </c>
      <c r="D1646" s="10">
        <v>43256.59375</v>
      </c>
      <c r="E1646" s="10">
        <v>43278.422835648147</v>
      </c>
      <c r="F1646" s="10">
        <v>43300</v>
      </c>
      <c r="G1646" t="s">
        <v>30</v>
      </c>
      <c r="H1646" t="s">
        <v>100</v>
      </c>
      <c r="I1646" t="s">
        <v>185</v>
      </c>
      <c r="J1646" s="11">
        <v>1</v>
      </c>
      <c r="K1646" s="12">
        <v>64.8</v>
      </c>
      <c r="L1646" s="12">
        <v>23.03</v>
      </c>
      <c r="M1646" s="13">
        <v>4</v>
      </c>
      <c r="N1646" s="13">
        <f t="shared" si="200"/>
        <v>22.669918981482624</v>
      </c>
      <c r="O1646" s="13">
        <f t="shared" si="201"/>
        <v>0</v>
      </c>
      <c r="P1646" t="str">
        <f t="shared" si="202"/>
        <v>On Time</v>
      </c>
      <c r="Q1646" s="13">
        <f t="shared" si="203"/>
        <v>9.7688888889388181</v>
      </c>
      <c r="R1646" s="13">
        <f t="shared" si="204"/>
        <v>0.43379629629635019</v>
      </c>
      <c r="S1646" s="13">
        <f t="shared" si="205"/>
        <v>21.829085648147156</v>
      </c>
      <c r="T1646" t="str">
        <f t="shared" si="206"/>
        <v>On Time/Early</v>
      </c>
      <c r="U1646" t="str">
        <f t="shared" si="207"/>
        <v>Normal</v>
      </c>
      <c r="V1646" t="s">
        <v>102</v>
      </c>
    </row>
    <row r="1647" spans="1:22">
      <c r="A1647" t="s">
        <v>2364</v>
      </c>
      <c r="B1647" s="10">
        <v>43255.858749999999</v>
      </c>
      <c r="C1647" s="10">
        <v>43257.120798611111</v>
      </c>
      <c r="D1647" s="10">
        <v>43258.584722222222</v>
      </c>
      <c r="E1647" s="10">
        <v>43271.772476851853</v>
      </c>
      <c r="F1647" s="10">
        <v>43294</v>
      </c>
      <c r="G1647" t="s">
        <v>474</v>
      </c>
      <c r="H1647" t="s">
        <v>475</v>
      </c>
      <c r="I1647" t="s">
        <v>221</v>
      </c>
      <c r="J1647" s="11">
        <v>1</v>
      </c>
      <c r="K1647" s="12">
        <v>199.99</v>
      </c>
      <c r="L1647" s="12">
        <v>23.9</v>
      </c>
      <c r="M1647" s="13">
        <v>4</v>
      </c>
      <c r="N1647" s="13">
        <f t="shared" si="200"/>
        <v>15.913726851853426</v>
      </c>
      <c r="O1647" s="13">
        <f t="shared" si="201"/>
        <v>0</v>
      </c>
      <c r="P1647" t="str">
        <f t="shared" si="202"/>
        <v>On Time</v>
      </c>
      <c r="Q1647" s="13">
        <f t="shared" si="203"/>
        <v>30.289166666683741</v>
      </c>
      <c r="R1647" s="13">
        <f t="shared" si="204"/>
        <v>1.4639236111106584</v>
      </c>
      <c r="S1647" s="13">
        <f t="shared" si="205"/>
        <v>13.187754629630945</v>
      </c>
      <c r="T1647" t="str">
        <f t="shared" si="206"/>
        <v>On Time/Early</v>
      </c>
      <c r="U1647" t="str">
        <f t="shared" si="207"/>
        <v>Normal</v>
      </c>
      <c r="V1647" t="s">
        <v>102</v>
      </c>
    </row>
    <row r="1648" spans="1:22">
      <c r="A1648" t="s">
        <v>2365</v>
      </c>
      <c r="B1648" s="10">
        <v>43256.060196759259</v>
      </c>
      <c r="C1648" s="10">
        <v>43256.076469907406</v>
      </c>
      <c r="D1648" s="10">
        <v>43256.44027777778</v>
      </c>
      <c r="E1648" s="10">
        <v>43257.712569444448</v>
      </c>
      <c r="F1648" s="10">
        <v>43280</v>
      </c>
      <c r="G1648" t="s">
        <v>8</v>
      </c>
      <c r="H1648" t="s">
        <v>140</v>
      </c>
      <c r="I1648" t="s">
        <v>118</v>
      </c>
      <c r="J1648" s="11">
        <v>1</v>
      </c>
      <c r="K1648" s="12">
        <v>29.9</v>
      </c>
      <c r="L1648" s="12">
        <v>8.2899999999999991</v>
      </c>
      <c r="M1648" s="13">
        <v>5</v>
      </c>
      <c r="N1648" s="13">
        <f t="shared" si="200"/>
        <v>1.6523726851883112</v>
      </c>
      <c r="O1648" s="13">
        <f t="shared" si="201"/>
        <v>0</v>
      </c>
      <c r="P1648" t="str">
        <f t="shared" si="202"/>
        <v>On Time</v>
      </c>
      <c r="Q1648" s="13">
        <f t="shared" si="203"/>
        <v>0.39055555552477017</v>
      </c>
      <c r="R1648" s="13">
        <f t="shared" si="204"/>
        <v>0.36380787037342088</v>
      </c>
      <c r="S1648" s="13">
        <f t="shared" si="205"/>
        <v>1.2722916666680248</v>
      </c>
      <c r="T1648" t="str">
        <f t="shared" si="206"/>
        <v>On Time/Early</v>
      </c>
      <c r="U1648" t="str">
        <f t="shared" si="207"/>
        <v>Normal</v>
      </c>
      <c r="V1648" t="s">
        <v>102</v>
      </c>
    </row>
    <row r="1649" spans="1:22">
      <c r="A1649" t="s">
        <v>2366</v>
      </c>
      <c r="B1649" s="10">
        <v>43256.519571759258</v>
      </c>
      <c r="C1649" s="10">
        <v>43256.605254629627</v>
      </c>
      <c r="D1649" s="10">
        <v>43257.55</v>
      </c>
      <c r="E1649" s="10">
        <v>43258.728136574071</v>
      </c>
      <c r="F1649" s="10">
        <v>43292</v>
      </c>
      <c r="G1649" t="s">
        <v>8</v>
      </c>
      <c r="H1649" t="s">
        <v>182</v>
      </c>
      <c r="I1649" t="s">
        <v>128</v>
      </c>
      <c r="J1649" s="11">
        <v>5</v>
      </c>
      <c r="K1649" s="12">
        <v>249.5</v>
      </c>
      <c r="L1649" s="12">
        <v>103.57</v>
      </c>
      <c r="M1649" s="13">
        <v>5</v>
      </c>
      <c r="N1649" s="13">
        <f t="shared" si="200"/>
        <v>2.208564814813144</v>
      </c>
      <c r="O1649" s="13">
        <f t="shared" si="201"/>
        <v>0</v>
      </c>
      <c r="P1649" t="str">
        <f t="shared" si="202"/>
        <v>On Time</v>
      </c>
      <c r="Q1649" s="13">
        <f t="shared" si="203"/>
        <v>2.0563888888573274</v>
      </c>
      <c r="R1649" s="13">
        <f t="shared" si="204"/>
        <v>0.94474537037604023</v>
      </c>
      <c r="S1649" s="13">
        <f t="shared" si="205"/>
        <v>1.1781365740680485</v>
      </c>
      <c r="T1649" t="str">
        <f t="shared" si="206"/>
        <v>On Time/Early</v>
      </c>
      <c r="U1649" t="str">
        <f t="shared" si="207"/>
        <v>Normal</v>
      </c>
      <c r="V1649" t="s">
        <v>102</v>
      </c>
    </row>
    <row r="1650" spans="1:22">
      <c r="A1650" t="s">
        <v>2367</v>
      </c>
      <c r="B1650" s="10">
        <v>43256.721250000002</v>
      </c>
      <c r="C1650" s="10">
        <v>43256.730312500003</v>
      </c>
      <c r="D1650" s="10">
        <v>43257.384027777778</v>
      </c>
      <c r="E1650" s="10">
        <v>43273.624120370368</v>
      </c>
      <c r="F1650" s="10">
        <v>43301</v>
      </c>
      <c r="G1650" t="s">
        <v>50</v>
      </c>
      <c r="H1650" t="s">
        <v>1821</v>
      </c>
      <c r="I1650" t="s">
        <v>279</v>
      </c>
      <c r="J1650" s="11">
        <v>1</v>
      </c>
      <c r="K1650" s="12">
        <v>59</v>
      </c>
      <c r="L1650" s="12">
        <v>19.100000000000001</v>
      </c>
      <c r="M1650" s="13">
        <v>4</v>
      </c>
      <c r="N1650" s="13">
        <f t="shared" si="200"/>
        <v>16.902870370366145</v>
      </c>
      <c r="O1650" s="13">
        <f t="shared" si="201"/>
        <v>0</v>
      </c>
      <c r="P1650" t="str">
        <f t="shared" si="202"/>
        <v>On Time</v>
      </c>
      <c r="Q1650" s="13">
        <f t="shared" si="203"/>
        <v>0.21750000002793968</v>
      </c>
      <c r="R1650" s="13">
        <f t="shared" si="204"/>
        <v>0.65371527777460869</v>
      </c>
      <c r="S1650" s="13">
        <f t="shared" si="205"/>
        <v>16.240092592590372</v>
      </c>
      <c r="T1650" t="str">
        <f t="shared" si="206"/>
        <v>On Time/Early</v>
      </c>
      <c r="U1650" t="str">
        <f t="shared" si="207"/>
        <v>Normal</v>
      </c>
      <c r="V1650" t="s">
        <v>102</v>
      </c>
    </row>
    <row r="1651" spans="1:22">
      <c r="A1651" t="s">
        <v>2368</v>
      </c>
      <c r="B1651" s="10">
        <v>43256.76085648148</v>
      </c>
      <c r="C1651" s="10">
        <v>43256.774606481478</v>
      </c>
      <c r="D1651" s="10">
        <v>43257.55</v>
      </c>
      <c r="E1651" s="10">
        <v>43270.979039351849</v>
      </c>
      <c r="F1651" s="10">
        <v>43305</v>
      </c>
      <c r="G1651" t="s">
        <v>175</v>
      </c>
      <c r="H1651" t="s">
        <v>338</v>
      </c>
      <c r="I1651" t="s">
        <v>101</v>
      </c>
      <c r="J1651" s="11">
        <v>3</v>
      </c>
      <c r="K1651" s="12">
        <v>161.9</v>
      </c>
      <c r="L1651" s="12">
        <v>87.67</v>
      </c>
      <c r="M1651" s="13">
        <v>5</v>
      </c>
      <c r="N1651" s="13">
        <f t="shared" si="200"/>
        <v>14.218182870368764</v>
      </c>
      <c r="O1651" s="13">
        <f t="shared" si="201"/>
        <v>0</v>
      </c>
      <c r="P1651" t="str">
        <f t="shared" si="202"/>
        <v>On Time</v>
      </c>
      <c r="Q1651" s="13">
        <f t="shared" si="203"/>
        <v>0.32999999995809048</v>
      </c>
      <c r="R1651" s="13">
        <f t="shared" si="204"/>
        <v>0.77539351852465188</v>
      </c>
      <c r="S1651" s="13">
        <f t="shared" si="205"/>
        <v>13.429039351845859</v>
      </c>
      <c r="T1651" t="str">
        <f t="shared" si="206"/>
        <v>On Time/Early</v>
      </c>
      <c r="U1651" t="str">
        <f t="shared" si="207"/>
        <v>Normal</v>
      </c>
      <c r="V1651" t="s">
        <v>102</v>
      </c>
    </row>
    <row r="1652" spans="1:22">
      <c r="A1652" t="s">
        <v>2369</v>
      </c>
      <c r="B1652" s="10">
        <v>43256.838692129626</v>
      </c>
      <c r="C1652" s="10">
        <v>43256.856226851851</v>
      </c>
      <c r="D1652" s="10">
        <v>43257.378472222219</v>
      </c>
      <c r="E1652" s="10">
        <v>43265.41815972222</v>
      </c>
      <c r="F1652" s="10">
        <v>43306</v>
      </c>
      <c r="G1652" t="s">
        <v>57</v>
      </c>
      <c r="H1652" t="s">
        <v>2370</v>
      </c>
      <c r="I1652" t="s">
        <v>58</v>
      </c>
      <c r="J1652" s="11">
        <v>1</v>
      </c>
      <c r="K1652" s="12">
        <v>87.5</v>
      </c>
      <c r="L1652" s="12">
        <v>38.659999999999997</v>
      </c>
      <c r="M1652" s="13">
        <v>5</v>
      </c>
      <c r="N1652" s="13">
        <f t="shared" si="200"/>
        <v>8.5794675925935735</v>
      </c>
      <c r="O1652" s="13">
        <f t="shared" si="201"/>
        <v>0</v>
      </c>
      <c r="P1652" t="str">
        <f t="shared" si="202"/>
        <v>On Time</v>
      </c>
      <c r="Q1652" s="13">
        <f t="shared" si="203"/>
        <v>0.4208333333954215</v>
      </c>
      <c r="R1652" s="13">
        <f t="shared" si="204"/>
        <v>0.52224537036818219</v>
      </c>
      <c r="S1652" s="13">
        <f t="shared" si="205"/>
        <v>8.0396875000005821</v>
      </c>
      <c r="T1652" t="str">
        <f t="shared" si="206"/>
        <v>On Time/Early</v>
      </c>
      <c r="U1652" t="str">
        <f t="shared" si="207"/>
        <v>Normal</v>
      </c>
      <c r="V1652" t="s">
        <v>102</v>
      </c>
    </row>
    <row r="1653" spans="1:22">
      <c r="A1653" t="s">
        <v>2371</v>
      </c>
      <c r="B1653" s="10">
        <v>43257.42465277778</v>
      </c>
      <c r="C1653" s="10">
        <v>43257.438321759262</v>
      </c>
      <c r="D1653" s="10">
        <v>43265.310416666667</v>
      </c>
      <c r="E1653" s="10">
        <v>43269.587731481479</v>
      </c>
      <c r="F1653" s="10">
        <v>43298</v>
      </c>
      <c r="G1653" t="s">
        <v>8</v>
      </c>
      <c r="H1653" t="s">
        <v>140</v>
      </c>
      <c r="I1653" t="s">
        <v>136</v>
      </c>
      <c r="J1653" s="11">
        <v>1</v>
      </c>
      <c r="K1653" s="12">
        <v>19.8</v>
      </c>
      <c r="L1653" s="12">
        <v>15.23</v>
      </c>
      <c r="M1653" s="13">
        <v>1</v>
      </c>
      <c r="N1653" s="13">
        <f t="shared" si="200"/>
        <v>12.163078703699284</v>
      </c>
      <c r="O1653" s="13">
        <f t="shared" si="201"/>
        <v>0</v>
      </c>
      <c r="P1653" t="str">
        <f t="shared" si="202"/>
        <v>On Time</v>
      </c>
      <c r="Q1653" s="13">
        <f t="shared" si="203"/>
        <v>0.32805555558297783</v>
      </c>
      <c r="R1653" s="13">
        <f t="shared" si="204"/>
        <v>7.8720949074049713</v>
      </c>
      <c r="S1653" s="13">
        <f t="shared" si="205"/>
        <v>4.2773148148116888</v>
      </c>
      <c r="T1653" t="str">
        <f t="shared" si="206"/>
        <v>On Time/Early</v>
      </c>
      <c r="U1653" t="str">
        <f t="shared" si="207"/>
        <v>Normal</v>
      </c>
      <c r="V1653" t="s">
        <v>102</v>
      </c>
    </row>
    <row r="1654" spans="1:22">
      <c r="A1654" t="s">
        <v>2372</v>
      </c>
      <c r="B1654" s="10">
        <v>43257.573229166665</v>
      </c>
      <c r="C1654" s="10">
        <v>43259.122534722221</v>
      </c>
      <c r="D1654" s="10">
        <v>43263.5</v>
      </c>
      <c r="E1654" s="10">
        <v>43271.170648148145</v>
      </c>
      <c r="F1654" s="10">
        <v>43298</v>
      </c>
      <c r="G1654" t="s">
        <v>20</v>
      </c>
      <c r="H1654" t="s">
        <v>2373</v>
      </c>
      <c r="I1654" t="s">
        <v>136</v>
      </c>
      <c r="J1654" s="11">
        <v>1</v>
      </c>
      <c r="K1654" s="12">
        <v>22.5</v>
      </c>
      <c r="L1654" s="12">
        <v>39.32</v>
      </c>
      <c r="M1654" s="13">
        <v>5</v>
      </c>
      <c r="N1654" s="13">
        <f t="shared" si="200"/>
        <v>13.597418981480587</v>
      </c>
      <c r="O1654" s="13">
        <f t="shared" si="201"/>
        <v>0</v>
      </c>
      <c r="P1654" t="str">
        <f t="shared" si="202"/>
        <v>On Time</v>
      </c>
      <c r="Q1654" s="13">
        <f t="shared" si="203"/>
        <v>37.183333333348855</v>
      </c>
      <c r="R1654" s="13">
        <f t="shared" si="204"/>
        <v>4.3774652777792653</v>
      </c>
      <c r="S1654" s="13">
        <f t="shared" si="205"/>
        <v>7.6706481481451192</v>
      </c>
      <c r="T1654" t="str">
        <f t="shared" si="206"/>
        <v>On Time/Early</v>
      </c>
      <c r="U1654" t="str">
        <f t="shared" si="207"/>
        <v>Normal</v>
      </c>
      <c r="V1654" t="s">
        <v>102</v>
      </c>
    </row>
    <row r="1655" spans="1:22">
      <c r="A1655" t="s">
        <v>2374</v>
      </c>
      <c r="B1655" s="10">
        <v>43257.687662037039</v>
      </c>
      <c r="C1655" s="10">
        <v>43257.705057870371</v>
      </c>
      <c r="D1655" s="10">
        <v>43258.593055555553</v>
      </c>
      <c r="E1655" s="10">
        <v>43262.740706018521</v>
      </c>
      <c r="F1655" s="10">
        <v>43307</v>
      </c>
      <c r="G1655" t="s">
        <v>16</v>
      </c>
      <c r="H1655" t="s">
        <v>138</v>
      </c>
      <c r="I1655" t="s">
        <v>180</v>
      </c>
      <c r="J1655" s="11">
        <v>1</v>
      </c>
      <c r="K1655" s="12">
        <v>134.99</v>
      </c>
      <c r="L1655" s="12">
        <v>18.52</v>
      </c>
      <c r="M1655" s="13">
        <v>4</v>
      </c>
      <c r="N1655" s="13">
        <f t="shared" si="200"/>
        <v>5.0530439814829151</v>
      </c>
      <c r="O1655" s="13">
        <f t="shared" si="201"/>
        <v>0</v>
      </c>
      <c r="P1655" t="str">
        <f t="shared" si="202"/>
        <v>On Time</v>
      </c>
      <c r="Q1655" s="13">
        <f t="shared" si="203"/>
        <v>0.41749999998137355</v>
      </c>
      <c r="R1655" s="13">
        <f t="shared" si="204"/>
        <v>0.88799768518219935</v>
      </c>
      <c r="S1655" s="13">
        <f t="shared" si="205"/>
        <v>4.1476504629681585</v>
      </c>
      <c r="T1655" t="str">
        <f t="shared" si="206"/>
        <v>On Time/Early</v>
      </c>
      <c r="U1655" t="str">
        <f t="shared" si="207"/>
        <v>Normal</v>
      </c>
      <c r="V1655" t="s">
        <v>102</v>
      </c>
    </row>
    <row r="1656" spans="1:22">
      <c r="A1656" t="s">
        <v>2375</v>
      </c>
      <c r="B1656" s="10">
        <v>43257.813240740739</v>
      </c>
      <c r="C1656" s="10">
        <v>43257.829675925925</v>
      </c>
      <c r="D1656" s="10">
        <v>43258.588888888888</v>
      </c>
      <c r="E1656" s="10">
        <v>43269.498969907407</v>
      </c>
      <c r="F1656" s="10">
        <v>43299</v>
      </c>
      <c r="G1656" t="s">
        <v>33</v>
      </c>
      <c r="H1656" t="s">
        <v>356</v>
      </c>
      <c r="I1656" t="s">
        <v>58</v>
      </c>
      <c r="J1656" s="11">
        <v>2</v>
      </c>
      <c r="K1656" s="12">
        <v>190</v>
      </c>
      <c r="L1656" s="12">
        <v>31.1</v>
      </c>
      <c r="M1656" s="13">
        <v>1</v>
      </c>
      <c r="N1656" s="13">
        <f t="shared" si="200"/>
        <v>11.685729166667443</v>
      </c>
      <c r="O1656" s="13">
        <f t="shared" si="201"/>
        <v>0</v>
      </c>
      <c r="P1656" t="str">
        <f t="shared" si="202"/>
        <v>On Time</v>
      </c>
      <c r="Q1656" s="13">
        <f t="shared" si="203"/>
        <v>0.39444444444961846</v>
      </c>
      <c r="R1656" s="13">
        <f t="shared" si="204"/>
        <v>0.75921296296291985</v>
      </c>
      <c r="S1656" s="13">
        <f t="shared" si="205"/>
        <v>10.910081018519122</v>
      </c>
      <c r="T1656" t="str">
        <f t="shared" si="206"/>
        <v>On Time/Early</v>
      </c>
      <c r="U1656" t="str">
        <f t="shared" si="207"/>
        <v>Normal</v>
      </c>
      <c r="V1656" t="s">
        <v>102</v>
      </c>
    </row>
    <row r="1657" spans="1:22">
      <c r="A1657" t="s">
        <v>2376</v>
      </c>
      <c r="B1657" s="10">
        <v>43258.553842592592</v>
      </c>
      <c r="C1657" s="10">
        <v>43259.122557870367</v>
      </c>
      <c r="D1657" s="10">
        <v>43259.40902777778</v>
      </c>
      <c r="E1657" s="10">
        <v>43270.993564814817</v>
      </c>
      <c r="F1657" s="10">
        <v>43286</v>
      </c>
      <c r="G1657" t="s">
        <v>16</v>
      </c>
      <c r="H1657" t="s">
        <v>1008</v>
      </c>
      <c r="I1657" t="s">
        <v>221</v>
      </c>
      <c r="J1657" s="11">
        <v>1</v>
      </c>
      <c r="K1657" s="12">
        <v>119</v>
      </c>
      <c r="L1657" s="12">
        <v>18.71</v>
      </c>
      <c r="M1657" s="13">
        <v>3</v>
      </c>
      <c r="N1657" s="13">
        <f t="shared" si="200"/>
        <v>12.4397222222251</v>
      </c>
      <c r="O1657" s="13">
        <f t="shared" si="201"/>
        <v>0</v>
      </c>
      <c r="P1657" t="str">
        <f t="shared" si="202"/>
        <v>On Time</v>
      </c>
      <c r="Q1657" s="13">
        <f t="shared" si="203"/>
        <v>13.649166666611563</v>
      </c>
      <c r="R1657" s="13">
        <f t="shared" si="204"/>
        <v>0.2864699074125383</v>
      </c>
      <c r="S1657" s="13">
        <f t="shared" si="205"/>
        <v>11.58453703703708</v>
      </c>
      <c r="T1657" t="str">
        <f t="shared" si="206"/>
        <v>On Time/Early</v>
      </c>
      <c r="U1657" t="str">
        <f t="shared" si="207"/>
        <v>Normal</v>
      </c>
      <c r="V1657" t="s">
        <v>102</v>
      </c>
    </row>
    <row r="1658" spans="1:22">
      <c r="A1658" t="s">
        <v>2377</v>
      </c>
      <c r="B1658" s="10">
        <v>43258.57545138889</v>
      </c>
      <c r="C1658" s="10">
        <v>43258.597395833334</v>
      </c>
      <c r="D1658" s="10">
        <v>43262.622916666667</v>
      </c>
      <c r="E1658" s="10">
        <v>43263.879756944443</v>
      </c>
      <c r="F1658" s="10">
        <v>43269</v>
      </c>
      <c r="G1658" t="s">
        <v>8</v>
      </c>
      <c r="H1658" t="s">
        <v>140</v>
      </c>
      <c r="I1658" t="s">
        <v>143</v>
      </c>
      <c r="J1658" s="11">
        <v>1</v>
      </c>
      <c r="K1658" s="12">
        <v>6.9</v>
      </c>
      <c r="L1658" s="12">
        <v>7.39</v>
      </c>
      <c r="M1658" s="13">
        <v>2</v>
      </c>
      <c r="N1658" s="13">
        <f t="shared" si="200"/>
        <v>5.304305555553583</v>
      </c>
      <c r="O1658" s="13">
        <f t="shared" si="201"/>
        <v>0</v>
      </c>
      <c r="P1658" t="str">
        <f t="shared" si="202"/>
        <v>On Time</v>
      </c>
      <c r="Q1658" s="13">
        <f t="shared" si="203"/>
        <v>0.52666666667209938</v>
      </c>
      <c r="R1658" s="13">
        <f t="shared" si="204"/>
        <v>4.0255208333328483</v>
      </c>
      <c r="S1658" s="13">
        <f t="shared" si="205"/>
        <v>1.2568402777760639</v>
      </c>
      <c r="T1658" t="str">
        <f t="shared" si="206"/>
        <v>On Time/Early</v>
      </c>
      <c r="U1658" t="str">
        <f t="shared" si="207"/>
        <v>Normal</v>
      </c>
      <c r="V1658" t="s">
        <v>102</v>
      </c>
    </row>
    <row r="1659" spans="1:22">
      <c r="A1659" t="s">
        <v>2378</v>
      </c>
      <c r="B1659" s="10">
        <v>43258.646365740744</v>
      </c>
      <c r="C1659" s="10">
        <v>43258.666689814818</v>
      </c>
      <c r="D1659" s="10">
        <v>43259.439583333333</v>
      </c>
      <c r="E1659" s="10">
        <v>43261.600497685184</v>
      </c>
      <c r="F1659" s="10">
        <v>43276</v>
      </c>
      <c r="G1659" t="s">
        <v>8</v>
      </c>
      <c r="H1659" t="s">
        <v>140</v>
      </c>
      <c r="I1659" t="s">
        <v>339</v>
      </c>
      <c r="J1659" s="11">
        <v>1</v>
      </c>
      <c r="K1659" s="12">
        <v>69.900000000000006</v>
      </c>
      <c r="L1659" s="12">
        <v>8.8800000000000008</v>
      </c>
      <c r="M1659" s="13">
        <v>4</v>
      </c>
      <c r="N1659" s="13">
        <f t="shared" si="200"/>
        <v>2.9541319444397232</v>
      </c>
      <c r="O1659" s="13">
        <f t="shared" si="201"/>
        <v>0</v>
      </c>
      <c r="P1659" t="str">
        <f t="shared" si="202"/>
        <v>On Time</v>
      </c>
      <c r="Q1659" s="13">
        <f t="shared" si="203"/>
        <v>0.48777777777286246</v>
      </c>
      <c r="R1659" s="13">
        <f t="shared" si="204"/>
        <v>0.77289351851504762</v>
      </c>
      <c r="S1659" s="13">
        <f t="shared" si="205"/>
        <v>2.1609143518508063</v>
      </c>
      <c r="T1659" t="str">
        <f t="shared" si="206"/>
        <v>On Time/Early</v>
      </c>
      <c r="U1659" t="str">
        <f t="shared" si="207"/>
        <v>Normal</v>
      </c>
      <c r="V1659" t="s">
        <v>102</v>
      </c>
    </row>
    <row r="1660" spans="1:22">
      <c r="A1660" t="s">
        <v>2379</v>
      </c>
      <c r="B1660" s="10">
        <v>43258.878020833334</v>
      </c>
      <c r="C1660" s="10">
        <v>43259.552881944444</v>
      </c>
      <c r="D1660" s="10">
        <v>43259.605555555558</v>
      </c>
      <c r="E1660" s="10">
        <v>43264.800173611111</v>
      </c>
      <c r="F1660" s="10">
        <v>43299</v>
      </c>
      <c r="G1660" t="s">
        <v>175</v>
      </c>
      <c r="H1660" t="s">
        <v>338</v>
      </c>
      <c r="I1660" t="s">
        <v>118</v>
      </c>
      <c r="J1660" s="11">
        <v>1</v>
      </c>
      <c r="K1660" s="12">
        <v>29.99</v>
      </c>
      <c r="L1660" s="12">
        <v>19.04</v>
      </c>
      <c r="M1660" s="13">
        <v>3</v>
      </c>
      <c r="N1660" s="13">
        <f t="shared" si="200"/>
        <v>5.922152777777228</v>
      </c>
      <c r="O1660" s="13">
        <f t="shared" si="201"/>
        <v>0</v>
      </c>
      <c r="P1660" t="str">
        <f t="shared" si="202"/>
        <v>On Time</v>
      </c>
      <c r="Q1660" s="13">
        <f t="shared" si="203"/>
        <v>16.196666666655801</v>
      </c>
      <c r="R1660" s="13">
        <f t="shared" si="204"/>
        <v>5.267361111327773E-2</v>
      </c>
      <c r="S1660" s="13">
        <f t="shared" si="205"/>
        <v>5.1946180555532919</v>
      </c>
      <c r="T1660" t="str">
        <f t="shared" si="206"/>
        <v>On Time/Early</v>
      </c>
      <c r="U1660" t="str">
        <f t="shared" si="207"/>
        <v>Normal</v>
      </c>
      <c r="V1660" t="s">
        <v>102</v>
      </c>
    </row>
    <row r="1661" spans="1:22">
      <c r="A1661" t="s">
        <v>2380</v>
      </c>
      <c r="B1661" s="10">
        <v>43258.909236111111</v>
      </c>
      <c r="C1661" s="10">
        <v>43258.927939814814</v>
      </c>
      <c r="D1661" s="10">
        <v>43259.611111111109</v>
      </c>
      <c r="E1661" s="10">
        <v>43266.581689814811</v>
      </c>
      <c r="F1661" s="10">
        <v>43294</v>
      </c>
      <c r="G1661" t="s">
        <v>8</v>
      </c>
      <c r="H1661" t="s">
        <v>2381</v>
      </c>
      <c r="I1661" t="s">
        <v>136</v>
      </c>
      <c r="J1661" s="11">
        <v>1</v>
      </c>
      <c r="K1661" s="12">
        <v>89.5</v>
      </c>
      <c r="L1661" s="12">
        <v>15.48</v>
      </c>
      <c r="M1661" s="13">
        <v>4</v>
      </c>
      <c r="N1661" s="13">
        <f t="shared" si="200"/>
        <v>7.6724537037007394</v>
      </c>
      <c r="O1661" s="13">
        <f t="shared" si="201"/>
        <v>0</v>
      </c>
      <c r="P1661" t="str">
        <f t="shared" si="202"/>
        <v>On Time</v>
      </c>
      <c r="Q1661" s="13">
        <f t="shared" si="203"/>
        <v>0.44888888887362555</v>
      </c>
      <c r="R1661" s="13">
        <f t="shared" si="204"/>
        <v>0.68317129629576812</v>
      </c>
      <c r="S1661" s="13">
        <f t="shared" si="205"/>
        <v>6.9705787037019036</v>
      </c>
      <c r="T1661" t="str">
        <f t="shared" si="206"/>
        <v>On Time/Early</v>
      </c>
      <c r="U1661" t="str">
        <f t="shared" si="207"/>
        <v>Normal</v>
      </c>
      <c r="V1661" t="s">
        <v>102</v>
      </c>
    </row>
    <row r="1662" spans="1:22">
      <c r="A1662" t="s">
        <v>2382</v>
      </c>
      <c r="B1662" s="10">
        <v>43259.021192129629</v>
      </c>
      <c r="C1662" s="10">
        <v>43259.039305555554</v>
      </c>
      <c r="D1662" s="10">
        <v>43259.356249999997</v>
      </c>
      <c r="E1662" s="10">
        <v>43271.867210648146</v>
      </c>
      <c r="F1662" s="10">
        <v>43297</v>
      </c>
      <c r="G1662" t="s">
        <v>30</v>
      </c>
      <c r="H1662" t="s">
        <v>329</v>
      </c>
      <c r="I1662" t="s">
        <v>180</v>
      </c>
      <c r="J1662" s="11">
        <v>1</v>
      </c>
      <c r="K1662" s="12">
        <v>68</v>
      </c>
      <c r="L1662" s="12">
        <v>16.45</v>
      </c>
      <c r="M1662" s="13">
        <v>5</v>
      </c>
      <c r="N1662" s="13">
        <f t="shared" si="200"/>
        <v>12.846018518517667</v>
      </c>
      <c r="O1662" s="13">
        <f t="shared" si="201"/>
        <v>0</v>
      </c>
      <c r="P1662" t="str">
        <f t="shared" si="202"/>
        <v>On Time</v>
      </c>
      <c r="Q1662" s="13">
        <f t="shared" si="203"/>
        <v>0.4347222222131677</v>
      </c>
      <c r="R1662" s="13">
        <f t="shared" si="204"/>
        <v>0.31694444444292458</v>
      </c>
      <c r="S1662" s="13">
        <f t="shared" si="205"/>
        <v>12.510960648149194</v>
      </c>
      <c r="T1662" t="str">
        <f t="shared" si="206"/>
        <v>On Time/Early</v>
      </c>
      <c r="U1662" t="str">
        <f t="shared" si="207"/>
        <v>Normal</v>
      </c>
      <c r="V1662" t="s">
        <v>102</v>
      </c>
    </row>
    <row r="1663" spans="1:22">
      <c r="A1663" t="s">
        <v>2383</v>
      </c>
      <c r="B1663" s="10">
        <v>43259.38553240741</v>
      </c>
      <c r="C1663" s="10">
        <v>43259.399745370371</v>
      </c>
      <c r="D1663" s="10">
        <v>43259.688888888886</v>
      </c>
      <c r="E1663" s="10">
        <v>43266.693657407406</v>
      </c>
      <c r="F1663" s="10">
        <v>43294</v>
      </c>
      <c r="G1663" t="s">
        <v>320</v>
      </c>
      <c r="H1663" t="s">
        <v>321</v>
      </c>
      <c r="I1663" t="s">
        <v>58</v>
      </c>
      <c r="J1663" s="11">
        <v>1</v>
      </c>
      <c r="K1663" s="12">
        <v>364</v>
      </c>
      <c r="L1663" s="12">
        <v>22.6</v>
      </c>
      <c r="M1663" s="13">
        <v>5</v>
      </c>
      <c r="N1663" s="13">
        <f t="shared" si="200"/>
        <v>7.3081249999959255</v>
      </c>
      <c r="O1663" s="13">
        <f t="shared" si="201"/>
        <v>0</v>
      </c>
      <c r="P1663" t="str">
        <f t="shared" si="202"/>
        <v>On Time</v>
      </c>
      <c r="Q1663" s="13">
        <f t="shared" si="203"/>
        <v>0.34111111104721203</v>
      </c>
      <c r="R1663" s="13">
        <f t="shared" si="204"/>
        <v>0.28914351851562969</v>
      </c>
      <c r="S1663" s="13">
        <f t="shared" si="205"/>
        <v>7.0047685185199953</v>
      </c>
      <c r="T1663" t="str">
        <f t="shared" si="206"/>
        <v>On Time/Early</v>
      </c>
      <c r="U1663" t="str">
        <f t="shared" si="207"/>
        <v>Normal</v>
      </c>
      <c r="V1663" t="s">
        <v>102</v>
      </c>
    </row>
    <row r="1664" spans="1:22">
      <c r="A1664" t="s">
        <v>2384</v>
      </c>
      <c r="B1664" s="10">
        <v>43259.645810185182</v>
      </c>
      <c r="C1664" s="10">
        <v>43259.716493055559</v>
      </c>
      <c r="D1664" s="10">
        <v>43263.59375</v>
      </c>
      <c r="E1664" s="10">
        <v>43270.665821759256</v>
      </c>
      <c r="F1664" s="10">
        <v>43293</v>
      </c>
      <c r="G1664" t="s">
        <v>320</v>
      </c>
      <c r="H1664" t="s">
        <v>321</v>
      </c>
      <c r="I1664" t="s">
        <v>58</v>
      </c>
      <c r="J1664" s="11">
        <v>1</v>
      </c>
      <c r="K1664" s="12">
        <v>110.32</v>
      </c>
      <c r="L1664" s="12">
        <v>15.65</v>
      </c>
      <c r="M1664" s="13">
        <v>4</v>
      </c>
      <c r="N1664" s="13">
        <f t="shared" si="200"/>
        <v>11.020011574073578</v>
      </c>
      <c r="O1664" s="13">
        <f t="shared" si="201"/>
        <v>0</v>
      </c>
      <c r="P1664" t="str">
        <f t="shared" si="202"/>
        <v>On Time</v>
      </c>
      <c r="Q1664" s="13">
        <f t="shared" si="203"/>
        <v>1.6963888890459202</v>
      </c>
      <c r="R1664" s="13">
        <f t="shared" si="204"/>
        <v>3.8772569444408873</v>
      </c>
      <c r="S1664" s="13">
        <f t="shared" si="205"/>
        <v>7.0720717592557776</v>
      </c>
      <c r="T1664" t="str">
        <f t="shared" si="206"/>
        <v>On Time/Early</v>
      </c>
      <c r="U1664" t="str">
        <f t="shared" si="207"/>
        <v>Normal</v>
      </c>
      <c r="V1664" t="s">
        <v>102</v>
      </c>
    </row>
    <row r="1665" spans="1:22">
      <c r="A1665" t="s">
        <v>2385</v>
      </c>
      <c r="B1665" s="10">
        <v>43259.684942129628</v>
      </c>
      <c r="C1665" s="10">
        <v>43263.233865740738</v>
      </c>
      <c r="D1665" s="10">
        <v>43264.340277777781</v>
      </c>
      <c r="E1665" s="10">
        <v>43273.772222222222</v>
      </c>
      <c r="F1665" s="10">
        <v>43301</v>
      </c>
      <c r="G1665" t="s">
        <v>277</v>
      </c>
      <c r="H1665" t="s">
        <v>2386</v>
      </c>
      <c r="I1665" t="s">
        <v>2387</v>
      </c>
      <c r="J1665" s="11">
        <v>1</v>
      </c>
      <c r="K1665" s="12">
        <v>25</v>
      </c>
      <c r="L1665" s="12">
        <v>50.85</v>
      </c>
      <c r="M1665" s="13">
        <v>5</v>
      </c>
      <c r="N1665" s="13">
        <f t="shared" si="200"/>
        <v>14.087280092593573</v>
      </c>
      <c r="O1665" s="13">
        <f t="shared" si="201"/>
        <v>0</v>
      </c>
      <c r="P1665" t="str">
        <f t="shared" si="202"/>
        <v>On Time</v>
      </c>
      <c r="Q1665" s="13">
        <f t="shared" si="203"/>
        <v>85.174166666634846</v>
      </c>
      <c r="R1665" s="13">
        <f t="shared" si="204"/>
        <v>1.1064120370429009</v>
      </c>
      <c r="S1665" s="13">
        <f t="shared" si="205"/>
        <v>9.4319444444408873</v>
      </c>
      <c r="T1665" t="str">
        <f t="shared" si="206"/>
        <v>On Time/Early</v>
      </c>
      <c r="U1665" t="str">
        <f t="shared" si="207"/>
        <v>Normal</v>
      </c>
      <c r="V1665" t="s">
        <v>102</v>
      </c>
    </row>
    <row r="1666" spans="1:22">
      <c r="A1666" t="s">
        <v>2388</v>
      </c>
      <c r="B1666" s="10">
        <v>43259.858657407407</v>
      </c>
      <c r="C1666" s="10">
        <v>43259.874583333331</v>
      </c>
      <c r="D1666" s="10">
        <v>43263.526388888888</v>
      </c>
      <c r="E1666" s="10">
        <v>43271.497442129628</v>
      </c>
      <c r="F1666" s="10">
        <v>43294</v>
      </c>
      <c r="G1666" t="s">
        <v>20</v>
      </c>
      <c r="H1666" t="s">
        <v>2389</v>
      </c>
      <c r="I1666" t="s">
        <v>180</v>
      </c>
      <c r="J1666" s="11">
        <v>1</v>
      </c>
      <c r="K1666" s="12">
        <v>75</v>
      </c>
      <c r="L1666" s="12">
        <v>22.24</v>
      </c>
      <c r="M1666" s="13">
        <v>4</v>
      </c>
      <c r="N1666" s="13">
        <f t="shared" ref="N1666:N1729" si="208">IFERROR(E1666-B1666,"")</f>
        <v>11.638784722221317</v>
      </c>
      <c r="O1666" s="13">
        <f t="shared" ref="O1666:O1729" si="209">IFERROR(MAX(0,E1666-F1666),"")</f>
        <v>0</v>
      </c>
      <c r="P1666" t="str">
        <f t="shared" ref="P1666:P1729" si="210">IF(O1666&gt;0,"Delayed","On Time")</f>
        <v>On Time</v>
      </c>
      <c r="Q1666" s="13">
        <f t="shared" ref="Q1666:Q1729" si="211">IFERROR((C1666-B1666)*24,"")</f>
        <v>0.38222222216427326</v>
      </c>
      <c r="R1666" s="13">
        <f t="shared" ref="R1666:R1729" si="212">IFERROR(D1666-C1666,"")</f>
        <v>3.6518055555570754</v>
      </c>
      <c r="S1666" s="13">
        <f t="shared" ref="S1666:S1729" si="213">IFERROR(E1666-D1666,"")</f>
        <v>7.97105324074073</v>
      </c>
      <c r="T1666" t="str">
        <f t="shared" ref="T1666:T1729" si="214">IF(O1666=0,"On Time/Early",IF(O1666&lt;=3,"1-3 Days Late",IF(O1666&lt;=7,"4-7 Days Late","8+ Days Late")))</f>
        <v>On Time/Early</v>
      </c>
      <c r="U1666" t="str">
        <f t="shared" ref="U1666:U1729" si="215">IF(P1666="Delayed","Needs Review","Normal")</f>
        <v>Normal</v>
      </c>
      <c r="V1666" t="s">
        <v>102</v>
      </c>
    </row>
    <row r="1667" spans="1:22">
      <c r="A1667" t="s">
        <v>2390</v>
      </c>
      <c r="B1667" s="10">
        <v>43259.876956018517</v>
      </c>
      <c r="C1667" s="10">
        <v>43259.885682870372</v>
      </c>
      <c r="D1667" s="10">
        <v>43269.496527777781</v>
      </c>
      <c r="E1667" s="10">
        <v>43277.768657407411</v>
      </c>
      <c r="F1667" s="10">
        <v>43299</v>
      </c>
      <c r="G1667" t="s">
        <v>30</v>
      </c>
      <c r="H1667" t="s">
        <v>365</v>
      </c>
      <c r="I1667" t="s">
        <v>972</v>
      </c>
      <c r="J1667" s="11">
        <v>1</v>
      </c>
      <c r="K1667" s="12">
        <v>99.9</v>
      </c>
      <c r="L1667" s="12">
        <v>23.28</v>
      </c>
      <c r="M1667" s="13">
        <v>3</v>
      </c>
      <c r="N1667" s="13">
        <f t="shared" si="208"/>
        <v>17.891701388893125</v>
      </c>
      <c r="O1667" s="13">
        <f t="shared" si="209"/>
        <v>0</v>
      </c>
      <c r="P1667" t="str">
        <f t="shared" si="210"/>
        <v>On Time</v>
      </c>
      <c r="Q1667" s="13">
        <f t="shared" si="211"/>
        <v>0.20944444451015443</v>
      </c>
      <c r="R1667" s="13">
        <f t="shared" si="212"/>
        <v>9.6108449074090458</v>
      </c>
      <c r="S1667" s="13">
        <f t="shared" si="213"/>
        <v>8.2721296296294895</v>
      </c>
      <c r="T1667" t="str">
        <f t="shared" si="214"/>
        <v>On Time/Early</v>
      </c>
      <c r="U1667" t="str">
        <f t="shared" si="215"/>
        <v>Normal</v>
      </c>
      <c r="V1667" t="s">
        <v>102</v>
      </c>
    </row>
    <row r="1668" spans="1:22">
      <c r="A1668" t="s">
        <v>2391</v>
      </c>
      <c r="B1668" s="10">
        <v>43260.4141087963</v>
      </c>
      <c r="C1668" s="10">
        <v>43260.428819444445</v>
      </c>
      <c r="D1668" s="10">
        <v>43262.586805555555</v>
      </c>
      <c r="E1668" s="10">
        <v>43269.782442129632</v>
      </c>
      <c r="F1668" s="10">
        <v>43285</v>
      </c>
      <c r="G1668" t="s">
        <v>57</v>
      </c>
      <c r="H1668" t="s">
        <v>254</v>
      </c>
      <c r="I1668" t="s">
        <v>58</v>
      </c>
      <c r="J1668" s="11">
        <v>1</v>
      </c>
      <c r="K1668" s="12">
        <v>149.65</v>
      </c>
      <c r="L1668" s="12">
        <v>51.55</v>
      </c>
      <c r="M1668" s="13">
        <v>5</v>
      </c>
      <c r="N1668" s="13">
        <f t="shared" si="208"/>
        <v>9.3683333333319752</v>
      </c>
      <c r="O1668" s="13">
        <f t="shared" si="209"/>
        <v>0</v>
      </c>
      <c r="P1668" t="str">
        <f t="shared" si="210"/>
        <v>On Time</v>
      </c>
      <c r="Q1668" s="13">
        <f t="shared" si="211"/>
        <v>0.35305555548984557</v>
      </c>
      <c r="R1668" s="13">
        <f t="shared" si="212"/>
        <v>2.1579861111094942</v>
      </c>
      <c r="S1668" s="13">
        <f t="shared" si="213"/>
        <v>7.1956365740770707</v>
      </c>
      <c r="T1668" t="str">
        <f t="shared" si="214"/>
        <v>On Time/Early</v>
      </c>
      <c r="U1668" t="str">
        <f t="shared" si="215"/>
        <v>Normal</v>
      </c>
      <c r="V1668" t="s">
        <v>102</v>
      </c>
    </row>
    <row r="1669" spans="1:22">
      <c r="A1669" t="s">
        <v>2392</v>
      </c>
      <c r="B1669" s="10">
        <v>43260.467395833337</v>
      </c>
      <c r="C1669" s="10">
        <v>43260.485208333332</v>
      </c>
      <c r="D1669" s="10">
        <v>43262.582638888889</v>
      </c>
      <c r="E1669" s="10">
        <v>43266.752476851849</v>
      </c>
      <c r="F1669" s="10">
        <v>43279</v>
      </c>
      <c r="G1669" t="s">
        <v>8</v>
      </c>
      <c r="H1669" t="s">
        <v>2393</v>
      </c>
      <c r="I1669" t="s">
        <v>180</v>
      </c>
      <c r="J1669" s="11">
        <v>2</v>
      </c>
      <c r="K1669" s="12">
        <v>90</v>
      </c>
      <c r="L1669" s="12">
        <v>26.5</v>
      </c>
      <c r="M1669" s="13">
        <v>1</v>
      </c>
      <c r="N1669" s="13">
        <f t="shared" si="208"/>
        <v>6.2850810185118462</v>
      </c>
      <c r="O1669" s="13">
        <f t="shared" si="209"/>
        <v>0</v>
      </c>
      <c r="P1669" t="str">
        <f t="shared" si="210"/>
        <v>On Time</v>
      </c>
      <c r="Q1669" s="13">
        <f t="shared" si="211"/>
        <v>0.42749999987427145</v>
      </c>
      <c r="R1669" s="13">
        <f t="shared" si="212"/>
        <v>2.0974305555573665</v>
      </c>
      <c r="S1669" s="13">
        <f t="shared" si="213"/>
        <v>4.1698379629597184</v>
      </c>
      <c r="T1669" t="str">
        <f t="shared" si="214"/>
        <v>On Time/Early</v>
      </c>
      <c r="U1669" t="str">
        <f t="shared" si="215"/>
        <v>Normal</v>
      </c>
      <c r="V1669" t="s">
        <v>102</v>
      </c>
    </row>
    <row r="1670" spans="1:22">
      <c r="A1670" t="s">
        <v>2394</v>
      </c>
      <c r="B1670" s="10">
        <v>43260.708541666667</v>
      </c>
      <c r="C1670" s="10">
        <v>43260.715428240743</v>
      </c>
      <c r="D1670" s="10">
        <v>43262.59097222222</v>
      </c>
      <c r="E1670" s="10">
        <v>43265.747523148151</v>
      </c>
      <c r="F1670" s="10">
        <v>43279</v>
      </c>
      <c r="G1670" t="s">
        <v>8</v>
      </c>
      <c r="H1670" t="s">
        <v>1225</v>
      </c>
      <c r="I1670" t="s">
        <v>180</v>
      </c>
      <c r="J1670" s="11">
        <v>1</v>
      </c>
      <c r="K1670" s="12">
        <v>43</v>
      </c>
      <c r="L1670" s="12">
        <v>12.79</v>
      </c>
      <c r="M1670" s="13">
        <v>5</v>
      </c>
      <c r="N1670" s="13">
        <f t="shared" si="208"/>
        <v>5.0389814814843703</v>
      </c>
      <c r="O1670" s="13">
        <f t="shared" si="209"/>
        <v>0</v>
      </c>
      <c r="P1670" t="str">
        <f t="shared" si="210"/>
        <v>On Time</v>
      </c>
      <c r="Q1670" s="13">
        <f t="shared" si="211"/>
        <v>0.1652777778217569</v>
      </c>
      <c r="R1670" s="13">
        <f t="shared" si="212"/>
        <v>1.8755439814776764</v>
      </c>
      <c r="S1670" s="13">
        <f t="shared" si="213"/>
        <v>3.1565509259307873</v>
      </c>
      <c r="T1670" t="str">
        <f t="shared" si="214"/>
        <v>On Time/Early</v>
      </c>
      <c r="U1670" t="str">
        <f t="shared" si="215"/>
        <v>Normal</v>
      </c>
      <c r="V1670" t="s">
        <v>102</v>
      </c>
    </row>
    <row r="1671" spans="1:22">
      <c r="A1671" t="s">
        <v>2395</v>
      </c>
      <c r="B1671" s="10">
        <v>43261.627013888887</v>
      </c>
      <c r="C1671" s="10">
        <v>43261.63554398148</v>
      </c>
      <c r="D1671" s="10">
        <v>43265.5</v>
      </c>
      <c r="E1671" s="10">
        <v>43269.943680555552</v>
      </c>
      <c r="F1671" s="10">
        <v>43293</v>
      </c>
      <c r="G1671" t="s">
        <v>8</v>
      </c>
      <c r="H1671" t="s">
        <v>483</v>
      </c>
      <c r="I1671" t="s">
        <v>141</v>
      </c>
      <c r="J1671" s="11">
        <v>1</v>
      </c>
      <c r="K1671" s="12">
        <v>12.84</v>
      </c>
      <c r="L1671" s="12">
        <v>13.71</v>
      </c>
      <c r="M1671" s="13">
        <v>5</v>
      </c>
      <c r="N1671" s="13">
        <f t="shared" si="208"/>
        <v>8.3166666666656965</v>
      </c>
      <c r="O1671" s="13">
        <f t="shared" si="209"/>
        <v>0</v>
      </c>
      <c r="P1671" t="str">
        <f t="shared" si="210"/>
        <v>On Time</v>
      </c>
      <c r="Q1671" s="13">
        <f t="shared" si="211"/>
        <v>0.20472222223179415</v>
      </c>
      <c r="R1671" s="13">
        <f t="shared" si="212"/>
        <v>3.8644560185202863</v>
      </c>
      <c r="S1671" s="13">
        <f t="shared" si="213"/>
        <v>4.4436805555524188</v>
      </c>
      <c r="T1671" t="str">
        <f t="shared" si="214"/>
        <v>On Time/Early</v>
      </c>
      <c r="U1671" t="str">
        <f t="shared" si="215"/>
        <v>Normal</v>
      </c>
      <c r="V1671" t="s">
        <v>102</v>
      </c>
    </row>
    <row r="1672" spans="1:22">
      <c r="A1672" t="s">
        <v>2396</v>
      </c>
      <c r="B1672" s="10">
        <v>43261.649907407409</v>
      </c>
      <c r="C1672" s="10">
        <v>43262.688796296294</v>
      </c>
      <c r="D1672" s="10">
        <v>43264.673611111109</v>
      </c>
      <c r="E1672" s="10">
        <v>43272.868680555555</v>
      </c>
      <c r="F1672" s="10">
        <v>43286</v>
      </c>
      <c r="G1672" t="s">
        <v>23</v>
      </c>
      <c r="H1672" t="s">
        <v>275</v>
      </c>
      <c r="I1672" t="s">
        <v>136</v>
      </c>
      <c r="J1672" s="11">
        <v>1</v>
      </c>
      <c r="K1672" s="12">
        <v>148</v>
      </c>
      <c r="L1672" s="12">
        <v>27.77</v>
      </c>
      <c r="M1672" s="13">
        <v>5</v>
      </c>
      <c r="N1672" s="13">
        <f t="shared" si="208"/>
        <v>11.218773148146283</v>
      </c>
      <c r="O1672" s="13">
        <f t="shared" si="209"/>
        <v>0</v>
      </c>
      <c r="P1672" t="str">
        <f t="shared" si="210"/>
        <v>On Time</v>
      </c>
      <c r="Q1672" s="13">
        <f t="shared" si="211"/>
        <v>24.93333333323244</v>
      </c>
      <c r="R1672" s="13">
        <f t="shared" si="212"/>
        <v>1.9848148148157634</v>
      </c>
      <c r="S1672" s="13">
        <f t="shared" si="213"/>
        <v>8.195069444445835</v>
      </c>
      <c r="T1672" t="str">
        <f t="shared" si="214"/>
        <v>On Time/Early</v>
      </c>
      <c r="U1672" t="str">
        <f t="shared" si="215"/>
        <v>Normal</v>
      </c>
      <c r="V1672" t="s">
        <v>102</v>
      </c>
    </row>
    <row r="1673" spans="1:22">
      <c r="A1673" t="s">
        <v>2397</v>
      </c>
      <c r="B1673" s="10">
        <v>43261.79828703704</v>
      </c>
      <c r="C1673" s="10">
        <v>43261.817997685182</v>
      </c>
      <c r="D1673" s="10">
        <v>43262.678472222222</v>
      </c>
      <c r="E1673" s="10">
        <v>43272.77679398148</v>
      </c>
      <c r="F1673" s="10">
        <v>43284</v>
      </c>
      <c r="G1673" t="s">
        <v>16</v>
      </c>
      <c r="H1673" t="s">
        <v>448</v>
      </c>
      <c r="I1673" t="s">
        <v>21</v>
      </c>
      <c r="J1673" s="11">
        <v>2</v>
      </c>
      <c r="K1673" s="12">
        <v>159.80000000000001</v>
      </c>
      <c r="L1673" s="12">
        <v>46.28</v>
      </c>
      <c r="M1673" s="13">
        <v>3</v>
      </c>
      <c r="N1673" s="13">
        <f t="shared" si="208"/>
        <v>10.978506944440596</v>
      </c>
      <c r="O1673" s="13">
        <f t="shared" si="209"/>
        <v>0</v>
      </c>
      <c r="P1673" t="str">
        <f t="shared" si="210"/>
        <v>On Time</v>
      </c>
      <c r="Q1673" s="13">
        <f t="shared" si="211"/>
        <v>0.4730555554269813</v>
      </c>
      <c r="R1673" s="13">
        <f t="shared" si="212"/>
        <v>0.86047453703940846</v>
      </c>
      <c r="S1673" s="13">
        <f t="shared" si="213"/>
        <v>10.098321759258397</v>
      </c>
      <c r="T1673" t="str">
        <f t="shared" si="214"/>
        <v>On Time/Early</v>
      </c>
      <c r="U1673" t="str">
        <f t="shared" si="215"/>
        <v>Normal</v>
      </c>
      <c r="V1673" t="s">
        <v>102</v>
      </c>
    </row>
    <row r="1674" spans="1:22">
      <c r="A1674" t="s">
        <v>2398</v>
      </c>
      <c r="B1674" s="10">
        <v>43262.373796296299</v>
      </c>
      <c r="C1674" s="10">
        <v>43262.38354166667</v>
      </c>
      <c r="D1674" s="10">
        <v>43262.413194444445</v>
      </c>
      <c r="E1674" s="10">
        <v>43273.820856481485</v>
      </c>
      <c r="F1674" s="10">
        <v>43292</v>
      </c>
      <c r="G1674" t="s">
        <v>474</v>
      </c>
      <c r="H1674" t="s">
        <v>2399</v>
      </c>
      <c r="I1674" t="s">
        <v>221</v>
      </c>
      <c r="J1674" s="11">
        <v>1</v>
      </c>
      <c r="K1674" s="12">
        <v>35</v>
      </c>
      <c r="L1674" s="12">
        <v>50.85</v>
      </c>
      <c r="M1674" s="13">
        <v>3</v>
      </c>
      <c r="N1674" s="13">
        <f t="shared" si="208"/>
        <v>11.447060185186274</v>
      </c>
      <c r="O1674" s="13">
        <f t="shared" si="209"/>
        <v>0</v>
      </c>
      <c r="P1674" t="str">
        <f t="shared" si="210"/>
        <v>On Time</v>
      </c>
      <c r="Q1674" s="13">
        <f t="shared" si="211"/>
        <v>0.23388888890622184</v>
      </c>
      <c r="R1674" s="13">
        <f t="shared" si="212"/>
        <v>2.9652777775481809E-2</v>
      </c>
      <c r="S1674" s="13">
        <f t="shared" si="213"/>
        <v>11.407662037039699</v>
      </c>
      <c r="T1674" t="str">
        <f t="shared" si="214"/>
        <v>On Time/Early</v>
      </c>
      <c r="U1674" t="str">
        <f t="shared" si="215"/>
        <v>Normal</v>
      </c>
      <c r="V1674" t="s">
        <v>102</v>
      </c>
    </row>
    <row r="1675" spans="1:22">
      <c r="A1675" t="s">
        <v>2400</v>
      </c>
      <c r="B1675" s="10">
        <v>43262.432511574072</v>
      </c>
      <c r="C1675" s="10">
        <v>43262.44122685185</v>
      </c>
      <c r="D1675" s="10">
        <v>43263.615972222222</v>
      </c>
      <c r="E1675" s="10">
        <v>43269.589201388888</v>
      </c>
      <c r="F1675" s="10">
        <v>43285</v>
      </c>
      <c r="G1675" t="s">
        <v>8</v>
      </c>
      <c r="H1675" t="s">
        <v>540</v>
      </c>
      <c r="I1675" t="s">
        <v>162</v>
      </c>
      <c r="J1675" s="11">
        <v>1</v>
      </c>
      <c r="K1675" s="12">
        <v>349.9</v>
      </c>
      <c r="L1675" s="12">
        <v>141.36000000000001</v>
      </c>
      <c r="M1675" s="13">
        <v>5</v>
      </c>
      <c r="N1675" s="13">
        <f t="shared" si="208"/>
        <v>7.1566898148157634</v>
      </c>
      <c r="O1675" s="13">
        <f t="shared" si="209"/>
        <v>0</v>
      </c>
      <c r="P1675" t="str">
        <f t="shared" si="210"/>
        <v>On Time</v>
      </c>
      <c r="Q1675" s="13">
        <f t="shared" si="211"/>
        <v>0.20916666666744277</v>
      </c>
      <c r="R1675" s="13">
        <f t="shared" si="212"/>
        <v>1.1747453703719657</v>
      </c>
      <c r="S1675" s="13">
        <f t="shared" si="213"/>
        <v>5.9732291666659876</v>
      </c>
      <c r="T1675" t="str">
        <f t="shared" si="214"/>
        <v>On Time/Early</v>
      </c>
      <c r="U1675" t="str">
        <f t="shared" si="215"/>
        <v>Normal</v>
      </c>
      <c r="V1675" t="s">
        <v>102</v>
      </c>
    </row>
    <row r="1676" spans="1:22">
      <c r="A1676" t="s">
        <v>2401</v>
      </c>
      <c r="B1676" s="10">
        <v>43262.434629629628</v>
      </c>
      <c r="C1676" s="10">
        <v>43262.457314814812</v>
      </c>
      <c r="D1676" s="10">
        <v>43265.543749999997</v>
      </c>
      <c r="E1676" s="10">
        <v>43270.021678240744</v>
      </c>
      <c r="F1676" s="10">
        <v>43297</v>
      </c>
      <c r="G1676" t="s">
        <v>16</v>
      </c>
      <c r="H1676" t="s">
        <v>138</v>
      </c>
      <c r="I1676" t="s">
        <v>143</v>
      </c>
      <c r="J1676" s="11">
        <v>1</v>
      </c>
      <c r="K1676" s="12">
        <v>119.9</v>
      </c>
      <c r="L1676" s="12">
        <v>8.7799999999999994</v>
      </c>
      <c r="M1676" s="13">
        <v>5</v>
      </c>
      <c r="N1676" s="13">
        <f t="shared" si="208"/>
        <v>7.5870486111161881</v>
      </c>
      <c r="O1676" s="13">
        <f t="shared" si="209"/>
        <v>0</v>
      </c>
      <c r="P1676" t="str">
        <f t="shared" si="210"/>
        <v>On Time</v>
      </c>
      <c r="Q1676" s="13">
        <f t="shared" si="211"/>
        <v>0.54444444441469386</v>
      </c>
      <c r="R1676" s="13">
        <f t="shared" si="212"/>
        <v>3.0864351851851097</v>
      </c>
      <c r="S1676" s="13">
        <f t="shared" si="213"/>
        <v>4.4779282407471328</v>
      </c>
      <c r="T1676" t="str">
        <f t="shared" si="214"/>
        <v>On Time/Early</v>
      </c>
      <c r="U1676" t="str">
        <f t="shared" si="215"/>
        <v>Normal</v>
      </c>
      <c r="V1676" t="s">
        <v>102</v>
      </c>
    </row>
    <row r="1677" spans="1:22">
      <c r="A1677" t="s">
        <v>2402</v>
      </c>
      <c r="B1677" s="10">
        <v>43262.451655092591</v>
      </c>
      <c r="C1677" s="10">
        <v>43264.108657407407</v>
      </c>
      <c r="D1677" s="10">
        <v>43266.457638888889</v>
      </c>
      <c r="E1677" s="10">
        <v>43269.811539351853</v>
      </c>
      <c r="F1677" s="10">
        <v>43271</v>
      </c>
      <c r="G1677" t="s">
        <v>8</v>
      </c>
      <c r="H1677" t="s">
        <v>907</v>
      </c>
      <c r="I1677" t="s">
        <v>31</v>
      </c>
      <c r="J1677" s="11">
        <v>1</v>
      </c>
      <c r="K1677" s="12">
        <v>103.9</v>
      </c>
      <c r="L1677" s="12">
        <v>11.35</v>
      </c>
      <c r="M1677" s="13">
        <v>5</v>
      </c>
      <c r="N1677" s="13">
        <f t="shared" si="208"/>
        <v>7.3598842592618894</v>
      </c>
      <c r="O1677" s="13">
        <f t="shared" si="209"/>
        <v>0</v>
      </c>
      <c r="P1677" t="str">
        <f t="shared" si="210"/>
        <v>On Time</v>
      </c>
      <c r="Q1677" s="13">
        <f t="shared" si="211"/>
        <v>39.768055555585306</v>
      </c>
      <c r="R1677" s="13">
        <f t="shared" si="212"/>
        <v>2.348981481482042</v>
      </c>
      <c r="S1677" s="13">
        <f t="shared" si="213"/>
        <v>3.353900462963793</v>
      </c>
      <c r="T1677" t="str">
        <f t="shared" si="214"/>
        <v>On Time/Early</v>
      </c>
      <c r="U1677" t="str">
        <f t="shared" si="215"/>
        <v>Normal</v>
      </c>
      <c r="V1677" t="s">
        <v>102</v>
      </c>
    </row>
    <row r="1678" spans="1:22">
      <c r="A1678" t="s">
        <v>2403</v>
      </c>
      <c r="B1678" s="10">
        <v>43262.540868055556</v>
      </c>
      <c r="C1678" s="10">
        <v>43262.849398148152</v>
      </c>
      <c r="D1678" s="10">
        <v>43263.607638888891</v>
      </c>
      <c r="E1678" s="10">
        <v>43272.484583333331</v>
      </c>
      <c r="F1678" s="10">
        <v>43298</v>
      </c>
      <c r="G1678" t="s">
        <v>747</v>
      </c>
      <c r="H1678" t="s">
        <v>2404</v>
      </c>
      <c r="I1678" t="s">
        <v>143</v>
      </c>
      <c r="J1678" s="11">
        <v>2</v>
      </c>
      <c r="K1678" s="12">
        <v>298.89999999999998</v>
      </c>
      <c r="L1678" s="12">
        <v>76.83</v>
      </c>
      <c r="M1678" s="13">
        <v>3</v>
      </c>
      <c r="N1678" s="13">
        <f t="shared" si="208"/>
        <v>9.9437152777754818</v>
      </c>
      <c r="O1678" s="13">
        <f t="shared" si="209"/>
        <v>0</v>
      </c>
      <c r="P1678" t="str">
        <f t="shared" si="210"/>
        <v>On Time</v>
      </c>
      <c r="Q1678" s="13">
        <f t="shared" si="211"/>
        <v>7.4047222223016433</v>
      </c>
      <c r="R1678" s="13">
        <f t="shared" si="212"/>
        <v>0.75824074073898373</v>
      </c>
      <c r="S1678" s="13">
        <f t="shared" si="213"/>
        <v>8.8769444444405963</v>
      </c>
      <c r="T1678" t="str">
        <f t="shared" si="214"/>
        <v>On Time/Early</v>
      </c>
      <c r="U1678" t="str">
        <f t="shared" si="215"/>
        <v>Normal</v>
      </c>
      <c r="V1678" t="s">
        <v>102</v>
      </c>
    </row>
    <row r="1679" spans="1:22">
      <c r="A1679" t="s">
        <v>2405</v>
      </c>
      <c r="B1679" s="10">
        <v>43262.877893518518</v>
      </c>
      <c r="C1679" s="10">
        <v>43262.903148148151</v>
      </c>
      <c r="D1679" s="10">
        <v>43263.759722222225</v>
      </c>
      <c r="E1679" s="10">
        <v>43284.669398148151</v>
      </c>
      <c r="F1679" s="10">
        <v>43300</v>
      </c>
      <c r="G1679" t="s">
        <v>192</v>
      </c>
      <c r="H1679" t="s">
        <v>2406</v>
      </c>
      <c r="I1679" t="s">
        <v>221</v>
      </c>
      <c r="J1679" s="11">
        <v>1</v>
      </c>
      <c r="K1679" s="12">
        <v>809</v>
      </c>
      <c r="L1679" s="12">
        <v>56.38</v>
      </c>
      <c r="M1679" s="13">
        <v>5</v>
      </c>
      <c r="N1679" s="13">
        <f t="shared" si="208"/>
        <v>21.791504629632982</v>
      </c>
      <c r="O1679" s="13">
        <f t="shared" si="209"/>
        <v>0</v>
      </c>
      <c r="P1679" t="str">
        <f t="shared" si="210"/>
        <v>On Time</v>
      </c>
      <c r="Q1679" s="13">
        <f t="shared" si="211"/>
        <v>0.60611111117759719</v>
      </c>
      <c r="R1679" s="13">
        <f t="shared" si="212"/>
        <v>0.85657407407416031</v>
      </c>
      <c r="S1679" s="13">
        <f t="shared" si="213"/>
        <v>20.909675925926422</v>
      </c>
      <c r="T1679" t="str">
        <f t="shared" si="214"/>
        <v>On Time/Early</v>
      </c>
      <c r="U1679" t="str">
        <f t="shared" si="215"/>
        <v>Normal</v>
      </c>
      <c r="V1679" t="s">
        <v>102</v>
      </c>
    </row>
    <row r="1680" spans="1:22">
      <c r="A1680" t="s">
        <v>2407</v>
      </c>
      <c r="B1680" s="10">
        <v>43262.893194444441</v>
      </c>
      <c r="C1680" s="10">
        <v>43263.90483796296</v>
      </c>
      <c r="D1680" s="10">
        <v>43265.586805555555</v>
      </c>
      <c r="E1680" s="10">
        <v>43269.648206018515</v>
      </c>
      <c r="F1680" s="10">
        <v>43279</v>
      </c>
      <c r="G1680" t="s">
        <v>8</v>
      </c>
      <c r="H1680" t="s">
        <v>408</v>
      </c>
      <c r="I1680" t="s">
        <v>101</v>
      </c>
      <c r="J1680" s="11">
        <v>1</v>
      </c>
      <c r="K1680" s="12">
        <v>48</v>
      </c>
      <c r="L1680" s="12">
        <v>13.92</v>
      </c>
      <c r="M1680" s="13">
        <v>4</v>
      </c>
      <c r="N1680" s="13">
        <f t="shared" si="208"/>
        <v>6.7550115740741603</v>
      </c>
      <c r="O1680" s="13">
        <f t="shared" si="209"/>
        <v>0</v>
      </c>
      <c r="P1680" t="str">
        <f t="shared" si="210"/>
        <v>On Time</v>
      </c>
      <c r="Q1680" s="13">
        <f t="shared" si="211"/>
        <v>24.279444444458932</v>
      </c>
      <c r="R1680" s="13">
        <f t="shared" si="212"/>
        <v>1.6819675925944466</v>
      </c>
      <c r="S1680" s="13">
        <f t="shared" si="213"/>
        <v>4.0614004629605915</v>
      </c>
      <c r="T1680" t="str">
        <f t="shared" si="214"/>
        <v>On Time/Early</v>
      </c>
      <c r="U1680" t="str">
        <f t="shared" si="215"/>
        <v>Normal</v>
      </c>
      <c r="V1680" t="s">
        <v>102</v>
      </c>
    </row>
    <row r="1681" spans="1:22">
      <c r="A1681" t="s">
        <v>2408</v>
      </c>
      <c r="B1681" s="10">
        <v>43262.912222222221</v>
      </c>
      <c r="C1681" s="10">
        <v>43262.930104166669</v>
      </c>
      <c r="D1681" s="10">
        <v>43263.59375</v>
      </c>
      <c r="E1681" s="10">
        <v>43272.658668981479</v>
      </c>
      <c r="F1681" s="10">
        <v>43292</v>
      </c>
      <c r="G1681" t="s">
        <v>20</v>
      </c>
      <c r="H1681" t="s">
        <v>2409</v>
      </c>
      <c r="I1681" t="s">
        <v>180</v>
      </c>
      <c r="J1681" s="11">
        <v>1</v>
      </c>
      <c r="K1681" s="12">
        <v>71.900000000000006</v>
      </c>
      <c r="L1681" s="12">
        <v>23.3</v>
      </c>
      <c r="M1681" s="13">
        <v>4</v>
      </c>
      <c r="N1681" s="13">
        <f t="shared" si="208"/>
        <v>9.7464467592581059</v>
      </c>
      <c r="O1681" s="13">
        <f t="shared" si="209"/>
        <v>0</v>
      </c>
      <c r="P1681" t="str">
        <f t="shared" si="210"/>
        <v>On Time</v>
      </c>
      <c r="Q1681" s="13">
        <f t="shared" si="211"/>
        <v>0.42916666675591841</v>
      </c>
      <c r="R1681" s="13">
        <f t="shared" si="212"/>
        <v>0.66364583333051996</v>
      </c>
      <c r="S1681" s="13">
        <f t="shared" si="213"/>
        <v>9.0649189814794227</v>
      </c>
      <c r="T1681" t="str">
        <f t="shared" si="214"/>
        <v>On Time/Early</v>
      </c>
      <c r="U1681" t="str">
        <f t="shared" si="215"/>
        <v>Normal</v>
      </c>
      <c r="V1681" t="s">
        <v>102</v>
      </c>
    </row>
    <row r="1682" spans="1:22">
      <c r="A1682" t="s">
        <v>2410</v>
      </c>
      <c r="B1682" s="10">
        <v>43263.095381944448</v>
      </c>
      <c r="C1682" s="10">
        <v>43263.108506944445</v>
      </c>
      <c r="D1682" s="10">
        <v>43263.527777777781</v>
      </c>
      <c r="E1682" s="10">
        <v>43270.00613425926</v>
      </c>
      <c r="F1682" s="10">
        <v>43286</v>
      </c>
      <c r="G1682" t="s">
        <v>20</v>
      </c>
      <c r="H1682" t="s">
        <v>518</v>
      </c>
      <c r="I1682" t="s">
        <v>141</v>
      </c>
      <c r="J1682" s="11">
        <v>1</v>
      </c>
      <c r="K1682" s="12">
        <v>15.9</v>
      </c>
      <c r="L1682" s="12">
        <v>18.23</v>
      </c>
      <c r="M1682" s="13">
        <v>3</v>
      </c>
      <c r="N1682" s="13">
        <f t="shared" si="208"/>
        <v>6.9107523148122709</v>
      </c>
      <c r="O1682" s="13">
        <f t="shared" si="209"/>
        <v>0</v>
      </c>
      <c r="P1682" t="str">
        <f t="shared" si="210"/>
        <v>On Time</v>
      </c>
      <c r="Q1682" s="13">
        <f t="shared" si="211"/>
        <v>0.31499999994412065</v>
      </c>
      <c r="R1682" s="13">
        <f t="shared" si="212"/>
        <v>0.41927083333575865</v>
      </c>
      <c r="S1682" s="13">
        <f t="shared" si="213"/>
        <v>6.4783564814788406</v>
      </c>
      <c r="T1682" t="str">
        <f t="shared" si="214"/>
        <v>On Time/Early</v>
      </c>
      <c r="U1682" t="str">
        <f t="shared" si="215"/>
        <v>Normal</v>
      </c>
      <c r="V1682" t="s">
        <v>102</v>
      </c>
    </row>
    <row r="1683" spans="1:22">
      <c r="A1683" t="s">
        <v>2411</v>
      </c>
      <c r="B1683" s="10">
        <v>43263.303923611114</v>
      </c>
      <c r="C1683" s="10">
        <v>43263.317499999997</v>
      </c>
      <c r="D1683" s="10">
        <v>43263.55972222222</v>
      </c>
      <c r="E1683" s="10">
        <v>43265.817037037035</v>
      </c>
      <c r="F1683" s="10">
        <v>43307</v>
      </c>
      <c r="G1683" t="s">
        <v>8</v>
      </c>
      <c r="H1683" t="s">
        <v>182</v>
      </c>
      <c r="I1683" t="s">
        <v>34</v>
      </c>
      <c r="J1683" s="11">
        <v>1</v>
      </c>
      <c r="K1683" s="12">
        <v>329</v>
      </c>
      <c r="L1683" s="12">
        <v>19.989999999999998</v>
      </c>
      <c r="M1683" s="13">
        <v>5</v>
      </c>
      <c r="N1683" s="13">
        <f t="shared" si="208"/>
        <v>2.513113425920892</v>
      </c>
      <c r="O1683" s="13">
        <f t="shared" si="209"/>
        <v>0</v>
      </c>
      <c r="P1683" t="str">
        <f t="shared" si="210"/>
        <v>On Time</v>
      </c>
      <c r="Q1683" s="13">
        <f t="shared" si="211"/>
        <v>0.32583333319053054</v>
      </c>
      <c r="R1683" s="13">
        <f t="shared" si="212"/>
        <v>0.242222222223063</v>
      </c>
      <c r="S1683" s="13">
        <f t="shared" si="213"/>
        <v>2.2573148148148903</v>
      </c>
      <c r="T1683" t="str">
        <f t="shared" si="214"/>
        <v>On Time/Early</v>
      </c>
      <c r="U1683" t="str">
        <f t="shared" si="215"/>
        <v>Normal</v>
      </c>
      <c r="V1683" t="s">
        <v>102</v>
      </c>
    </row>
    <row r="1684" spans="1:22">
      <c r="A1684" t="s">
        <v>2412</v>
      </c>
      <c r="B1684" s="10">
        <v>43263.44226851852</v>
      </c>
      <c r="C1684" s="10">
        <v>43263.45884259259</v>
      </c>
      <c r="D1684" s="10">
        <v>43266.581250000003</v>
      </c>
      <c r="E1684" s="10">
        <v>43270.56177083333</v>
      </c>
      <c r="F1684" s="10">
        <v>43284</v>
      </c>
      <c r="G1684" t="s">
        <v>8</v>
      </c>
      <c r="H1684" t="s">
        <v>1184</v>
      </c>
      <c r="I1684" t="s">
        <v>368</v>
      </c>
      <c r="J1684" s="11">
        <v>1</v>
      </c>
      <c r="K1684" s="12">
        <v>79</v>
      </c>
      <c r="L1684" s="12">
        <v>21.19</v>
      </c>
      <c r="M1684" s="13">
        <v>5</v>
      </c>
      <c r="N1684" s="13">
        <f t="shared" si="208"/>
        <v>7.1195023148102337</v>
      </c>
      <c r="O1684" s="13">
        <f t="shared" si="209"/>
        <v>0</v>
      </c>
      <c r="P1684" t="str">
        <f t="shared" si="210"/>
        <v>On Time</v>
      </c>
      <c r="Q1684" s="13">
        <f t="shared" si="211"/>
        <v>0.39777777768904343</v>
      </c>
      <c r="R1684" s="13">
        <f t="shared" si="212"/>
        <v>3.1224074074125383</v>
      </c>
      <c r="S1684" s="13">
        <f t="shared" si="213"/>
        <v>3.9805208333273185</v>
      </c>
      <c r="T1684" t="str">
        <f t="shared" si="214"/>
        <v>On Time/Early</v>
      </c>
      <c r="U1684" t="str">
        <f t="shared" si="215"/>
        <v>Normal</v>
      </c>
      <c r="V1684" t="s">
        <v>102</v>
      </c>
    </row>
    <row r="1685" spans="1:22">
      <c r="A1685" t="s">
        <v>2413</v>
      </c>
      <c r="B1685" s="10">
        <v>43263.494745370372</v>
      </c>
      <c r="C1685" s="10">
        <v>43263.530370370368</v>
      </c>
      <c r="D1685" s="10">
        <v>43263.635416666664</v>
      </c>
      <c r="E1685" s="10">
        <v>43265.901759259257</v>
      </c>
      <c r="F1685" s="10">
        <v>43272</v>
      </c>
      <c r="G1685" t="s">
        <v>8</v>
      </c>
      <c r="H1685" t="s">
        <v>140</v>
      </c>
      <c r="I1685" t="s">
        <v>180</v>
      </c>
      <c r="J1685" s="11">
        <v>1</v>
      </c>
      <c r="K1685" s="12">
        <v>59.9</v>
      </c>
      <c r="L1685" s="12">
        <v>9.17</v>
      </c>
      <c r="M1685" s="13">
        <v>5</v>
      </c>
      <c r="N1685" s="13">
        <f t="shared" si="208"/>
        <v>2.4070138888855581</v>
      </c>
      <c r="O1685" s="13">
        <f t="shared" si="209"/>
        <v>0</v>
      </c>
      <c r="P1685" t="str">
        <f t="shared" si="210"/>
        <v>On Time</v>
      </c>
      <c r="Q1685" s="13">
        <f t="shared" si="211"/>
        <v>0.85499999992316589</v>
      </c>
      <c r="R1685" s="13">
        <f t="shared" si="212"/>
        <v>0.10504629629576812</v>
      </c>
      <c r="S1685" s="13">
        <f t="shared" si="213"/>
        <v>2.2663425925929914</v>
      </c>
      <c r="T1685" t="str">
        <f t="shared" si="214"/>
        <v>On Time/Early</v>
      </c>
      <c r="U1685" t="str">
        <f t="shared" si="215"/>
        <v>Normal</v>
      </c>
      <c r="V1685" t="s">
        <v>102</v>
      </c>
    </row>
    <row r="1686" spans="1:22">
      <c r="A1686" t="s">
        <v>2414</v>
      </c>
      <c r="B1686" s="10">
        <v>43263.495219907411</v>
      </c>
      <c r="C1686" s="10">
        <v>43263.530370370368</v>
      </c>
      <c r="D1686" s="10">
        <v>43264.381249999999</v>
      </c>
      <c r="E1686" s="10">
        <v>43265.575694444444</v>
      </c>
      <c r="F1686" s="10">
        <v>43279</v>
      </c>
      <c r="G1686" t="s">
        <v>8</v>
      </c>
      <c r="H1686" t="s">
        <v>140</v>
      </c>
      <c r="I1686" t="s">
        <v>154</v>
      </c>
      <c r="J1686" s="11">
        <v>1</v>
      </c>
      <c r="K1686" s="12">
        <v>103</v>
      </c>
      <c r="L1686" s="12">
        <v>8.8800000000000008</v>
      </c>
      <c r="M1686" s="13">
        <v>5</v>
      </c>
      <c r="N1686" s="13">
        <f t="shared" si="208"/>
        <v>2.0804745370332967</v>
      </c>
      <c r="O1686" s="13">
        <f t="shared" si="209"/>
        <v>0</v>
      </c>
      <c r="P1686" t="str">
        <f t="shared" si="210"/>
        <v>On Time</v>
      </c>
      <c r="Q1686" s="13">
        <f t="shared" si="211"/>
        <v>0.84361111099133268</v>
      </c>
      <c r="R1686" s="13">
        <f t="shared" si="212"/>
        <v>0.85087962963007158</v>
      </c>
      <c r="S1686" s="13">
        <f t="shared" si="213"/>
        <v>1.1944444444452529</v>
      </c>
      <c r="T1686" t="str">
        <f t="shared" si="214"/>
        <v>On Time/Early</v>
      </c>
      <c r="U1686" t="str">
        <f t="shared" si="215"/>
        <v>Normal</v>
      </c>
      <c r="V1686" t="s">
        <v>102</v>
      </c>
    </row>
    <row r="1687" spans="1:22">
      <c r="A1687" t="s">
        <v>2415</v>
      </c>
      <c r="B1687" s="10">
        <v>43263.497685185182</v>
      </c>
      <c r="C1687" s="10">
        <v>43263.530347222222</v>
      </c>
      <c r="D1687" s="10">
        <v>43284.579861111109</v>
      </c>
      <c r="E1687" s="10">
        <v>43293.790555555555</v>
      </c>
      <c r="F1687" s="10">
        <v>43286</v>
      </c>
      <c r="G1687" t="s">
        <v>43</v>
      </c>
      <c r="H1687" t="s">
        <v>318</v>
      </c>
      <c r="I1687" t="s">
        <v>118</v>
      </c>
      <c r="J1687" s="11">
        <v>6</v>
      </c>
      <c r="K1687" s="12">
        <v>653.4</v>
      </c>
      <c r="L1687" s="12">
        <v>97.68</v>
      </c>
      <c r="M1687" s="13">
        <v>1</v>
      </c>
      <c r="N1687" s="13">
        <f t="shared" si="208"/>
        <v>30.292870370372839</v>
      </c>
      <c r="O1687" s="13">
        <f t="shared" si="209"/>
        <v>7.7905555555553292</v>
      </c>
      <c r="P1687" t="str">
        <f t="shared" si="210"/>
        <v>Delayed</v>
      </c>
      <c r="Q1687" s="13">
        <f t="shared" si="211"/>
        <v>0.78388888895278797</v>
      </c>
      <c r="R1687" s="13">
        <f t="shared" si="212"/>
        <v>21.049513888887304</v>
      </c>
      <c r="S1687" s="13">
        <f t="shared" si="213"/>
        <v>9.210694444445835</v>
      </c>
      <c r="T1687" t="str">
        <f t="shared" si="214"/>
        <v>8+ Days Late</v>
      </c>
      <c r="U1687" t="str">
        <f t="shared" si="215"/>
        <v>Needs Review</v>
      </c>
      <c r="V1687" t="s">
        <v>102</v>
      </c>
    </row>
    <row r="1688" spans="1:22">
      <c r="A1688" t="s">
        <v>2416</v>
      </c>
      <c r="B1688" s="10">
        <v>43263.514780092592</v>
      </c>
      <c r="C1688" s="10">
        <v>43263.530833333331</v>
      </c>
      <c r="D1688" s="10">
        <v>43263.576388888891</v>
      </c>
      <c r="E1688" s="10">
        <v>43271.689525462964</v>
      </c>
      <c r="F1688" s="10">
        <v>43294</v>
      </c>
      <c r="G1688" t="s">
        <v>33</v>
      </c>
      <c r="H1688" t="s">
        <v>2417</v>
      </c>
      <c r="I1688" t="s">
        <v>118</v>
      </c>
      <c r="J1688" s="11">
        <v>2</v>
      </c>
      <c r="K1688" s="12">
        <v>57.98</v>
      </c>
      <c r="L1688" s="12">
        <v>36.6</v>
      </c>
      <c r="M1688" s="13">
        <v>2</v>
      </c>
      <c r="N1688" s="13">
        <f t="shared" si="208"/>
        <v>8.1747453703719657</v>
      </c>
      <c r="O1688" s="13">
        <f t="shared" si="209"/>
        <v>0</v>
      </c>
      <c r="P1688" t="str">
        <f t="shared" si="210"/>
        <v>On Time</v>
      </c>
      <c r="Q1688" s="13">
        <f t="shared" si="211"/>
        <v>0.38527777773560956</v>
      </c>
      <c r="R1688" s="13">
        <f t="shared" si="212"/>
        <v>4.5555555559985805E-2</v>
      </c>
      <c r="S1688" s="13">
        <f t="shared" si="213"/>
        <v>8.1131365740729962</v>
      </c>
      <c r="T1688" t="str">
        <f t="shared" si="214"/>
        <v>On Time/Early</v>
      </c>
      <c r="U1688" t="str">
        <f t="shared" si="215"/>
        <v>Normal</v>
      </c>
      <c r="V1688" t="s">
        <v>102</v>
      </c>
    </row>
    <row r="1689" spans="1:22">
      <c r="A1689" t="s">
        <v>2418</v>
      </c>
      <c r="B1689" s="10">
        <v>43263.622395833336</v>
      </c>
      <c r="C1689" s="10">
        <v>43263.643865740742</v>
      </c>
      <c r="D1689" s="10">
        <v>43264.429166666669</v>
      </c>
      <c r="E1689" s="10">
        <v>43266.007881944446</v>
      </c>
      <c r="F1689" s="10">
        <v>43279</v>
      </c>
      <c r="G1689" t="s">
        <v>8</v>
      </c>
      <c r="H1689" t="s">
        <v>140</v>
      </c>
      <c r="I1689" t="s">
        <v>31</v>
      </c>
      <c r="J1689" s="11">
        <v>1</v>
      </c>
      <c r="K1689" s="12">
        <v>60.9</v>
      </c>
      <c r="L1689" s="12">
        <v>11.45</v>
      </c>
      <c r="M1689" s="13">
        <v>3</v>
      </c>
      <c r="N1689" s="13">
        <f t="shared" si="208"/>
        <v>2.3854861111103673</v>
      </c>
      <c r="O1689" s="13">
        <f t="shared" si="209"/>
        <v>0</v>
      </c>
      <c r="P1689" t="str">
        <f t="shared" si="210"/>
        <v>On Time</v>
      </c>
      <c r="Q1689" s="13">
        <f t="shared" si="211"/>
        <v>0.51527777774026617</v>
      </c>
      <c r="R1689" s="13">
        <f t="shared" si="212"/>
        <v>0.78530092592700385</v>
      </c>
      <c r="S1689" s="13">
        <f t="shared" si="213"/>
        <v>1.5787152777775191</v>
      </c>
      <c r="T1689" t="str">
        <f t="shared" si="214"/>
        <v>On Time/Early</v>
      </c>
      <c r="U1689" t="str">
        <f t="shared" si="215"/>
        <v>Normal</v>
      </c>
      <c r="V1689" t="s">
        <v>102</v>
      </c>
    </row>
    <row r="1690" spans="1:22">
      <c r="A1690" t="s">
        <v>2419</v>
      </c>
      <c r="B1690" s="10">
        <v>43263.695648148147</v>
      </c>
      <c r="C1690" s="10">
        <v>43263.717650462961</v>
      </c>
      <c r="D1690" s="10">
        <v>43265.329861111109</v>
      </c>
      <c r="E1690" s="10">
        <v>43269.887986111113</v>
      </c>
      <c r="F1690" s="10">
        <v>43280</v>
      </c>
      <c r="G1690" t="s">
        <v>20</v>
      </c>
      <c r="H1690" t="s">
        <v>104</v>
      </c>
      <c r="I1690" t="s">
        <v>141</v>
      </c>
      <c r="J1690" s="11">
        <v>1</v>
      </c>
      <c r="K1690" s="12">
        <v>159.9</v>
      </c>
      <c r="L1690" s="12">
        <v>16.190000000000001</v>
      </c>
      <c r="M1690" s="13">
        <v>5</v>
      </c>
      <c r="N1690" s="13">
        <f t="shared" si="208"/>
        <v>6.1923379629661213</v>
      </c>
      <c r="O1690" s="13">
        <f t="shared" si="209"/>
        <v>0</v>
      </c>
      <c r="P1690" t="str">
        <f t="shared" si="210"/>
        <v>On Time</v>
      </c>
      <c r="Q1690" s="13">
        <f t="shared" si="211"/>
        <v>0.5280555555364117</v>
      </c>
      <c r="R1690" s="13">
        <f t="shared" si="212"/>
        <v>1.6122106481489027</v>
      </c>
      <c r="S1690" s="13">
        <f t="shared" si="213"/>
        <v>4.5581250000032014</v>
      </c>
      <c r="T1690" t="str">
        <f t="shared" si="214"/>
        <v>On Time/Early</v>
      </c>
      <c r="U1690" t="str">
        <f t="shared" si="215"/>
        <v>Normal</v>
      </c>
      <c r="V1690" t="s">
        <v>102</v>
      </c>
    </row>
    <row r="1691" spans="1:22">
      <c r="A1691" t="s">
        <v>2420</v>
      </c>
      <c r="B1691" s="10">
        <v>43263.795451388891</v>
      </c>
      <c r="C1691" s="10">
        <v>43263.811516203707</v>
      </c>
      <c r="D1691" s="10">
        <v>43265.555555555555</v>
      </c>
      <c r="E1691" s="10">
        <v>43276.730636574073</v>
      </c>
      <c r="F1691" s="10">
        <v>43294</v>
      </c>
      <c r="G1691" t="s">
        <v>23</v>
      </c>
      <c r="H1691" t="s">
        <v>275</v>
      </c>
      <c r="I1691" t="s">
        <v>141</v>
      </c>
      <c r="J1691" s="11">
        <v>1</v>
      </c>
      <c r="K1691" s="12">
        <v>159</v>
      </c>
      <c r="L1691" s="12">
        <v>28.06</v>
      </c>
      <c r="M1691" s="13">
        <v>4</v>
      </c>
      <c r="N1691" s="13">
        <f t="shared" si="208"/>
        <v>12.93518518518249</v>
      </c>
      <c r="O1691" s="13">
        <f t="shared" si="209"/>
        <v>0</v>
      </c>
      <c r="P1691" t="str">
        <f t="shared" si="210"/>
        <v>On Time</v>
      </c>
      <c r="Q1691" s="13">
        <f t="shared" si="211"/>
        <v>0.38555555557832122</v>
      </c>
      <c r="R1691" s="13">
        <f t="shared" si="212"/>
        <v>1.7440393518481869</v>
      </c>
      <c r="S1691" s="13">
        <f t="shared" si="213"/>
        <v>11.17508101851854</v>
      </c>
      <c r="T1691" t="str">
        <f t="shared" si="214"/>
        <v>On Time/Early</v>
      </c>
      <c r="U1691" t="str">
        <f t="shared" si="215"/>
        <v>Normal</v>
      </c>
      <c r="V1691" t="s">
        <v>102</v>
      </c>
    </row>
    <row r="1692" spans="1:22">
      <c r="A1692" t="s">
        <v>2421</v>
      </c>
      <c r="B1692" s="10">
        <v>43263.800300925926</v>
      </c>
      <c r="C1692" s="10">
        <v>43263.823680555557</v>
      </c>
      <c r="D1692" s="10">
        <v>43264.585416666669</v>
      </c>
      <c r="E1692" s="10">
        <v>43265.783761574072</v>
      </c>
      <c r="F1692" s="10">
        <v>43279</v>
      </c>
      <c r="G1692" t="s">
        <v>16</v>
      </c>
      <c r="H1692" t="s">
        <v>852</v>
      </c>
      <c r="I1692" t="s">
        <v>58</v>
      </c>
      <c r="J1692" s="11">
        <v>1</v>
      </c>
      <c r="K1692" s="12">
        <v>99.9</v>
      </c>
      <c r="L1692" s="12">
        <v>8.1199999999999992</v>
      </c>
      <c r="M1692" s="13">
        <v>5</v>
      </c>
      <c r="N1692" s="13">
        <f t="shared" si="208"/>
        <v>1.9834606481454102</v>
      </c>
      <c r="O1692" s="13">
        <f t="shared" si="209"/>
        <v>0</v>
      </c>
      <c r="P1692" t="str">
        <f t="shared" si="210"/>
        <v>On Time</v>
      </c>
      <c r="Q1692" s="13">
        <f t="shared" si="211"/>
        <v>0.56111111113568768</v>
      </c>
      <c r="R1692" s="13">
        <f t="shared" si="212"/>
        <v>0.7617361111115315</v>
      </c>
      <c r="S1692" s="13">
        <f t="shared" si="213"/>
        <v>1.1983449074032251</v>
      </c>
      <c r="T1692" t="str">
        <f t="shared" si="214"/>
        <v>On Time/Early</v>
      </c>
      <c r="U1692" t="str">
        <f t="shared" si="215"/>
        <v>Normal</v>
      </c>
      <c r="V1692" t="s">
        <v>102</v>
      </c>
    </row>
    <row r="1693" spans="1:22">
      <c r="A1693" t="s">
        <v>2422</v>
      </c>
      <c r="B1693" s="10">
        <v>43263.848726851851</v>
      </c>
      <c r="C1693" s="10">
        <v>43263.864641203705</v>
      </c>
      <c r="D1693" s="10">
        <v>43265.599305555559</v>
      </c>
      <c r="E1693" s="10">
        <v>43272.94358796296</v>
      </c>
      <c r="F1693" s="10">
        <v>43292</v>
      </c>
      <c r="G1693" t="s">
        <v>8</v>
      </c>
      <c r="H1693" t="s">
        <v>140</v>
      </c>
      <c r="I1693" t="s">
        <v>101</v>
      </c>
      <c r="J1693" s="11">
        <v>2</v>
      </c>
      <c r="K1693" s="12">
        <v>239.8</v>
      </c>
      <c r="L1693" s="12">
        <v>47.2</v>
      </c>
      <c r="M1693" s="13">
        <v>5</v>
      </c>
      <c r="N1693" s="13">
        <f t="shared" si="208"/>
        <v>9.0948611111089122</v>
      </c>
      <c r="O1693" s="13">
        <f t="shared" si="209"/>
        <v>0</v>
      </c>
      <c r="P1693" t="str">
        <f t="shared" si="210"/>
        <v>On Time</v>
      </c>
      <c r="Q1693" s="13">
        <f t="shared" si="211"/>
        <v>0.38194444449618459</v>
      </c>
      <c r="R1693" s="13">
        <f t="shared" si="212"/>
        <v>1.7346643518540077</v>
      </c>
      <c r="S1693" s="13">
        <f t="shared" si="213"/>
        <v>7.3442824074008968</v>
      </c>
      <c r="T1693" t="str">
        <f t="shared" si="214"/>
        <v>On Time/Early</v>
      </c>
      <c r="U1693" t="str">
        <f t="shared" si="215"/>
        <v>Normal</v>
      </c>
      <c r="V1693" t="s">
        <v>102</v>
      </c>
    </row>
    <row r="1694" spans="1:22">
      <c r="A1694" t="s">
        <v>2423</v>
      </c>
      <c r="B1694" s="10">
        <v>43263.880532407406</v>
      </c>
      <c r="C1694" s="10">
        <v>43264.163344907407</v>
      </c>
      <c r="D1694" s="10">
        <v>43265.609722222223</v>
      </c>
      <c r="E1694" s="10">
        <v>43269.870069444441</v>
      </c>
      <c r="F1694" s="10">
        <v>43285</v>
      </c>
      <c r="G1694" t="s">
        <v>8</v>
      </c>
      <c r="H1694" t="s">
        <v>1466</v>
      </c>
      <c r="I1694" t="s">
        <v>112</v>
      </c>
      <c r="J1694" s="11">
        <v>2</v>
      </c>
      <c r="K1694" s="12">
        <v>144.88999999999999</v>
      </c>
      <c r="L1694" s="12">
        <v>44.7</v>
      </c>
      <c r="M1694" s="13">
        <v>5</v>
      </c>
      <c r="N1694" s="13">
        <f t="shared" si="208"/>
        <v>5.989537037035916</v>
      </c>
      <c r="O1694" s="13">
        <f t="shared" si="209"/>
        <v>0</v>
      </c>
      <c r="P1694" t="str">
        <f t="shared" si="210"/>
        <v>On Time</v>
      </c>
      <c r="Q1694" s="13">
        <f t="shared" si="211"/>
        <v>6.7875000000349246</v>
      </c>
      <c r="R1694" s="13">
        <f t="shared" si="212"/>
        <v>1.4463773148163455</v>
      </c>
      <c r="S1694" s="13">
        <f t="shared" si="213"/>
        <v>4.2603472222181153</v>
      </c>
      <c r="T1694" t="str">
        <f t="shared" si="214"/>
        <v>On Time/Early</v>
      </c>
      <c r="U1694" t="str">
        <f t="shared" si="215"/>
        <v>Normal</v>
      </c>
      <c r="V1694" t="s">
        <v>102</v>
      </c>
    </row>
    <row r="1695" spans="1:22">
      <c r="A1695" t="s">
        <v>2424</v>
      </c>
      <c r="B1695" s="10">
        <v>43264.393807870372</v>
      </c>
      <c r="C1695" s="10">
        <v>43264.402708333335</v>
      </c>
      <c r="D1695" s="10">
        <v>43269.629861111112</v>
      </c>
      <c r="E1695" s="10">
        <v>43270.762037037035</v>
      </c>
      <c r="F1695" s="10">
        <v>43279</v>
      </c>
      <c r="G1695" t="s">
        <v>8</v>
      </c>
      <c r="H1695" t="s">
        <v>140</v>
      </c>
      <c r="I1695" t="s">
        <v>180</v>
      </c>
      <c r="J1695" s="11">
        <v>1</v>
      </c>
      <c r="K1695" s="12">
        <v>27.5</v>
      </c>
      <c r="L1695" s="12">
        <v>8.35</v>
      </c>
      <c r="M1695" s="13">
        <v>1</v>
      </c>
      <c r="N1695" s="13">
        <f t="shared" si="208"/>
        <v>6.3682291666627862</v>
      </c>
      <c r="O1695" s="13">
        <f t="shared" si="209"/>
        <v>0</v>
      </c>
      <c r="P1695" t="str">
        <f t="shared" si="210"/>
        <v>On Time</v>
      </c>
      <c r="Q1695" s="13">
        <f t="shared" si="211"/>
        <v>0.21361111110309139</v>
      </c>
      <c r="R1695" s="13">
        <f t="shared" si="212"/>
        <v>5.2271527777775191</v>
      </c>
      <c r="S1695" s="13">
        <f t="shared" si="213"/>
        <v>1.1321759259226383</v>
      </c>
      <c r="T1695" t="str">
        <f t="shared" si="214"/>
        <v>On Time/Early</v>
      </c>
      <c r="U1695" t="str">
        <f t="shared" si="215"/>
        <v>Normal</v>
      </c>
      <c r="V1695" t="s">
        <v>102</v>
      </c>
    </row>
    <row r="1696" spans="1:22">
      <c r="A1696" t="s">
        <v>2425</v>
      </c>
      <c r="B1696" s="10">
        <v>43264.700127314813</v>
      </c>
      <c r="C1696" s="10">
        <v>43264.765879629631</v>
      </c>
      <c r="D1696" s="10">
        <v>43265.605555555558</v>
      </c>
      <c r="E1696" s="10">
        <v>43266.848773148151</v>
      </c>
      <c r="F1696" s="10">
        <v>43277</v>
      </c>
      <c r="G1696" t="s">
        <v>8</v>
      </c>
      <c r="H1696" t="s">
        <v>696</v>
      </c>
      <c r="I1696" t="s">
        <v>128</v>
      </c>
      <c r="J1696" s="11">
        <v>1</v>
      </c>
      <c r="K1696" s="12">
        <v>35</v>
      </c>
      <c r="L1696" s="12">
        <v>7.51</v>
      </c>
      <c r="M1696" s="13">
        <v>4</v>
      </c>
      <c r="N1696" s="13">
        <f t="shared" si="208"/>
        <v>2.148645833338378</v>
      </c>
      <c r="O1696" s="13">
        <f t="shared" si="209"/>
        <v>0</v>
      </c>
      <c r="P1696" t="str">
        <f t="shared" si="210"/>
        <v>On Time</v>
      </c>
      <c r="Q1696" s="13">
        <f t="shared" si="211"/>
        <v>1.5780555556411855</v>
      </c>
      <c r="R1696" s="13">
        <f t="shared" si="212"/>
        <v>0.83967592592671281</v>
      </c>
      <c r="S1696" s="13">
        <f t="shared" si="213"/>
        <v>1.2432175925932825</v>
      </c>
      <c r="T1696" t="str">
        <f t="shared" si="214"/>
        <v>On Time/Early</v>
      </c>
      <c r="U1696" t="str">
        <f t="shared" si="215"/>
        <v>Normal</v>
      </c>
      <c r="V1696" t="s">
        <v>102</v>
      </c>
    </row>
    <row r="1697" spans="1:22">
      <c r="A1697" t="s">
        <v>2426</v>
      </c>
      <c r="B1697" s="10">
        <v>43264.720995370371</v>
      </c>
      <c r="C1697" s="10">
        <v>43264.735509259262</v>
      </c>
      <c r="D1697" s="10">
        <v>43265.561111111114</v>
      </c>
      <c r="E1697" s="10">
        <v>43272.821203703701</v>
      </c>
      <c r="F1697" s="10">
        <v>43292</v>
      </c>
      <c r="G1697" t="s">
        <v>20</v>
      </c>
      <c r="H1697" t="s">
        <v>2427</v>
      </c>
      <c r="I1697" t="s">
        <v>120</v>
      </c>
      <c r="J1697" s="11">
        <v>1</v>
      </c>
      <c r="K1697" s="12">
        <v>499.9</v>
      </c>
      <c r="L1697" s="12">
        <v>47.3</v>
      </c>
      <c r="M1697" s="13">
        <v>3</v>
      </c>
      <c r="N1697" s="13">
        <f t="shared" si="208"/>
        <v>8.1002083333296468</v>
      </c>
      <c r="O1697" s="13">
        <f t="shared" si="209"/>
        <v>0</v>
      </c>
      <c r="P1697" t="str">
        <f t="shared" si="210"/>
        <v>On Time</v>
      </c>
      <c r="Q1697" s="13">
        <f t="shared" si="211"/>
        <v>0.34833333338610828</v>
      </c>
      <c r="R1697" s="13">
        <f t="shared" si="212"/>
        <v>0.82560185185138835</v>
      </c>
      <c r="S1697" s="13">
        <f t="shared" si="213"/>
        <v>7.2600925925871707</v>
      </c>
      <c r="T1697" t="str">
        <f t="shared" si="214"/>
        <v>On Time/Early</v>
      </c>
      <c r="U1697" t="str">
        <f t="shared" si="215"/>
        <v>Normal</v>
      </c>
      <c r="V1697" t="s">
        <v>102</v>
      </c>
    </row>
    <row r="1698" spans="1:22">
      <c r="A1698" t="s">
        <v>2428</v>
      </c>
      <c r="B1698" s="10">
        <v>43264.798402777778</v>
      </c>
      <c r="C1698" s="10">
        <v>43264.820023148146</v>
      </c>
      <c r="D1698" s="10">
        <v>43265.667361111111</v>
      </c>
      <c r="E1698" s="10">
        <v>43285.908726851849</v>
      </c>
      <c r="F1698" s="10">
        <v>43307</v>
      </c>
      <c r="G1698" t="s">
        <v>50</v>
      </c>
      <c r="H1698" t="s">
        <v>2429</v>
      </c>
      <c r="I1698" t="s">
        <v>221</v>
      </c>
      <c r="J1698" s="11">
        <v>1</v>
      </c>
      <c r="K1698" s="12">
        <v>169.99</v>
      </c>
      <c r="L1698" s="12">
        <v>38.1</v>
      </c>
      <c r="M1698" s="13">
        <v>4</v>
      </c>
      <c r="N1698" s="13">
        <f t="shared" si="208"/>
        <v>21.110324074070377</v>
      </c>
      <c r="O1698" s="13">
        <f t="shared" si="209"/>
        <v>0</v>
      </c>
      <c r="P1698" t="str">
        <f t="shared" si="210"/>
        <v>On Time</v>
      </c>
      <c r="Q1698" s="13">
        <f t="shared" si="211"/>
        <v>0.51888888882240281</v>
      </c>
      <c r="R1698" s="13">
        <f t="shared" si="212"/>
        <v>0.84733796296495711</v>
      </c>
      <c r="S1698" s="13">
        <f t="shared" si="213"/>
        <v>20.24136574073782</v>
      </c>
      <c r="T1698" t="str">
        <f t="shared" si="214"/>
        <v>On Time/Early</v>
      </c>
      <c r="U1698" t="str">
        <f t="shared" si="215"/>
        <v>Normal</v>
      </c>
      <c r="V1698" t="s">
        <v>102</v>
      </c>
    </row>
    <row r="1699" spans="1:22">
      <c r="A1699" t="s">
        <v>2430</v>
      </c>
      <c r="B1699" s="10">
        <v>43264.835439814815</v>
      </c>
      <c r="C1699" s="10">
        <v>43264.848229166666</v>
      </c>
      <c r="D1699" s="10">
        <v>43265.557638888888</v>
      </c>
      <c r="E1699" s="10">
        <v>43276.820902777778</v>
      </c>
      <c r="F1699" s="10">
        <v>43294</v>
      </c>
      <c r="G1699" t="s">
        <v>33</v>
      </c>
      <c r="H1699" t="s">
        <v>2431</v>
      </c>
      <c r="I1699" t="s">
        <v>180</v>
      </c>
      <c r="J1699" s="11">
        <v>1</v>
      </c>
      <c r="K1699" s="12">
        <v>150.52000000000001</v>
      </c>
      <c r="L1699" s="12">
        <v>27.35</v>
      </c>
      <c r="M1699" s="13">
        <v>5</v>
      </c>
      <c r="N1699" s="13">
        <f t="shared" si="208"/>
        <v>11.985462962962629</v>
      </c>
      <c r="O1699" s="13">
        <f t="shared" si="209"/>
        <v>0</v>
      </c>
      <c r="P1699" t="str">
        <f t="shared" si="210"/>
        <v>On Time</v>
      </c>
      <c r="Q1699" s="13">
        <f t="shared" si="211"/>
        <v>0.30694444442633539</v>
      </c>
      <c r="R1699" s="13">
        <f t="shared" si="212"/>
        <v>0.70940972222160781</v>
      </c>
      <c r="S1699" s="13">
        <f t="shared" si="213"/>
        <v>11.263263888889924</v>
      </c>
      <c r="T1699" t="str">
        <f t="shared" si="214"/>
        <v>On Time/Early</v>
      </c>
      <c r="U1699" t="str">
        <f t="shared" si="215"/>
        <v>Normal</v>
      </c>
      <c r="V1699" t="s">
        <v>102</v>
      </c>
    </row>
    <row r="1700" spans="1:22">
      <c r="A1700" t="s">
        <v>2432</v>
      </c>
      <c r="B1700" s="10">
        <v>43265.29277777778</v>
      </c>
      <c r="C1700" s="10">
        <v>43265.304108796299</v>
      </c>
      <c r="D1700" s="10">
        <v>43270.592361111114</v>
      </c>
      <c r="E1700" s="10">
        <v>43272.830891203703</v>
      </c>
      <c r="F1700" s="10">
        <v>43285</v>
      </c>
      <c r="G1700" t="s">
        <v>8</v>
      </c>
      <c r="H1700" t="s">
        <v>649</v>
      </c>
      <c r="I1700" t="s">
        <v>154</v>
      </c>
      <c r="J1700" s="11">
        <v>2</v>
      </c>
      <c r="K1700" s="12">
        <v>217.8</v>
      </c>
      <c r="L1700" s="12">
        <v>27</v>
      </c>
      <c r="M1700" s="13">
        <v>5</v>
      </c>
      <c r="N1700" s="13">
        <f t="shared" si="208"/>
        <v>7.5381134259223472</v>
      </c>
      <c r="O1700" s="13">
        <f t="shared" si="209"/>
        <v>0</v>
      </c>
      <c r="P1700" t="str">
        <f t="shared" si="210"/>
        <v>On Time</v>
      </c>
      <c r="Q1700" s="13">
        <f t="shared" si="211"/>
        <v>0.27194444445194677</v>
      </c>
      <c r="R1700" s="13">
        <f t="shared" si="212"/>
        <v>5.2882523148145992</v>
      </c>
      <c r="S1700" s="13">
        <f t="shared" si="213"/>
        <v>2.2385300925889169</v>
      </c>
      <c r="T1700" t="str">
        <f t="shared" si="214"/>
        <v>On Time/Early</v>
      </c>
      <c r="U1700" t="str">
        <f t="shared" si="215"/>
        <v>Normal</v>
      </c>
      <c r="V1700" t="s">
        <v>102</v>
      </c>
    </row>
    <row r="1701" spans="1:22">
      <c r="A1701" t="s">
        <v>2433</v>
      </c>
      <c r="B1701" s="10">
        <v>43266.601597222223</v>
      </c>
      <c r="C1701" s="10">
        <v>43267.610393518517</v>
      </c>
      <c r="D1701" s="10">
        <v>43269.55</v>
      </c>
      <c r="E1701" s="10">
        <v>43270.92355324074</v>
      </c>
      <c r="F1701" s="10">
        <v>43284</v>
      </c>
      <c r="G1701" t="s">
        <v>8</v>
      </c>
      <c r="H1701" t="s">
        <v>418</v>
      </c>
      <c r="I1701" t="s">
        <v>141</v>
      </c>
      <c r="J1701" s="11">
        <v>2</v>
      </c>
      <c r="K1701" s="12">
        <v>125.9</v>
      </c>
      <c r="L1701" s="12">
        <v>18.37</v>
      </c>
      <c r="M1701" s="13">
        <v>4</v>
      </c>
      <c r="N1701" s="13">
        <f t="shared" si="208"/>
        <v>4.3219560185170849</v>
      </c>
      <c r="O1701" s="13">
        <f t="shared" si="209"/>
        <v>0</v>
      </c>
      <c r="P1701" t="str">
        <f t="shared" si="210"/>
        <v>On Time</v>
      </c>
      <c r="Q1701" s="13">
        <f t="shared" si="211"/>
        <v>24.211111111042555</v>
      </c>
      <c r="R1701" s="13">
        <f t="shared" si="212"/>
        <v>1.9396064814864076</v>
      </c>
      <c r="S1701" s="13">
        <f t="shared" si="213"/>
        <v>1.3735532407372375</v>
      </c>
      <c r="T1701" t="str">
        <f t="shared" si="214"/>
        <v>On Time/Early</v>
      </c>
      <c r="U1701" t="str">
        <f t="shared" si="215"/>
        <v>Normal</v>
      </c>
      <c r="V1701" t="s">
        <v>102</v>
      </c>
    </row>
    <row r="1702" spans="1:22">
      <c r="A1702" t="s">
        <v>2434</v>
      </c>
      <c r="B1702" s="10">
        <v>43267.356759259259</v>
      </c>
      <c r="C1702" s="10">
        <v>43267.374236111114</v>
      </c>
      <c r="D1702" s="10">
        <v>43279.470833333333</v>
      </c>
      <c r="E1702" s="10">
        <v>43292.739571759259</v>
      </c>
      <c r="F1702" s="10">
        <v>43315</v>
      </c>
      <c r="G1702" t="s">
        <v>175</v>
      </c>
      <c r="H1702" t="s">
        <v>338</v>
      </c>
      <c r="I1702" t="s">
        <v>37</v>
      </c>
      <c r="J1702" s="11">
        <v>2</v>
      </c>
      <c r="K1702" s="12">
        <v>225.88</v>
      </c>
      <c r="L1702" s="12">
        <v>91.12</v>
      </c>
      <c r="M1702" s="13">
        <v>1</v>
      </c>
      <c r="N1702" s="13">
        <f t="shared" si="208"/>
        <v>25.3828125</v>
      </c>
      <c r="O1702" s="13">
        <f t="shared" si="209"/>
        <v>0</v>
      </c>
      <c r="P1702" t="str">
        <f t="shared" si="210"/>
        <v>On Time</v>
      </c>
      <c r="Q1702" s="13">
        <f t="shared" si="211"/>
        <v>0.41944444453110918</v>
      </c>
      <c r="R1702" s="13">
        <f t="shared" si="212"/>
        <v>12.096597222218406</v>
      </c>
      <c r="S1702" s="13">
        <f t="shared" si="213"/>
        <v>13.268738425926131</v>
      </c>
      <c r="T1702" t="str">
        <f t="shared" si="214"/>
        <v>On Time/Early</v>
      </c>
      <c r="U1702" t="str">
        <f t="shared" si="215"/>
        <v>Normal</v>
      </c>
      <c r="V1702" t="s">
        <v>102</v>
      </c>
    </row>
    <row r="1703" spans="1:22">
      <c r="A1703" t="s">
        <v>2435</v>
      </c>
      <c r="B1703" s="10">
        <v>43267.570543981485</v>
      </c>
      <c r="C1703" s="10">
        <v>43267.58315972222</v>
      </c>
      <c r="D1703" s="10">
        <v>43269.560416666667</v>
      </c>
      <c r="E1703" s="10">
        <v>43272.829456018517</v>
      </c>
      <c r="F1703" s="10">
        <v>43292</v>
      </c>
      <c r="G1703" t="s">
        <v>20</v>
      </c>
      <c r="H1703" t="s">
        <v>391</v>
      </c>
      <c r="I1703" t="s">
        <v>141</v>
      </c>
      <c r="J1703" s="11">
        <v>1</v>
      </c>
      <c r="K1703" s="12">
        <v>129</v>
      </c>
      <c r="L1703" s="12">
        <v>26.27</v>
      </c>
      <c r="M1703" s="13">
        <v>5</v>
      </c>
      <c r="N1703" s="13">
        <f t="shared" si="208"/>
        <v>5.2589120370321325</v>
      </c>
      <c r="O1703" s="13">
        <f t="shared" si="209"/>
        <v>0</v>
      </c>
      <c r="P1703" t="str">
        <f t="shared" si="210"/>
        <v>On Time</v>
      </c>
      <c r="Q1703" s="13">
        <f t="shared" si="211"/>
        <v>0.30277777765877545</v>
      </c>
      <c r="R1703" s="13">
        <f t="shared" si="212"/>
        <v>1.9772569444467081</v>
      </c>
      <c r="S1703" s="13">
        <f t="shared" si="213"/>
        <v>3.2690393518496421</v>
      </c>
      <c r="T1703" t="str">
        <f t="shared" si="214"/>
        <v>On Time/Early</v>
      </c>
      <c r="U1703" t="str">
        <f t="shared" si="215"/>
        <v>Normal</v>
      </c>
      <c r="V1703" t="s">
        <v>102</v>
      </c>
    </row>
    <row r="1704" spans="1:22">
      <c r="A1704" t="s">
        <v>2436</v>
      </c>
      <c r="B1704" s="10">
        <v>43267.738587962966</v>
      </c>
      <c r="C1704" s="10">
        <v>43267.749050925922</v>
      </c>
      <c r="D1704" s="10">
        <v>43269.55</v>
      </c>
      <c r="E1704" s="10">
        <v>43273.565752314818</v>
      </c>
      <c r="F1704" s="10">
        <v>43298</v>
      </c>
      <c r="G1704" t="s">
        <v>20</v>
      </c>
      <c r="H1704" t="s">
        <v>2437</v>
      </c>
      <c r="I1704" t="s">
        <v>136</v>
      </c>
      <c r="J1704" s="11">
        <v>1</v>
      </c>
      <c r="K1704" s="12">
        <v>139.99</v>
      </c>
      <c r="L1704" s="12">
        <v>23.78</v>
      </c>
      <c r="M1704" s="13">
        <v>5</v>
      </c>
      <c r="N1704" s="13">
        <f t="shared" si="208"/>
        <v>5.8271643518528435</v>
      </c>
      <c r="O1704" s="13">
        <f t="shared" si="209"/>
        <v>0</v>
      </c>
      <c r="P1704" t="str">
        <f t="shared" si="210"/>
        <v>On Time</v>
      </c>
      <c r="Q1704" s="13">
        <f t="shared" si="211"/>
        <v>0.251111110963393</v>
      </c>
      <c r="R1704" s="13">
        <f t="shared" si="212"/>
        <v>1.8009490740805632</v>
      </c>
      <c r="S1704" s="13">
        <f t="shared" si="213"/>
        <v>4.0157523148154723</v>
      </c>
      <c r="T1704" t="str">
        <f t="shared" si="214"/>
        <v>On Time/Early</v>
      </c>
      <c r="U1704" t="str">
        <f t="shared" si="215"/>
        <v>Normal</v>
      </c>
      <c r="V1704" t="s">
        <v>102</v>
      </c>
    </row>
    <row r="1705" spans="1:22">
      <c r="A1705" t="s">
        <v>2438</v>
      </c>
      <c r="B1705" s="10">
        <v>43267.978171296294</v>
      </c>
      <c r="C1705" s="10">
        <v>43267.996574074074</v>
      </c>
      <c r="D1705" s="10">
        <v>43269.508333333331</v>
      </c>
      <c r="E1705" s="10">
        <v>43273.943437499998</v>
      </c>
      <c r="F1705" s="10">
        <v>43297</v>
      </c>
      <c r="G1705" t="s">
        <v>16</v>
      </c>
      <c r="H1705" t="s">
        <v>2439</v>
      </c>
      <c r="I1705" t="s">
        <v>120</v>
      </c>
      <c r="J1705" s="11">
        <v>1</v>
      </c>
      <c r="K1705" s="12">
        <v>135</v>
      </c>
      <c r="L1705" s="12">
        <v>22.88</v>
      </c>
      <c r="M1705" s="13">
        <v>5</v>
      </c>
      <c r="N1705" s="13">
        <f t="shared" si="208"/>
        <v>5.9652662037042319</v>
      </c>
      <c r="O1705" s="13">
        <f t="shared" si="209"/>
        <v>0</v>
      </c>
      <c r="P1705" t="str">
        <f t="shared" si="210"/>
        <v>On Time</v>
      </c>
      <c r="Q1705" s="13">
        <f t="shared" si="211"/>
        <v>0.44166666670935228</v>
      </c>
      <c r="R1705" s="13">
        <f t="shared" si="212"/>
        <v>1.5117592592578148</v>
      </c>
      <c r="S1705" s="13">
        <f t="shared" si="213"/>
        <v>4.4351041666668607</v>
      </c>
      <c r="T1705" t="str">
        <f t="shared" si="214"/>
        <v>On Time/Early</v>
      </c>
      <c r="U1705" t="str">
        <f t="shared" si="215"/>
        <v>Normal</v>
      </c>
      <c r="V1705" t="s">
        <v>102</v>
      </c>
    </row>
    <row r="1706" spans="1:22">
      <c r="A1706" t="s">
        <v>2440</v>
      </c>
      <c r="B1706" s="10">
        <v>43268.402569444443</v>
      </c>
      <c r="C1706" s="10">
        <v>43268.413368055553</v>
      </c>
      <c r="D1706" s="10">
        <v>43269.564583333333</v>
      </c>
      <c r="E1706" s="10">
        <v>43272.776921296296</v>
      </c>
      <c r="F1706" s="10">
        <v>43293</v>
      </c>
      <c r="G1706" t="s">
        <v>8</v>
      </c>
      <c r="H1706" t="s">
        <v>182</v>
      </c>
      <c r="I1706" t="s">
        <v>58</v>
      </c>
      <c r="J1706" s="11">
        <v>1</v>
      </c>
      <c r="K1706" s="12">
        <v>70</v>
      </c>
      <c r="L1706" s="12">
        <v>18.29</v>
      </c>
      <c r="M1706" s="13">
        <v>5</v>
      </c>
      <c r="N1706" s="13">
        <f t="shared" si="208"/>
        <v>4.3743518518531346</v>
      </c>
      <c r="O1706" s="13">
        <f t="shared" si="209"/>
        <v>0</v>
      </c>
      <c r="P1706" t="str">
        <f t="shared" si="210"/>
        <v>On Time</v>
      </c>
      <c r="Q1706" s="13">
        <f t="shared" si="211"/>
        <v>0.25916666665580124</v>
      </c>
      <c r="R1706" s="13">
        <f t="shared" si="212"/>
        <v>1.1512152777795563</v>
      </c>
      <c r="S1706" s="13">
        <f t="shared" si="213"/>
        <v>3.2123379629629198</v>
      </c>
      <c r="T1706" t="str">
        <f t="shared" si="214"/>
        <v>On Time/Early</v>
      </c>
      <c r="U1706" t="str">
        <f t="shared" si="215"/>
        <v>Normal</v>
      </c>
      <c r="V1706" t="s">
        <v>102</v>
      </c>
    </row>
    <row r="1707" spans="1:22">
      <c r="A1707" t="s">
        <v>2441</v>
      </c>
      <c r="B1707" s="10">
        <v>43268.55568287037</v>
      </c>
      <c r="C1707" s="10">
        <v>43268.569374999999</v>
      </c>
      <c r="D1707" s="10">
        <v>43270.56527777778</v>
      </c>
      <c r="E1707" s="10">
        <v>43273.810914351852</v>
      </c>
      <c r="F1707" s="10">
        <v>43294</v>
      </c>
      <c r="G1707" t="s">
        <v>20</v>
      </c>
      <c r="H1707" t="s">
        <v>2442</v>
      </c>
      <c r="I1707" t="s">
        <v>58</v>
      </c>
      <c r="J1707" s="11">
        <v>1</v>
      </c>
      <c r="K1707" s="12">
        <v>39.99</v>
      </c>
      <c r="L1707" s="12">
        <v>18.38</v>
      </c>
      <c r="M1707" s="13">
        <v>5</v>
      </c>
      <c r="N1707" s="13">
        <f t="shared" si="208"/>
        <v>5.255231481482042</v>
      </c>
      <c r="O1707" s="13">
        <f t="shared" si="209"/>
        <v>0</v>
      </c>
      <c r="P1707" t="str">
        <f t="shared" si="210"/>
        <v>On Time</v>
      </c>
      <c r="Q1707" s="13">
        <f t="shared" si="211"/>
        <v>0.32861111109377816</v>
      </c>
      <c r="R1707" s="13">
        <f t="shared" si="212"/>
        <v>1.9959027777804295</v>
      </c>
      <c r="S1707" s="13">
        <f t="shared" si="213"/>
        <v>3.2456365740727051</v>
      </c>
      <c r="T1707" t="str">
        <f t="shared" si="214"/>
        <v>On Time/Early</v>
      </c>
      <c r="U1707" t="str">
        <f t="shared" si="215"/>
        <v>Normal</v>
      </c>
      <c r="V1707" t="s">
        <v>102</v>
      </c>
    </row>
    <row r="1708" spans="1:22">
      <c r="A1708" t="s">
        <v>2443</v>
      </c>
      <c r="B1708" s="10">
        <v>43268.943402777775</v>
      </c>
      <c r="C1708" s="10">
        <v>43268.957604166666</v>
      </c>
      <c r="D1708" s="10">
        <v>43269.39166666667</v>
      </c>
      <c r="E1708" s="10">
        <v>43273.814189814817</v>
      </c>
      <c r="F1708" s="10">
        <v>43294</v>
      </c>
      <c r="G1708" t="s">
        <v>8</v>
      </c>
      <c r="H1708" t="s">
        <v>2444</v>
      </c>
      <c r="I1708" t="s">
        <v>101</v>
      </c>
      <c r="J1708" s="11">
        <v>3</v>
      </c>
      <c r="K1708" s="12">
        <v>69.7</v>
      </c>
      <c r="L1708" s="12">
        <v>50.27</v>
      </c>
      <c r="M1708" s="13">
        <v>5</v>
      </c>
      <c r="N1708" s="13">
        <f t="shared" si="208"/>
        <v>4.8707870370417368</v>
      </c>
      <c r="O1708" s="13">
        <f t="shared" si="209"/>
        <v>0</v>
      </c>
      <c r="P1708" t="str">
        <f t="shared" si="210"/>
        <v>On Time</v>
      </c>
      <c r="Q1708" s="13">
        <f t="shared" si="211"/>
        <v>0.34083333337912336</v>
      </c>
      <c r="R1708" s="13">
        <f t="shared" si="212"/>
        <v>0.43406250000407454</v>
      </c>
      <c r="S1708" s="13">
        <f t="shared" si="213"/>
        <v>4.4225231481468654</v>
      </c>
      <c r="T1708" t="str">
        <f t="shared" si="214"/>
        <v>On Time/Early</v>
      </c>
      <c r="U1708" t="str">
        <f t="shared" si="215"/>
        <v>Normal</v>
      </c>
      <c r="V1708" t="s">
        <v>102</v>
      </c>
    </row>
    <row r="1709" spans="1:22">
      <c r="A1709" t="s">
        <v>2445</v>
      </c>
      <c r="B1709" s="10">
        <v>43269.597060185188</v>
      </c>
      <c r="C1709" s="10">
        <v>43270.165011574078</v>
      </c>
      <c r="D1709" s="10">
        <v>43270.564583333333</v>
      </c>
      <c r="E1709" s="10">
        <v>43277.682187500002</v>
      </c>
      <c r="F1709" s="10">
        <v>43293</v>
      </c>
      <c r="G1709" t="s">
        <v>320</v>
      </c>
      <c r="H1709" t="s">
        <v>321</v>
      </c>
      <c r="I1709" t="s">
        <v>180</v>
      </c>
      <c r="J1709" s="11">
        <v>1</v>
      </c>
      <c r="K1709" s="12">
        <v>66</v>
      </c>
      <c r="L1709" s="12">
        <v>19.649999999999999</v>
      </c>
      <c r="M1709" s="13">
        <v>5</v>
      </c>
      <c r="N1709" s="13">
        <f t="shared" si="208"/>
        <v>8.0851273148145992</v>
      </c>
      <c r="O1709" s="13">
        <f t="shared" si="209"/>
        <v>0</v>
      </c>
      <c r="P1709" t="str">
        <f t="shared" si="210"/>
        <v>On Time</v>
      </c>
      <c r="Q1709" s="13">
        <f t="shared" si="211"/>
        <v>13.630833333358169</v>
      </c>
      <c r="R1709" s="13">
        <f t="shared" si="212"/>
        <v>0.3995717592551955</v>
      </c>
      <c r="S1709" s="13">
        <f t="shared" si="213"/>
        <v>7.11760416666948</v>
      </c>
      <c r="T1709" t="str">
        <f t="shared" si="214"/>
        <v>On Time/Early</v>
      </c>
      <c r="U1709" t="str">
        <f t="shared" si="215"/>
        <v>Normal</v>
      </c>
      <c r="V1709" t="s">
        <v>102</v>
      </c>
    </row>
    <row r="1710" spans="1:22">
      <c r="A1710" t="s">
        <v>2446</v>
      </c>
      <c r="B1710" s="10">
        <v>43269.722974537035</v>
      </c>
      <c r="C1710" s="10">
        <v>43270.27484953704</v>
      </c>
      <c r="D1710" s="10">
        <v>43270.599305555559</v>
      </c>
      <c r="E1710" s="10">
        <v>43278.509166666663</v>
      </c>
      <c r="F1710" s="10">
        <v>43304</v>
      </c>
      <c r="G1710" t="s">
        <v>464</v>
      </c>
      <c r="H1710" t="s">
        <v>883</v>
      </c>
      <c r="I1710" t="s">
        <v>37</v>
      </c>
      <c r="J1710" s="11">
        <v>1</v>
      </c>
      <c r="K1710" s="12">
        <v>389.9</v>
      </c>
      <c r="L1710" s="12">
        <v>201.46</v>
      </c>
      <c r="M1710" s="13">
        <v>5</v>
      </c>
      <c r="N1710" s="13">
        <f t="shared" si="208"/>
        <v>8.7861921296280343</v>
      </c>
      <c r="O1710" s="13">
        <f t="shared" si="209"/>
        <v>0</v>
      </c>
      <c r="P1710" t="str">
        <f t="shared" si="210"/>
        <v>On Time</v>
      </c>
      <c r="Q1710" s="13">
        <f t="shared" si="211"/>
        <v>13.245000000111759</v>
      </c>
      <c r="R1710" s="13">
        <f t="shared" si="212"/>
        <v>0.32445601851941319</v>
      </c>
      <c r="S1710" s="13">
        <f t="shared" si="213"/>
        <v>7.9098611111039645</v>
      </c>
      <c r="T1710" t="str">
        <f t="shared" si="214"/>
        <v>On Time/Early</v>
      </c>
      <c r="U1710" t="str">
        <f t="shared" si="215"/>
        <v>Normal</v>
      </c>
      <c r="V1710" t="s">
        <v>102</v>
      </c>
    </row>
    <row r="1711" spans="1:22">
      <c r="A1711" t="s">
        <v>2447</v>
      </c>
      <c r="B1711" s="10">
        <v>43269.869317129633</v>
      </c>
      <c r="C1711" s="10">
        <v>43270.87259259259</v>
      </c>
      <c r="D1711" s="10">
        <v>43271.499305555553</v>
      </c>
      <c r="E1711" s="10">
        <v>43278.62835648148</v>
      </c>
      <c r="F1711" s="10">
        <v>43305</v>
      </c>
      <c r="G1711" t="s">
        <v>20</v>
      </c>
      <c r="H1711" t="s">
        <v>2448</v>
      </c>
      <c r="I1711" t="s">
        <v>154</v>
      </c>
      <c r="J1711" s="11">
        <v>6</v>
      </c>
      <c r="K1711" s="12">
        <v>360</v>
      </c>
      <c r="L1711" s="12">
        <v>134.1</v>
      </c>
      <c r="M1711" s="13">
        <v>5</v>
      </c>
      <c r="N1711" s="13">
        <f t="shared" si="208"/>
        <v>8.7590393518476048</v>
      </c>
      <c r="O1711" s="13">
        <f t="shared" si="209"/>
        <v>0</v>
      </c>
      <c r="P1711" t="str">
        <f t="shared" si="210"/>
        <v>On Time</v>
      </c>
      <c r="Q1711" s="13">
        <f t="shared" si="211"/>
        <v>24.078611110977363</v>
      </c>
      <c r="R1711" s="13">
        <f t="shared" si="212"/>
        <v>0.62671296296321088</v>
      </c>
      <c r="S1711" s="13">
        <f t="shared" si="213"/>
        <v>7.1290509259270038</v>
      </c>
      <c r="T1711" t="str">
        <f t="shared" si="214"/>
        <v>On Time/Early</v>
      </c>
      <c r="U1711" t="str">
        <f t="shared" si="215"/>
        <v>Normal</v>
      </c>
      <c r="V1711" t="s">
        <v>102</v>
      </c>
    </row>
    <row r="1712" spans="1:22">
      <c r="A1712" t="s">
        <v>2449</v>
      </c>
      <c r="B1712" s="10">
        <v>43269.929236111115</v>
      </c>
      <c r="C1712" s="10">
        <v>43269.942488425928</v>
      </c>
      <c r="D1712" s="10">
        <v>43273.547222222223</v>
      </c>
      <c r="E1712" s="10">
        <v>43279.672638888886</v>
      </c>
      <c r="F1712" s="10">
        <v>43299</v>
      </c>
      <c r="G1712" t="s">
        <v>8</v>
      </c>
      <c r="H1712" t="s">
        <v>212</v>
      </c>
      <c r="I1712" t="s">
        <v>112</v>
      </c>
      <c r="J1712" s="11">
        <v>1</v>
      </c>
      <c r="K1712" s="12">
        <v>12</v>
      </c>
      <c r="L1712" s="12">
        <v>18.23</v>
      </c>
      <c r="M1712" s="13">
        <v>4</v>
      </c>
      <c r="N1712" s="13">
        <f t="shared" si="208"/>
        <v>9.7434027777708252</v>
      </c>
      <c r="O1712" s="13">
        <f t="shared" si="209"/>
        <v>0</v>
      </c>
      <c r="P1712" t="str">
        <f t="shared" si="210"/>
        <v>On Time</v>
      </c>
      <c r="Q1712" s="13">
        <f t="shared" si="211"/>
        <v>0.31805555551545694</v>
      </c>
      <c r="R1712" s="13">
        <f t="shared" si="212"/>
        <v>3.6047337962954771</v>
      </c>
      <c r="S1712" s="13">
        <f t="shared" si="213"/>
        <v>6.1254166666622041</v>
      </c>
      <c r="T1712" t="str">
        <f t="shared" si="214"/>
        <v>On Time/Early</v>
      </c>
      <c r="U1712" t="str">
        <f t="shared" si="215"/>
        <v>Normal</v>
      </c>
      <c r="V1712" t="s">
        <v>102</v>
      </c>
    </row>
    <row r="1713" spans="1:22">
      <c r="A1713" t="s">
        <v>2450</v>
      </c>
      <c r="B1713" s="10">
        <v>43270.011296296296</v>
      </c>
      <c r="C1713" s="10">
        <v>43270.026458333334</v>
      </c>
      <c r="D1713" s="10">
        <v>43270.453472222223</v>
      </c>
      <c r="E1713" s="10">
        <v>43272.544537037036</v>
      </c>
      <c r="F1713" s="10">
        <v>43280</v>
      </c>
      <c r="G1713" t="s">
        <v>8</v>
      </c>
      <c r="H1713" t="s">
        <v>140</v>
      </c>
      <c r="I1713" t="s">
        <v>58</v>
      </c>
      <c r="J1713" s="11">
        <v>1</v>
      </c>
      <c r="K1713" s="12">
        <v>19.2</v>
      </c>
      <c r="L1713" s="12">
        <v>8.2899999999999991</v>
      </c>
      <c r="M1713" s="13">
        <v>5</v>
      </c>
      <c r="N1713" s="13">
        <f t="shared" si="208"/>
        <v>2.5332407407404389</v>
      </c>
      <c r="O1713" s="13">
        <f t="shared" si="209"/>
        <v>0</v>
      </c>
      <c r="P1713" t="str">
        <f t="shared" si="210"/>
        <v>On Time</v>
      </c>
      <c r="Q1713" s="13">
        <f t="shared" si="211"/>
        <v>0.36388888891087845</v>
      </c>
      <c r="R1713" s="13">
        <f t="shared" si="212"/>
        <v>0.42701388888963265</v>
      </c>
      <c r="S1713" s="13">
        <f t="shared" si="213"/>
        <v>2.091064814812853</v>
      </c>
      <c r="T1713" t="str">
        <f t="shared" si="214"/>
        <v>On Time/Early</v>
      </c>
      <c r="U1713" t="str">
        <f t="shared" si="215"/>
        <v>Normal</v>
      </c>
      <c r="V1713" t="s">
        <v>102</v>
      </c>
    </row>
    <row r="1714" spans="1:22">
      <c r="A1714" t="s">
        <v>2451</v>
      </c>
      <c r="B1714" s="10">
        <v>43270.424490740741</v>
      </c>
      <c r="C1714" s="10">
        <v>43270.44263888889</v>
      </c>
      <c r="D1714" s="10">
        <v>43270.615277777775</v>
      </c>
      <c r="E1714" s="10">
        <v>43280.011435185188</v>
      </c>
      <c r="F1714" s="10">
        <v>43297</v>
      </c>
      <c r="G1714" t="s">
        <v>33</v>
      </c>
      <c r="H1714" t="s">
        <v>1756</v>
      </c>
      <c r="I1714" t="s">
        <v>141</v>
      </c>
      <c r="J1714" s="11">
        <v>1</v>
      </c>
      <c r="K1714" s="12">
        <v>898</v>
      </c>
      <c r="L1714" s="12">
        <v>29.28</v>
      </c>
      <c r="M1714" s="13">
        <v>1</v>
      </c>
      <c r="N1714" s="13">
        <f t="shared" si="208"/>
        <v>9.5869444444469991</v>
      </c>
      <c r="O1714" s="13">
        <f t="shared" si="209"/>
        <v>0</v>
      </c>
      <c r="P1714" t="str">
        <f t="shared" si="210"/>
        <v>On Time</v>
      </c>
      <c r="Q1714" s="13">
        <f t="shared" si="211"/>
        <v>0.43555555556667969</v>
      </c>
      <c r="R1714" s="13">
        <f t="shared" si="212"/>
        <v>0.17263888888555812</v>
      </c>
      <c r="S1714" s="13">
        <f t="shared" si="213"/>
        <v>9.3961574074128293</v>
      </c>
      <c r="T1714" t="str">
        <f t="shared" si="214"/>
        <v>On Time/Early</v>
      </c>
      <c r="U1714" t="str">
        <f t="shared" si="215"/>
        <v>Normal</v>
      </c>
      <c r="V1714" t="s">
        <v>102</v>
      </c>
    </row>
    <row r="1715" spans="1:22">
      <c r="A1715" t="s">
        <v>2452</v>
      </c>
      <c r="B1715" s="10">
        <v>43270.464722222219</v>
      </c>
      <c r="C1715" s="10">
        <v>43270.482789351852</v>
      </c>
      <c r="D1715" s="10">
        <v>43272.784722222219</v>
      </c>
      <c r="E1715" s="10">
        <v>43273.563831018517</v>
      </c>
      <c r="F1715" s="10">
        <v>43280</v>
      </c>
      <c r="G1715" t="s">
        <v>8</v>
      </c>
      <c r="H1715" t="s">
        <v>225</v>
      </c>
      <c r="I1715" t="s">
        <v>180</v>
      </c>
      <c r="J1715" s="11">
        <v>1</v>
      </c>
      <c r="K1715" s="12">
        <v>149.9</v>
      </c>
      <c r="L1715" s="12">
        <v>12.54</v>
      </c>
      <c r="M1715" s="13">
        <v>5</v>
      </c>
      <c r="N1715" s="13">
        <f t="shared" si="208"/>
        <v>3.0991087962975143</v>
      </c>
      <c r="O1715" s="13">
        <f t="shared" si="209"/>
        <v>0</v>
      </c>
      <c r="P1715" t="str">
        <f t="shared" si="210"/>
        <v>On Time</v>
      </c>
      <c r="Q1715" s="13">
        <f t="shared" si="211"/>
        <v>0.43361111119156703</v>
      </c>
      <c r="R1715" s="13">
        <f t="shared" si="212"/>
        <v>2.301932870366727</v>
      </c>
      <c r="S1715" s="13">
        <f t="shared" si="213"/>
        <v>0.77910879629780538</v>
      </c>
      <c r="T1715" t="str">
        <f t="shared" si="214"/>
        <v>On Time/Early</v>
      </c>
      <c r="U1715" t="str">
        <f t="shared" si="215"/>
        <v>Normal</v>
      </c>
      <c r="V1715" t="s">
        <v>102</v>
      </c>
    </row>
    <row r="1716" spans="1:22">
      <c r="A1716" t="s">
        <v>2453</v>
      </c>
      <c r="B1716" s="10">
        <v>43270.473564814813</v>
      </c>
      <c r="C1716" s="10">
        <v>43270.482916666668</v>
      </c>
      <c r="D1716" s="10">
        <v>43271.590277777781</v>
      </c>
      <c r="E1716" s="10">
        <v>43272.769988425927</v>
      </c>
      <c r="F1716" s="10">
        <v>43280</v>
      </c>
      <c r="G1716" t="s">
        <v>8</v>
      </c>
      <c r="H1716" t="s">
        <v>140</v>
      </c>
      <c r="I1716" t="s">
        <v>58</v>
      </c>
      <c r="J1716" s="11">
        <v>1</v>
      </c>
      <c r="K1716" s="12">
        <v>35</v>
      </c>
      <c r="L1716" s="12">
        <v>7.51</v>
      </c>
      <c r="M1716" s="13">
        <v>5</v>
      </c>
      <c r="N1716" s="13">
        <f t="shared" si="208"/>
        <v>2.2964236111147329</v>
      </c>
      <c r="O1716" s="13">
        <f t="shared" si="209"/>
        <v>0</v>
      </c>
      <c r="P1716" t="str">
        <f t="shared" si="210"/>
        <v>On Time</v>
      </c>
      <c r="Q1716" s="13">
        <f t="shared" si="211"/>
        <v>0.22444444452412426</v>
      </c>
      <c r="R1716" s="13">
        <f t="shared" si="212"/>
        <v>1.1073611111132777</v>
      </c>
      <c r="S1716" s="13">
        <f t="shared" si="213"/>
        <v>1.1797106481462833</v>
      </c>
      <c r="T1716" t="str">
        <f t="shared" si="214"/>
        <v>On Time/Early</v>
      </c>
      <c r="U1716" t="str">
        <f t="shared" si="215"/>
        <v>Normal</v>
      </c>
      <c r="V1716" t="s">
        <v>102</v>
      </c>
    </row>
    <row r="1717" spans="1:22">
      <c r="A1717" t="s">
        <v>2454</v>
      </c>
      <c r="B1717" s="10">
        <v>43270.601967592593</v>
      </c>
      <c r="C1717" s="10">
        <v>43270.623067129629</v>
      </c>
      <c r="D1717" s="10">
        <v>43271.782638888886</v>
      </c>
      <c r="E1717" s="10">
        <v>43272.681990740741</v>
      </c>
      <c r="F1717" s="10">
        <v>43280</v>
      </c>
      <c r="G1717" t="s">
        <v>36</v>
      </c>
      <c r="H1717" t="s">
        <v>467</v>
      </c>
      <c r="I1717" t="s">
        <v>101</v>
      </c>
      <c r="J1717" s="11">
        <v>1</v>
      </c>
      <c r="K1717" s="12">
        <v>295</v>
      </c>
      <c r="L1717" s="12">
        <v>20.02</v>
      </c>
      <c r="M1717" s="13">
        <v>5</v>
      </c>
      <c r="N1717" s="13">
        <f t="shared" si="208"/>
        <v>2.0800231481480296</v>
      </c>
      <c r="O1717" s="13">
        <f t="shared" si="209"/>
        <v>0</v>
      </c>
      <c r="P1717" t="str">
        <f t="shared" si="210"/>
        <v>On Time</v>
      </c>
      <c r="Q1717" s="13">
        <f t="shared" si="211"/>
        <v>0.50638888886896893</v>
      </c>
      <c r="R1717" s="13">
        <f t="shared" si="212"/>
        <v>1.1595717592572328</v>
      </c>
      <c r="S1717" s="13">
        <f t="shared" si="213"/>
        <v>0.89935185185458977</v>
      </c>
      <c r="T1717" t="str">
        <f t="shared" si="214"/>
        <v>On Time/Early</v>
      </c>
      <c r="U1717" t="str">
        <f t="shared" si="215"/>
        <v>Normal</v>
      </c>
      <c r="V1717" t="s">
        <v>102</v>
      </c>
    </row>
    <row r="1718" spans="1:22">
      <c r="A1718" t="s">
        <v>2455</v>
      </c>
      <c r="B1718" s="10">
        <v>43270.700798611113</v>
      </c>
      <c r="C1718" s="10">
        <v>43270.726689814815</v>
      </c>
      <c r="D1718" s="10">
        <v>43279.59375</v>
      </c>
      <c r="E1718" s="10">
        <v>43292.785856481481</v>
      </c>
      <c r="F1718" s="10">
        <v>43307</v>
      </c>
      <c r="G1718" t="s">
        <v>23</v>
      </c>
      <c r="H1718" t="s">
        <v>2456</v>
      </c>
      <c r="I1718" t="s">
        <v>963</v>
      </c>
      <c r="J1718" s="11">
        <v>1</v>
      </c>
      <c r="K1718" s="12">
        <v>119.85</v>
      </c>
      <c r="L1718" s="12">
        <v>27.79</v>
      </c>
      <c r="M1718" s="13">
        <v>4</v>
      </c>
      <c r="N1718" s="13">
        <f t="shared" si="208"/>
        <v>22.085057870368473</v>
      </c>
      <c r="O1718" s="13">
        <f t="shared" si="209"/>
        <v>0</v>
      </c>
      <c r="P1718" t="str">
        <f t="shared" si="210"/>
        <v>On Time</v>
      </c>
      <c r="Q1718" s="13">
        <f t="shared" si="211"/>
        <v>0.62138888885965571</v>
      </c>
      <c r="R1718" s="13">
        <f t="shared" si="212"/>
        <v>8.8670601851845277</v>
      </c>
      <c r="S1718" s="13">
        <f t="shared" si="213"/>
        <v>13.19210648148146</v>
      </c>
      <c r="T1718" t="str">
        <f t="shared" si="214"/>
        <v>On Time/Early</v>
      </c>
      <c r="U1718" t="str">
        <f t="shared" si="215"/>
        <v>Normal</v>
      </c>
      <c r="V1718" t="s">
        <v>102</v>
      </c>
    </row>
    <row r="1719" spans="1:22">
      <c r="A1719" t="s">
        <v>2457</v>
      </c>
      <c r="B1719" s="10">
        <v>43270.817361111112</v>
      </c>
      <c r="C1719" s="10">
        <v>43270.844687500001</v>
      </c>
      <c r="D1719" s="10">
        <v>43271.56527777778</v>
      </c>
      <c r="E1719" s="10">
        <v>43272.733726851853</v>
      </c>
      <c r="F1719" s="10">
        <v>43280</v>
      </c>
      <c r="G1719" t="s">
        <v>8</v>
      </c>
      <c r="H1719" t="s">
        <v>140</v>
      </c>
      <c r="I1719" t="s">
        <v>51</v>
      </c>
      <c r="J1719" s="11">
        <v>2</v>
      </c>
      <c r="K1719" s="12">
        <v>92</v>
      </c>
      <c r="L1719" s="12">
        <v>16.96</v>
      </c>
      <c r="M1719" s="13">
        <v>5</v>
      </c>
      <c r="N1719" s="13">
        <f t="shared" si="208"/>
        <v>1.91636574074073</v>
      </c>
      <c r="O1719" s="13">
        <f t="shared" si="209"/>
        <v>0</v>
      </c>
      <c r="P1719" t="str">
        <f t="shared" si="210"/>
        <v>On Time</v>
      </c>
      <c r="Q1719" s="13">
        <f t="shared" si="211"/>
        <v>0.65583333332324401</v>
      </c>
      <c r="R1719" s="13">
        <f t="shared" si="212"/>
        <v>0.72059027777868323</v>
      </c>
      <c r="S1719" s="13">
        <f t="shared" si="213"/>
        <v>1.1684490740735782</v>
      </c>
      <c r="T1719" t="str">
        <f t="shared" si="214"/>
        <v>On Time/Early</v>
      </c>
      <c r="U1719" t="str">
        <f t="shared" si="215"/>
        <v>Normal</v>
      </c>
      <c r="V1719" t="s">
        <v>102</v>
      </c>
    </row>
    <row r="1720" spans="1:22">
      <c r="A1720" t="s">
        <v>2458</v>
      </c>
      <c r="B1720" s="10">
        <v>43271.413391203707</v>
      </c>
      <c r="C1720" s="10">
        <v>43272.191828703704</v>
      </c>
      <c r="D1720" s="10">
        <v>43273.629861111112</v>
      </c>
      <c r="E1720" s="10">
        <v>43284.825057870374</v>
      </c>
      <c r="F1720" s="10">
        <v>43299</v>
      </c>
      <c r="G1720" t="s">
        <v>36</v>
      </c>
      <c r="H1720" t="s">
        <v>371</v>
      </c>
      <c r="I1720" t="s">
        <v>185</v>
      </c>
      <c r="J1720" s="11">
        <v>1</v>
      </c>
      <c r="K1720" s="12">
        <v>99.99</v>
      </c>
      <c r="L1720" s="12">
        <v>18.8</v>
      </c>
      <c r="M1720" s="13">
        <v>5</v>
      </c>
      <c r="N1720" s="13">
        <f t="shared" si="208"/>
        <v>13.411666666666861</v>
      </c>
      <c r="O1720" s="13">
        <f t="shared" si="209"/>
        <v>0</v>
      </c>
      <c r="P1720" t="str">
        <f t="shared" si="210"/>
        <v>On Time</v>
      </c>
      <c r="Q1720" s="13">
        <f t="shared" si="211"/>
        <v>18.682499999937136</v>
      </c>
      <c r="R1720" s="13">
        <f t="shared" si="212"/>
        <v>1.4380324074081727</v>
      </c>
      <c r="S1720" s="13">
        <f t="shared" si="213"/>
        <v>11.195196759261307</v>
      </c>
      <c r="T1720" t="str">
        <f t="shared" si="214"/>
        <v>On Time/Early</v>
      </c>
      <c r="U1720" t="str">
        <f t="shared" si="215"/>
        <v>Normal</v>
      </c>
      <c r="V1720" t="s">
        <v>102</v>
      </c>
    </row>
    <row r="1721" spans="1:22">
      <c r="A1721" t="s">
        <v>2459</v>
      </c>
      <c r="B1721" s="10">
        <v>43271.529664351852</v>
      </c>
      <c r="C1721" s="10">
        <v>43271.55636574074</v>
      </c>
      <c r="D1721" s="10">
        <v>43273.38958333333</v>
      </c>
      <c r="E1721" s="10">
        <v>43276.633472222224</v>
      </c>
      <c r="F1721" s="10">
        <v>43286</v>
      </c>
      <c r="G1721" t="s">
        <v>8</v>
      </c>
      <c r="H1721" t="s">
        <v>140</v>
      </c>
      <c r="I1721" t="s">
        <v>136</v>
      </c>
      <c r="J1721" s="11">
        <v>1</v>
      </c>
      <c r="K1721" s="12">
        <v>99</v>
      </c>
      <c r="L1721" s="12">
        <v>9.44</v>
      </c>
      <c r="M1721" s="13">
        <v>4</v>
      </c>
      <c r="N1721" s="13">
        <f t="shared" si="208"/>
        <v>5.1038078703713836</v>
      </c>
      <c r="O1721" s="13">
        <f t="shared" si="209"/>
        <v>0</v>
      </c>
      <c r="P1721" t="str">
        <f t="shared" si="210"/>
        <v>On Time</v>
      </c>
      <c r="Q1721" s="13">
        <f t="shared" si="211"/>
        <v>0.64083333330927417</v>
      </c>
      <c r="R1721" s="13">
        <f t="shared" si="212"/>
        <v>1.83321759258979</v>
      </c>
      <c r="S1721" s="13">
        <f t="shared" si="213"/>
        <v>3.2438888888937072</v>
      </c>
      <c r="T1721" t="str">
        <f t="shared" si="214"/>
        <v>On Time/Early</v>
      </c>
      <c r="U1721" t="str">
        <f t="shared" si="215"/>
        <v>Normal</v>
      </c>
      <c r="V1721" t="s">
        <v>102</v>
      </c>
    </row>
    <row r="1722" spans="1:22">
      <c r="A1722" t="s">
        <v>2460</v>
      </c>
      <c r="B1722" s="10">
        <v>43271.677546296298</v>
      </c>
      <c r="C1722" s="10">
        <v>43271.696759259263</v>
      </c>
      <c r="D1722" s="10">
        <v>43272.619444444441</v>
      </c>
      <c r="E1722" s="10">
        <v>43280.627430555556</v>
      </c>
      <c r="F1722" s="10">
        <v>43305</v>
      </c>
      <c r="G1722" t="s">
        <v>50</v>
      </c>
      <c r="H1722" t="s">
        <v>2461</v>
      </c>
      <c r="I1722" t="s">
        <v>128</v>
      </c>
      <c r="J1722" s="11">
        <v>1</v>
      </c>
      <c r="K1722" s="12">
        <v>68.260000000000005</v>
      </c>
      <c r="L1722" s="12">
        <v>51.2</v>
      </c>
      <c r="M1722" s="13">
        <v>5</v>
      </c>
      <c r="N1722" s="13">
        <f t="shared" si="208"/>
        <v>8.9498842592583969</v>
      </c>
      <c r="O1722" s="13">
        <f t="shared" si="209"/>
        <v>0</v>
      </c>
      <c r="P1722" t="str">
        <f t="shared" si="210"/>
        <v>On Time</v>
      </c>
      <c r="Q1722" s="13">
        <f t="shared" si="211"/>
        <v>0.46111111115897074</v>
      </c>
      <c r="R1722" s="13">
        <f t="shared" si="212"/>
        <v>0.92268518517812481</v>
      </c>
      <c r="S1722" s="13">
        <f t="shared" si="213"/>
        <v>8.007986111115315</v>
      </c>
      <c r="T1722" t="str">
        <f t="shared" si="214"/>
        <v>On Time/Early</v>
      </c>
      <c r="U1722" t="str">
        <f t="shared" si="215"/>
        <v>Normal</v>
      </c>
      <c r="V1722" t="s">
        <v>102</v>
      </c>
    </row>
    <row r="1723" spans="1:22">
      <c r="A1723" t="s">
        <v>2462</v>
      </c>
      <c r="B1723" s="10">
        <v>43271.734826388885</v>
      </c>
      <c r="C1723" s="10">
        <v>43271.782893518517</v>
      </c>
      <c r="D1723" s="10">
        <v>43272.650694444441</v>
      </c>
      <c r="E1723" s="10">
        <v>43278.672662037039</v>
      </c>
      <c r="F1723" s="10">
        <v>43305</v>
      </c>
      <c r="G1723" t="s">
        <v>8</v>
      </c>
      <c r="H1723" t="s">
        <v>140</v>
      </c>
      <c r="I1723" t="s">
        <v>120</v>
      </c>
      <c r="J1723" s="11">
        <v>1</v>
      </c>
      <c r="K1723" s="12">
        <v>140.9</v>
      </c>
      <c r="L1723" s="12">
        <v>14.33</v>
      </c>
      <c r="M1723" s="13">
        <v>5</v>
      </c>
      <c r="N1723" s="13">
        <f t="shared" si="208"/>
        <v>6.9378356481538503</v>
      </c>
      <c r="O1723" s="13">
        <f t="shared" si="209"/>
        <v>0</v>
      </c>
      <c r="P1723" t="str">
        <f t="shared" si="210"/>
        <v>On Time</v>
      </c>
      <c r="Q1723" s="13">
        <f t="shared" si="211"/>
        <v>1.1536111111636274</v>
      </c>
      <c r="R1723" s="13">
        <f t="shared" si="212"/>
        <v>0.86780092592380242</v>
      </c>
      <c r="S1723" s="13">
        <f t="shared" si="213"/>
        <v>6.0219675925982301</v>
      </c>
      <c r="T1723" t="str">
        <f t="shared" si="214"/>
        <v>On Time/Early</v>
      </c>
      <c r="U1723" t="str">
        <f t="shared" si="215"/>
        <v>Normal</v>
      </c>
      <c r="V1723" t="s">
        <v>102</v>
      </c>
    </row>
    <row r="1724" spans="1:22">
      <c r="A1724" t="s">
        <v>2463</v>
      </c>
      <c r="B1724" s="10">
        <v>43271.813067129631</v>
      </c>
      <c r="C1724" s="10">
        <v>43272.152048611111</v>
      </c>
      <c r="D1724" s="10">
        <v>43283.561111111114</v>
      </c>
      <c r="E1724" s="10">
        <v>43284.794236111113</v>
      </c>
      <c r="F1724" s="10">
        <v>43292</v>
      </c>
      <c r="G1724" t="s">
        <v>8</v>
      </c>
      <c r="H1724" t="s">
        <v>171</v>
      </c>
      <c r="I1724" t="s">
        <v>118</v>
      </c>
      <c r="J1724" s="11">
        <v>1</v>
      </c>
      <c r="K1724" s="12">
        <v>12.47</v>
      </c>
      <c r="L1724" s="12">
        <v>7.39</v>
      </c>
      <c r="M1724" s="13">
        <v>5</v>
      </c>
      <c r="N1724" s="13">
        <f t="shared" si="208"/>
        <v>12.98116898148146</v>
      </c>
      <c r="O1724" s="13">
        <f t="shared" si="209"/>
        <v>0</v>
      </c>
      <c r="P1724" t="str">
        <f t="shared" si="210"/>
        <v>On Time</v>
      </c>
      <c r="Q1724" s="13">
        <f t="shared" si="211"/>
        <v>8.1355555555201136</v>
      </c>
      <c r="R1724" s="13">
        <f t="shared" si="212"/>
        <v>11.409062500002619</v>
      </c>
      <c r="S1724" s="13">
        <f t="shared" si="213"/>
        <v>1.2331249999988358</v>
      </c>
      <c r="T1724" t="str">
        <f t="shared" si="214"/>
        <v>On Time/Early</v>
      </c>
      <c r="U1724" t="str">
        <f t="shared" si="215"/>
        <v>Normal</v>
      </c>
      <c r="V1724" t="s">
        <v>102</v>
      </c>
    </row>
    <row r="1725" spans="1:22">
      <c r="A1725" t="s">
        <v>2464</v>
      </c>
      <c r="B1725" s="10">
        <v>43271.985694444447</v>
      </c>
      <c r="C1725" s="10">
        <v>43272.05363425926</v>
      </c>
      <c r="D1725" s="10">
        <v>43272.672222222223</v>
      </c>
      <c r="E1725" s="10">
        <v>43276.514675925922</v>
      </c>
      <c r="F1725" s="10">
        <v>43294</v>
      </c>
      <c r="G1725" t="s">
        <v>20</v>
      </c>
      <c r="H1725" t="s">
        <v>1909</v>
      </c>
      <c r="I1725" t="s">
        <v>58</v>
      </c>
      <c r="J1725" s="11">
        <v>1</v>
      </c>
      <c r="K1725" s="12">
        <v>23.99</v>
      </c>
      <c r="L1725" s="12">
        <v>18.27</v>
      </c>
      <c r="M1725" s="13">
        <v>5</v>
      </c>
      <c r="N1725" s="13">
        <f t="shared" si="208"/>
        <v>4.5289814814750571</v>
      </c>
      <c r="O1725" s="13">
        <f t="shared" si="209"/>
        <v>0</v>
      </c>
      <c r="P1725" t="str">
        <f t="shared" si="210"/>
        <v>On Time</v>
      </c>
      <c r="Q1725" s="13">
        <f t="shared" si="211"/>
        <v>1.6305555555154569</v>
      </c>
      <c r="R1725" s="13">
        <f t="shared" si="212"/>
        <v>0.61858796296291985</v>
      </c>
      <c r="S1725" s="13">
        <f t="shared" si="213"/>
        <v>3.8424537036989932</v>
      </c>
      <c r="T1725" t="str">
        <f t="shared" si="214"/>
        <v>On Time/Early</v>
      </c>
      <c r="U1725" t="str">
        <f t="shared" si="215"/>
        <v>Normal</v>
      </c>
      <c r="V1725" t="s">
        <v>102</v>
      </c>
    </row>
    <row r="1726" spans="1:22">
      <c r="A1726" t="s">
        <v>2465</v>
      </c>
      <c r="B1726" s="10">
        <v>43272.481134259258</v>
      </c>
      <c r="C1726" s="10">
        <v>43272.499189814815</v>
      </c>
      <c r="D1726" s="10">
        <v>43286.395138888889</v>
      </c>
      <c r="E1726" s="10">
        <v>43290.909444444442</v>
      </c>
      <c r="F1726" s="10">
        <v>43299</v>
      </c>
      <c r="G1726" t="s">
        <v>20</v>
      </c>
      <c r="H1726" t="s">
        <v>104</v>
      </c>
      <c r="I1726" t="s">
        <v>143</v>
      </c>
      <c r="J1726" s="11">
        <v>1</v>
      </c>
      <c r="K1726" s="12">
        <v>219</v>
      </c>
      <c r="L1726" s="12">
        <v>21.08</v>
      </c>
      <c r="M1726" s="13">
        <v>1</v>
      </c>
      <c r="N1726" s="13">
        <f t="shared" si="208"/>
        <v>18.428310185183364</v>
      </c>
      <c r="O1726" s="13">
        <f t="shared" si="209"/>
        <v>0</v>
      </c>
      <c r="P1726" t="str">
        <f t="shared" si="210"/>
        <v>On Time</v>
      </c>
      <c r="Q1726" s="13">
        <f t="shared" si="211"/>
        <v>0.43333333334885538</v>
      </c>
      <c r="R1726" s="13">
        <f t="shared" si="212"/>
        <v>13.895949074074451</v>
      </c>
      <c r="S1726" s="13">
        <f t="shared" si="213"/>
        <v>4.5143055555527098</v>
      </c>
      <c r="T1726" t="str">
        <f t="shared" si="214"/>
        <v>On Time/Early</v>
      </c>
      <c r="U1726" t="str">
        <f t="shared" si="215"/>
        <v>Normal</v>
      </c>
      <c r="V1726" t="s">
        <v>102</v>
      </c>
    </row>
    <row r="1727" spans="1:22">
      <c r="A1727" t="s">
        <v>2466</v>
      </c>
      <c r="B1727" s="10">
        <v>43273.01059027778</v>
      </c>
      <c r="C1727" s="10">
        <v>43274.069780092592</v>
      </c>
      <c r="D1727" s="10">
        <v>43276.572916666664</v>
      </c>
      <c r="E1727" s="10">
        <v>43279.774895833332</v>
      </c>
      <c r="F1727" s="10">
        <v>43286</v>
      </c>
      <c r="G1727" t="s">
        <v>8</v>
      </c>
      <c r="H1727" t="s">
        <v>588</v>
      </c>
      <c r="I1727" t="s">
        <v>58</v>
      </c>
      <c r="J1727" s="11">
        <v>1</v>
      </c>
      <c r="K1727" s="12">
        <v>79.989999999999995</v>
      </c>
      <c r="L1727" s="12">
        <v>8.7200000000000006</v>
      </c>
      <c r="M1727" s="13">
        <v>4</v>
      </c>
      <c r="N1727" s="13">
        <f t="shared" si="208"/>
        <v>6.7643055555527098</v>
      </c>
      <c r="O1727" s="13">
        <f t="shared" si="209"/>
        <v>0</v>
      </c>
      <c r="P1727" t="str">
        <f t="shared" si="210"/>
        <v>On Time</v>
      </c>
      <c r="Q1727" s="13">
        <f t="shared" si="211"/>
        <v>25.420555555494502</v>
      </c>
      <c r="R1727" s="13">
        <f t="shared" si="212"/>
        <v>2.5031365740724141</v>
      </c>
      <c r="S1727" s="13">
        <f t="shared" si="213"/>
        <v>3.2019791666680248</v>
      </c>
      <c r="T1727" t="str">
        <f t="shared" si="214"/>
        <v>On Time/Early</v>
      </c>
      <c r="U1727" t="str">
        <f t="shared" si="215"/>
        <v>Normal</v>
      </c>
      <c r="V1727" t="s">
        <v>102</v>
      </c>
    </row>
    <row r="1728" spans="1:22">
      <c r="A1728" t="s">
        <v>2467</v>
      </c>
      <c r="B1728" s="10">
        <v>43273.469502314816</v>
      </c>
      <c r="C1728" s="10">
        <v>43273.485868055555</v>
      </c>
      <c r="D1728" s="10">
        <v>43280.404166666667</v>
      </c>
      <c r="E1728" s="10">
        <v>43284.901967592596</v>
      </c>
      <c r="F1728" s="10">
        <v>43298</v>
      </c>
      <c r="G1728" t="s">
        <v>8</v>
      </c>
      <c r="H1728" t="s">
        <v>140</v>
      </c>
      <c r="I1728" t="s">
        <v>221</v>
      </c>
      <c r="J1728" s="11">
        <v>1</v>
      </c>
      <c r="K1728" s="12">
        <v>99.9</v>
      </c>
      <c r="L1728" s="12">
        <v>13.36</v>
      </c>
      <c r="M1728" s="13">
        <v>4</v>
      </c>
      <c r="N1728" s="13">
        <f t="shared" si="208"/>
        <v>11.432465277779556</v>
      </c>
      <c r="O1728" s="13">
        <f t="shared" si="209"/>
        <v>0</v>
      </c>
      <c r="P1728" t="str">
        <f t="shared" si="210"/>
        <v>On Time</v>
      </c>
      <c r="Q1728" s="13">
        <f t="shared" si="211"/>
        <v>0.39277777774259448</v>
      </c>
      <c r="R1728" s="13">
        <f t="shared" si="212"/>
        <v>6.9182986111118225</v>
      </c>
      <c r="S1728" s="13">
        <f t="shared" si="213"/>
        <v>4.497800925928459</v>
      </c>
      <c r="T1728" t="str">
        <f t="shared" si="214"/>
        <v>On Time/Early</v>
      </c>
      <c r="U1728" t="str">
        <f t="shared" si="215"/>
        <v>Normal</v>
      </c>
      <c r="V1728" t="s">
        <v>102</v>
      </c>
    </row>
    <row r="1729" spans="1:22">
      <c r="A1729" t="s">
        <v>2468</v>
      </c>
      <c r="B1729" s="10">
        <v>43273.711747685185</v>
      </c>
      <c r="C1729" s="10">
        <v>43273.735219907408</v>
      </c>
      <c r="D1729" s="10">
        <v>43276.663194444445</v>
      </c>
      <c r="E1729" s="10">
        <v>43281.53324074074</v>
      </c>
      <c r="F1729" s="10">
        <v>43297</v>
      </c>
      <c r="G1729" t="s">
        <v>8</v>
      </c>
      <c r="H1729" t="s">
        <v>309</v>
      </c>
      <c r="I1729" t="s">
        <v>120</v>
      </c>
      <c r="J1729" s="11">
        <v>1</v>
      </c>
      <c r="K1729" s="12">
        <v>39.9</v>
      </c>
      <c r="L1729" s="12">
        <v>15.38</v>
      </c>
      <c r="M1729" s="13">
        <v>5</v>
      </c>
      <c r="N1729" s="13">
        <f t="shared" si="208"/>
        <v>7.8214930555550382</v>
      </c>
      <c r="O1729" s="13">
        <f t="shared" si="209"/>
        <v>0</v>
      </c>
      <c r="P1729" t="str">
        <f t="shared" si="210"/>
        <v>On Time</v>
      </c>
      <c r="Q1729" s="13">
        <f t="shared" si="211"/>
        <v>0.56333333335351199</v>
      </c>
      <c r="R1729" s="13">
        <f t="shared" si="212"/>
        <v>2.9279745370367891</v>
      </c>
      <c r="S1729" s="13">
        <f t="shared" si="213"/>
        <v>4.870046296295186</v>
      </c>
      <c r="T1729" t="str">
        <f t="shared" si="214"/>
        <v>On Time/Early</v>
      </c>
      <c r="U1729" t="str">
        <f t="shared" si="215"/>
        <v>Normal</v>
      </c>
      <c r="V1729" t="s">
        <v>102</v>
      </c>
    </row>
    <row r="1730" spans="1:22">
      <c r="A1730" t="s">
        <v>2469</v>
      </c>
      <c r="B1730" s="10">
        <v>43273.851053240738</v>
      </c>
      <c r="C1730" s="10">
        <v>43273.859537037039</v>
      </c>
      <c r="D1730" s="10">
        <v>43277.599999999999</v>
      </c>
      <c r="E1730" s="10">
        <v>43315.916365740741</v>
      </c>
      <c r="F1730" s="10">
        <v>43305</v>
      </c>
      <c r="G1730" t="s">
        <v>30</v>
      </c>
      <c r="H1730" t="s">
        <v>585</v>
      </c>
      <c r="I1730" t="s">
        <v>58</v>
      </c>
      <c r="J1730" s="11">
        <v>1</v>
      </c>
      <c r="K1730" s="12">
        <v>35</v>
      </c>
      <c r="L1730" s="12">
        <v>18.350000000000001</v>
      </c>
      <c r="M1730" s="13">
        <v>3</v>
      </c>
      <c r="N1730" s="13">
        <f t="shared" ref="N1730:N1793" si="216">IFERROR(E1730-B1730,"")</f>
        <v>42.065312500002619</v>
      </c>
      <c r="O1730" s="13">
        <f t="shared" ref="O1730:O1793" si="217">IFERROR(MAX(0,E1730-F1730),"")</f>
        <v>10.91636574074073</v>
      </c>
      <c r="P1730" t="str">
        <f t="shared" ref="P1730:P1793" si="218">IF(O1730&gt;0,"Delayed","On Time")</f>
        <v>Delayed</v>
      </c>
      <c r="Q1730" s="13">
        <f t="shared" ref="Q1730:Q1793" si="219">IFERROR((C1730-B1730)*24,"")</f>
        <v>0.20361111121019349</v>
      </c>
      <c r="R1730" s="13">
        <f t="shared" ref="R1730:R1793" si="220">IFERROR(D1730-C1730,"")</f>
        <v>3.7404629629600095</v>
      </c>
      <c r="S1730" s="13">
        <f t="shared" ref="S1730:S1793" si="221">IFERROR(E1730-D1730,"")</f>
        <v>38.316365740742185</v>
      </c>
      <c r="T1730" t="str">
        <f t="shared" ref="T1730:T1793" si="222">IF(O1730=0,"On Time/Early",IF(O1730&lt;=3,"1-3 Days Late",IF(O1730&lt;=7,"4-7 Days Late","8+ Days Late")))</f>
        <v>8+ Days Late</v>
      </c>
      <c r="U1730" t="str">
        <f t="shared" ref="U1730:U1793" si="223">IF(P1730="Delayed","Needs Review","Normal")</f>
        <v>Needs Review</v>
      </c>
      <c r="V1730" t="s">
        <v>102</v>
      </c>
    </row>
    <row r="1731" spans="1:22">
      <c r="A1731" t="s">
        <v>2470</v>
      </c>
      <c r="B1731" s="10">
        <v>43274.341562499998</v>
      </c>
      <c r="C1731" s="10">
        <v>43274.357685185183</v>
      </c>
      <c r="D1731" s="10">
        <v>43277.604166666664</v>
      </c>
      <c r="E1731" s="10">
        <v>43278.82708333333</v>
      </c>
      <c r="F1731" s="10">
        <v>43294</v>
      </c>
      <c r="G1731" t="s">
        <v>8</v>
      </c>
      <c r="H1731" t="s">
        <v>140</v>
      </c>
      <c r="I1731" t="s">
        <v>154</v>
      </c>
      <c r="J1731" s="11">
        <v>1</v>
      </c>
      <c r="K1731" s="12">
        <v>59.99</v>
      </c>
      <c r="L1731" s="12">
        <v>16.690000000000001</v>
      </c>
      <c r="M1731" s="13">
        <v>3</v>
      </c>
      <c r="N1731" s="13">
        <f t="shared" si="216"/>
        <v>4.4855208333319752</v>
      </c>
      <c r="O1731" s="13">
        <f t="shared" si="217"/>
        <v>0</v>
      </c>
      <c r="P1731" t="str">
        <f t="shared" si="218"/>
        <v>On Time</v>
      </c>
      <c r="Q1731" s="13">
        <f t="shared" si="219"/>
        <v>0.38694444444263354</v>
      </c>
      <c r="R1731" s="13">
        <f t="shared" si="220"/>
        <v>3.2464814814811689</v>
      </c>
      <c r="S1731" s="13">
        <f t="shared" si="221"/>
        <v>1.2229166666656965</v>
      </c>
      <c r="T1731" t="str">
        <f t="shared" si="222"/>
        <v>On Time/Early</v>
      </c>
      <c r="U1731" t="str">
        <f t="shared" si="223"/>
        <v>Normal</v>
      </c>
      <c r="V1731" t="s">
        <v>102</v>
      </c>
    </row>
    <row r="1732" spans="1:22">
      <c r="A1732" t="s">
        <v>2471</v>
      </c>
      <c r="B1732" s="10">
        <v>43274.438379629632</v>
      </c>
      <c r="C1732" s="10">
        <v>43277.207638888889</v>
      </c>
      <c r="D1732" s="10">
        <v>43277.659722222219</v>
      </c>
      <c r="E1732" s="10">
        <v>43280.697881944441</v>
      </c>
      <c r="F1732" s="10">
        <v>43304</v>
      </c>
      <c r="G1732" t="s">
        <v>8</v>
      </c>
      <c r="H1732" t="s">
        <v>212</v>
      </c>
      <c r="I1732" t="s">
        <v>141</v>
      </c>
      <c r="J1732" s="11">
        <v>1</v>
      </c>
      <c r="K1732" s="12">
        <v>59.9</v>
      </c>
      <c r="L1732" s="12">
        <v>23.22</v>
      </c>
      <c r="M1732" s="13">
        <v>4</v>
      </c>
      <c r="N1732" s="13">
        <f t="shared" si="216"/>
        <v>6.2595023148096516</v>
      </c>
      <c r="O1732" s="13">
        <f t="shared" si="217"/>
        <v>0</v>
      </c>
      <c r="P1732" t="str">
        <f t="shared" si="218"/>
        <v>On Time</v>
      </c>
      <c r="Q1732" s="13">
        <f t="shared" si="219"/>
        <v>66.462222222180571</v>
      </c>
      <c r="R1732" s="13">
        <f t="shared" si="220"/>
        <v>0.45208333332993789</v>
      </c>
      <c r="S1732" s="13">
        <f t="shared" si="221"/>
        <v>3.0381597222221899</v>
      </c>
      <c r="T1732" t="str">
        <f t="shared" si="222"/>
        <v>On Time/Early</v>
      </c>
      <c r="U1732" t="str">
        <f t="shared" si="223"/>
        <v>Normal</v>
      </c>
      <c r="V1732" t="s">
        <v>102</v>
      </c>
    </row>
    <row r="1733" spans="1:22">
      <c r="A1733" t="s">
        <v>2472</v>
      </c>
      <c r="B1733" s="10">
        <v>43274.505219907405</v>
      </c>
      <c r="C1733" s="10">
        <v>43274.524247685185</v>
      </c>
      <c r="D1733" s="10">
        <v>43276.743055555555</v>
      </c>
      <c r="E1733" s="10">
        <v>43280.83253472222</v>
      </c>
      <c r="F1733" s="10">
        <v>43312</v>
      </c>
      <c r="G1733" t="s">
        <v>16</v>
      </c>
      <c r="H1733" t="s">
        <v>138</v>
      </c>
      <c r="I1733" t="s">
        <v>180</v>
      </c>
      <c r="J1733" s="11">
        <v>1</v>
      </c>
      <c r="K1733" s="12">
        <v>80</v>
      </c>
      <c r="L1733" s="12">
        <v>23.36</v>
      </c>
      <c r="M1733" s="13">
        <v>1</v>
      </c>
      <c r="N1733" s="13">
        <f t="shared" si="216"/>
        <v>6.3273148148145992</v>
      </c>
      <c r="O1733" s="13">
        <f t="shared" si="217"/>
        <v>0</v>
      </c>
      <c r="P1733" t="str">
        <f t="shared" si="218"/>
        <v>On Time</v>
      </c>
      <c r="Q1733" s="13">
        <f t="shared" si="219"/>
        <v>0.45666666672332212</v>
      </c>
      <c r="R1733" s="13">
        <f t="shared" si="220"/>
        <v>2.2188078703693463</v>
      </c>
      <c r="S1733" s="13">
        <f t="shared" si="221"/>
        <v>4.0894791666651145</v>
      </c>
      <c r="T1733" t="str">
        <f t="shared" si="222"/>
        <v>On Time/Early</v>
      </c>
      <c r="U1733" t="str">
        <f t="shared" si="223"/>
        <v>Normal</v>
      </c>
      <c r="V1733" t="s">
        <v>102</v>
      </c>
    </row>
    <row r="1734" spans="1:22">
      <c r="A1734" t="s">
        <v>2473</v>
      </c>
      <c r="B1734" s="10">
        <v>43275.535462962966</v>
      </c>
      <c r="C1734" s="10">
        <v>43275.554583333331</v>
      </c>
      <c r="D1734" s="10">
        <v>43277.589583333334</v>
      </c>
      <c r="E1734" s="10">
        <v>43281.60324074074</v>
      </c>
      <c r="F1734" s="10">
        <v>43299</v>
      </c>
      <c r="G1734" t="s">
        <v>320</v>
      </c>
      <c r="H1734" t="s">
        <v>321</v>
      </c>
      <c r="I1734" t="s">
        <v>180</v>
      </c>
      <c r="J1734" s="11">
        <v>1</v>
      </c>
      <c r="K1734" s="12">
        <v>109</v>
      </c>
      <c r="L1734" s="12">
        <v>27.06</v>
      </c>
      <c r="M1734" s="13">
        <v>3</v>
      </c>
      <c r="N1734" s="13">
        <f t="shared" si="216"/>
        <v>6.0677777777746087</v>
      </c>
      <c r="O1734" s="13">
        <f t="shared" si="217"/>
        <v>0</v>
      </c>
      <c r="P1734" t="str">
        <f t="shared" si="218"/>
        <v>On Time</v>
      </c>
      <c r="Q1734" s="13">
        <f t="shared" si="219"/>
        <v>0.45888888876652345</v>
      </c>
      <c r="R1734" s="13">
        <f t="shared" si="220"/>
        <v>2.0350000000034925</v>
      </c>
      <c r="S1734" s="13">
        <f t="shared" si="221"/>
        <v>4.0136574074058444</v>
      </c>
      <c r="T1734" t="str">
        <f t="shared" si="222"/>
        <v>On Time/Early</v>
      </c>
      <c r="U1734" t="str">
        <f t="shared" si="223"/>
        <v>Normal</v>
      </c>
      <c r="V1734" t="s">
        <v>102</v>
      </c>
    </row>
    <row r="1735" spans="1:22">
      <c r="A1735" t="s">
        <v>2474</v>
      </c>
      <c r="B1735" s="10">
        <v>43275.639456018522</v>
      </c>
      <c r="C1735" s="10">
        <v>43277.207465277781</v>
      </c>
      <c r="D1735" s="10">
        <v>43277.652083333334</v>
      </c>
      <c r="E1735" s="10">
        <v>43292.769918981481</v>
      </c>
      <c r="F1735" s="10">
        <v>43299</v>
      </c>
      <c r="G1735" t="s">
        <v>8</v>
      </c>
      <c r="H1735" t="s">
        <v>140</v>
      </c>
      <c r="I1735" t="s">
        <v>180</v>
      </c>
      <c r="J1735" s="11">
        <v>1</v>
      </c>
      <c r="K1735" s="12">
        <v>109.99</v>
      </c>
      <c r="L1735" s="12">
        <v>36.85</v>
      </c>
      <c r="M1735" s="13">
        <v>5</v>
      </c>
      <c r="N1735" s="13">
        <f t="shared" si="216"/>
        <v>17.130462962959427</v>
      </c>
      <c r="O1735" s="13">
        <f t="shared" si="217"/>
        <v>0</v>
      </c>
      <c r="P1735" t="str">
        <f t="shared" si="218"/>
        <v>On Time</v>
      </c>
      <c r="Q1735" s="13">
        <f t="shared" si="219"/>
        <v>37.632222222222481</v>
      </c>
      <c r="R1735" s="13">
        <f t="shared" si="220"/>
        <v>0.44461805555329192</v>
      </c>
      <c r="S1735" s="13">
        <f t="shared" si="221"/>
        <v>15.117835648146865</v>
      </c>
      <c r="T1735" t="str">
        <f t="shared" si="222"/>
        <v>On Time/Early</v>
      </c>
      <c r="U1735" t="str">
        <f t="shared" si="223"/>
        <v>Normal</v>
      </c>
      <c r="V1735" t="s">
        <v>102</v>
      </c>
    </row>
    <row r="1736" spans="1:22">
      <c r="A1736" t="s">
        <v>2475</v>
      </c>
      <c r="B1736" s="10">
        <v>43275.79414351852</v>
      </c>
      <c r="C1736" s="10">
        <v>43275.805821759262</v>
      </c>
      <c r="D1736" s="10">
        <v>43276.487500000003</v>
      </c>
      <c r="E1736" s="10">
        <v>43279.638090277775</v>
      </c>
      <c r="F1736" s="10">
        <v>43298</v>
      </c>
      <c r="G1736" t="s">
        <v>8</v>
      </c>
      <c r="H1736" t="s">
        <v>182</v>
      </c>
      <c r="I1736" t="s">
        <v>58</v>
      </c>
      <c r="J1736" s="11">
        <v>3</v>
      </c>
      <c r="K1736" s="12">
        <v>224.7</v>
      </c>
      <c r="L1736" s="12">
        <v>39.54</v>
      </c>
      <c r="M1736" s="13">
        <v>5</v>
      </c>
      <c r="N1736" s="13">
        <f t="shared" si="216"/>
        <v>3.8439467592543224</v>
      </c>
      <c r="O1736" s="13">
        <f t="shared" si="217"/>
        <v>0</v>
      </c>
      <c r="P1736" t="str">
        <f t="shared" si="218"/>
        <v>On Time</v>
      </c>
      <c r="Q1736" s="13">
        <f t="shared" si="219"/>
        <v>0.28027777781244367</v>
      </c>
      <c r="R1736" s="13">
        <f t="shared" si="220"/>
        <v>0.68167824074043892</v>
      </c>
      <c r="S1736" s="13">
        <f t="shared" si="221"/>
        <v>3.1505902777716983</v>
      </c>
      <c r="T1736" t="str">
        <f t="shared" si="222"/>
        <v>On Time/Early</v>
      </c>
      <c r="U1736" t="str">
        <f t="shared" si="223"/>
        <v>Normal</v>
      </c>
      <c r="V1736" t="s">
        <v>102</v>
      </c>
    </row>
    <row r="1737" spans="1:22">
      <c r="A1737" t="s">
        <v>2476</v>
      </c>
      <c r="B1737" s="10">
        <v>43276.369606481479</v>
      </c>
      <c r="C1737" s="10">
        <v>43276.388356481482</v>
      </c>
      <c r="D1737" s="10">
        <v>43276.625694444447</v>
      </c>
      <c r="E1737" s="10">
        <v>43277.766585648147</v>
      </c>
      <c r="F1737" s="10">
        <v>43293</v>
      </c>
      <c r="G1737" t="s">
        <v>8</v>
      </c>
      <c r="H1737" t="s">
        <v>140</v>
      </c>
      <c r="I1737" t="s">
        <v>252</v>
      </c>
      <c r="J1737" s="11">
        <v>1</v>
      </c>
      <c r="K1737" s="12">
        <v>20</v>
      </c>
      <c r="L1737" s="12">
        <v>8.83</v>
      </c>
      <c r="M1737" s="13">
        <v>5</v>
      </c>
      <c r="N1737" s="13">
        <f t="shared" si="216"/>
        <v>1.3969791666677338</v>
      </c>
      <c r="O1737" s="13">
        <f t="shared" si="217"/>
        <v>0</v>
      </c>
      <c r="P1737" t="str">
        <f t="shared" si="218"/>
        <v>On Time</v>
      </c>
      <c r="Q1737" s="13">
        <f t="shared" si="219"/>
        <v>0.45000000006984919</v>
      </c>
      <c r="R1737" s="13">
        <f t="shared" si="220"/>
        <v>0.23733796296437504</v>
      </c>
      <c r="S1737" s="13">
        <f t="shared" si="221"/>
        <v>1.1408912037004484</v>
      </c>
      <c r="T1737" t="str">
        <f t="shared" si="222"/>
        <v>On Time/Early</v>
      </c>
      <c r="U1737" t="str">
        <f t="shared" si="223"/>
        <v>Normal</v>
      </c>
      <c r="V1737" t="s">
        <v>102</v>
      </c>
    </row>
    <row r="1738" spans="1:22">
      <c r="A1738" t="s">
        <v>2477</v>
      </c>
      <c r="B1738" s="10">
        <v>43276.412141203706</v>
      </c>
      <c r="C1738" s="10">
        <v>43276.426458333335</v>
      </c>
      <c r="D1738" s="10">
        <v>43284.279861111114</v>
      </c>
      <c r="E1738" s="10">
        <v>43286.586759259262</v>
      </c>
      <c r="F1738" s="10">
        <v>43301</v>
      </c>
      <c r="G1738" t="s">
        <v>8</v>
      </c>
      <c r="H1738" t="s">
        <v>1309</v>
      </c>
      <c r="I1738" t="s">
        <v>128</v>
      </c>
      <c r="J1738" s="11">
        <v>1</v>
      </c>
      <c r="K1738" s="12">
        <v>99.99</v>
      </c>
      <c r="L1738" s="12">
        <v>15.09</v>
      </c>
      <c r="M1738" s="13">
        <v>5</v>
      </c>
      <c r="N1738" s="13">
        <f t="shared" si="216"/>
        <v>10.174618055556493</v>
      </c>
      <c r="O1738" s="13">
        <f t="shared" si="217"/>
        <v>0</v>
      </c>
      <c r="P1738" t="str">
        <f t="shared" si="218"/>
        <v>On Time</v>
      </c>
      <c r="Q1738" s="13">
        <f t="shared" si="219"/>
        <v>0.343611111107748</v>
      </c>
      <c r="R1738" s="13">
        <f t="shared" si="220"/>
        <v>7.8534027777786832</v>
      </c>
      <c r="S1738" s="13">
        <f t="shared" si="221"/>
        <v>2.3068981481483206</v>
      </c>
      <c r="T1738" t="str">
        <f t="shared" si="222"/>
        <v>On Time/Early</v>
      </c>
      <c r="U1738" t="str">
        <f t="shared" si="223"/>
        <v>Normal</v>
      </c>
      <c r="V1738" t="s">
        <v>102</v>
      </c>
    </row>
    <row r="1739" spans="1:22">
      <c r="A1739" t="s">
        <v>2478</v>
      </c>
      <c r="B1739" s="10">
        <v>43276.418680555558</v>
      </c>
      <c r="C1739" s="10">
        <v>43276.427349537036</v>
      </c>
      <c r="D1739" s="10">
        <v>43277.334722222222</v>
      </c>
      <c r="E1739" s="10">
        <v>43278.754791666666</v>
      </c>
      <c r="F1739" s="10">
        <v>43293</v>
      </c>
      <c r="G1739" t="s">
        <v>8</v>
      </c>
      <c r="H1739" t="s">
        <v>140</v>
      </c>
      <c r="I1739" t="s">
        <v>34</v>
      </c>
      <c r="J1739" s="11">
        <v>1</v>
      </c>
      <c r="K1739" s="12">
        <v>31.6</v>
      </c>
      <c r="L1739" s="12">
        <v>7.48</v>
      </c>
      <c r="M1739" s="13">
        <v>1</v>
      </c>
      <c r="N1739" s="13">
        <f t="shared" si="216"/>
        <v>2.336111111108039</v>
      </c>
      <c r="O1739" s="13">
        <f t="shared" si="217"/>
        <v>0</v>
      </c>
      <c r="P1739" t="str">
        <f t="shared" si="218"/>
        <v>On Time</v>
      </c>
      <c r="Q1739" s="13">
        <f t="shared" si="219"/>
        <v>0.20805555547121912</v>
      </c>
      <c r="R1739" s="13">
        <f t="shared" si="220"/>
        <v>0.90737268518569181</v>
      </c>
      <c r="S1739" s="13">
        <f t="shared" si="221"/>
        <v>1.4200694444443798</v>
      </c>
      <c r="T1739" t="str">
        <f t="shared" si="222"/>
        <v>On Time/Early</v>
      </c>
      <c r="U1739" t="str">
        <f t="shared" si="223"/>
        <v>Normal</v>
      </c>
      <c r="V1739" t="s">
        <v>102</v>
      </c>
    </row>
    <row r="1740" spans="1:22">
      <c r="A1740" t="s">
        <v>2479</v>
      </c>
      <c r="B1740" s="10">
        <v>43276.585729166669</v>
      </c>
      <c r="C1740" s="10">
        <v>43277.234201388892</v>
      </c>
      <c r="D1740" s="10">
        <v>43277.48541666667</v>
      </c>
      <c r="E1740" s="10">
        <v>43278.804629629631</v>
      </c>
      <c r="F1740" s="10">
        <v>43286</v>
      </c>
      <c r="G1740" t="s">
        <v>8</v>
      </c>
      <c r="H1740" t="s">
        <v>1207</v>
      </c>
      <c r="I1740" t="s">
        <v>221</v>
      </c>
      <c r="J1740" s="11">
        <v>1</v>
      </c>
      <c r="K1740" s="12">
        <v>78</v>
      </c>
      <c r="L1740" s="12">
        <v>7.81</v>
      </c>
      <c r="M1740" s="13">
        <v>5</v>
      </c>
      <c r="N1740" s="13">
        <f t="shared" si="216"/>
        <v>2.2189004629617557</v>
      </c>
      <c r="O1740" s="13">
        <f t="shared" si="217"/>
        <v>0</v>
      </c>
      <c r="P1740" t="str">
        <f t="shared" si="218"/>
        <v>On Time</v>
      </c>
      <c r="Q1740" s="13">
        <f t="shared" si="219"/>
        <v>15.563333333353512</v>
      </c>
      <c r="R1740" s="13">
        <f t="shared" si="220"/>
        <v>0.25121527777810115</v>
      </c>
      <c r="S1740" s="13">
        <f t="shared" si="221"/>
        <v>1.3192129629605915</v>
      </c>
      <c r="T1740" t="str">
        <f t="shared" si="222"/>
        <v>On Time/Early</v>
      </c>
      <c r="U1740" t="str">
        <f t="shared" si="223"/>
        <v>Normal</v>
      </c>
      <c r="V1740" t="s">
        <v>102</v>
      </c>
    </row>
    <row r="1741" spans="1:22">
      <c r="A1741" t="s">
        <v>2480</v>
      </c>
      <c r="B1741" s="10">
        <v>43276.660219907404</v>
      </c>
      <c r="C1741" s="10">
        <v>43276.677465277775</v>
      </c>
      <c r="D1741" s="10">
        <v>43280.688888888886</v>
      </c>
      <c r="E1741" s="10">
        <v>43283.382951388892</v>
      </c>
      <c r="F1741" s="10">
        <v>43305</v>
      </c>
      <c r="G1741" t="s">
        <v>320</v>
      </c>
      <c r="H1741" t="s">
        <v>321</v>
      </c>
      <c r="I1741" t="s">
        <v>180</v>
      </c>
      <c r="J1741" s="11">
        <v>1</v>
      </c>
      <c r="K1741" s="12">
        <v>26.9</v>
      </c>
      <c r="L1741" s="12">
        <v>18.29</v>
      </c>
      <c r="M1741" s="13">
        <v>5</v>
      </c>
      <c r="N1741" s="13">
        <f t="shared" si="216"/>
        <v>6.7227314814881538</v>
      </c>
      <c r="O1741" s="13">
        <f t="shared" si="217"/>
        <v>0</v>
      </c>
      <c r="P1741" t="str">
        <f t="shared" si="218"/>
        <v>On Time</v>
      </c>
      <c r="Q1741" s="13">
        <f t="shared" si="219"/>
        <v>0.41388888889923692</v>
      </c>
      <c r="R1741" s="13">
        <f t="shared" si="220"/>
        <v>4.0114236111112405</v>
      </c>
      <c r="S1741" s="13">
        <f t="shared" si="221"/>
        <v>2.6940625000061118</v>
      </c>
      <c r="T1741" t="str">
        <f t="shared" si="222"/>
        <v>On Time/Early</v>
      </c>
      <c r="U1741" t="str">
        <f t="shared" si="223"/>
        <v>Normal</v>
      </c>
      <c r="V1741" t="s">
        <v>102</v>
      </c>
    </row>
    <row r="1742" spans="1:22">
      <c r="A1742" t="s">
        <v>2481</v>
      </c>
      <c r="B1742" s="10">
        <v>43276.676817129628</v>
      </c>
      <c r="C1742" s="10">
        <v>43278.354687500003</v>
      </c>
      <c r="D1742" s="10">
        <v>43278.543749999997</v>
      </c>
      <c r="E1742" s="10">
        <v>43284.968530092592</v>
      </c>
      <c r="F1742" s="10">
        <v>43299</v>
      </c>
      <c r="G1742" t="s">
        <v>320</v>
      </c>
      <c r="H1742" t="s">
        <v>321</v>
      </c>
      <c r="I1742" t="s">
        <v>180</v>
      </c>
      <c r="J1742" s="11">
        <v>1</v>
      </c>
      <c r="K1742" s="12">
        <v>55.9</v>
      </c>
      <c r="L1742" s="12">
        <v>23.19</v>
      </c>
      <c r="M1742" s="13">
        <v>4</v>
      </c>
      <c r="N1742" s="13">
        <f t="shared" si="216"/>
        <v>8.291712962964084</v>
      </c>
      <c r="O1742" s="13">
        <f t="shared" si="217"/>
        <v>0</v>
      </c>
      <c r="P1742" t="str">
        <f t="shared" si="218"/>
        <v>On Time</v>
      </c>
      <c r="Q1742" s="13">
        <f t="shared" si="219"/>
        <v>40.268888888997026</v>
      </c>
      <c r="R1742" s="13">
        <f t="shared" si="220"/>
        <v>0.18906249999417923</v>
      </c>
      <c r="S1742" s="13">
        <f t="shared" si="221"/>
        <v>6.4247800925950287</v>
      </c>
      <c r="T1742" t="str">
        <f t="shared" si="222"/>
        <v>On Time/Early</v>
      </c>
      <c r="U1742" t="str">
        <f t="shared" si="223"/>
        <v>Normal</v>
      </c>
      <c r="V1742" t="s">
        <v>102</v>
      </c>
    </row>
    <row r="1743" spans="1:22">
      <c r="A1743" t="s">
        <v>2482</v>
      </c>
      <c r="B1743" s="10">
        <v>43276.719768518517</v>
      </c>
      <c r="C1743" s="10">
        <v>43276.732222222221</v>
      </c>
      <c r="D1743" s="10">
        <v>43277.477777777778</v>
      </c>
      <c r="E1743" s="10">
        <v>43293.434548611112</v>
      </c>
      <c r="F1743" s="10">
        <v>43311</v>
      </c>
      <c r="G1743" t="s">
        <v>16</v>
      </c>
      <c r="H1743" t="s">
        <v>2483</v>
      </c>
      <c r="I1743" t="s">
        <v>136</v>
      </c>
      <c r="J1743" s="11">
        <v>1</v>
      </c>
      <c r="K1743" s="12">
        <v>289</v>
      </c>
      <c r="L1743" s="12">
        <v>70.17</v>
      </c>
      <c r="M1743" s="13">
        <v>5</v>
      </c>
      <c r="N1743" s="13">
        <f t="shared" si="216"/>
        <v>16.714780092595902</v>
      </c>
      <c r="O1743" s="13">
        <f t="shared" si="217"/>
        <v>0</v>
      </c>
      <c r="P1743" t="str">
        <f t="shared" si="218"/>
        <v>On Time</v>
      </c>
      <c r="Q1743" s="13">
        <f t="shared" si="219"/>
        <v>0.29888888890855014</v>
      </c>
      <c r="R1743" s="13">
        <f t="shared" si="220"/>
        <v>0.74555555555707542</v>
      </c>
      <c r="S1743" s="13">
        <f t="shared" si="221"/>
        <v>15.956770833334303</v>
      </c>
      <c r="T1743" t="str">
        <f t="shared" si="222"/>
        <v>On Time/Early</v>
      </c>
      <c r="U1743" t="str">
        <f t="shared" si="223"/>
        <v>Normal</v>
      </c>
      <c r="V1743" t="s">
        <v>102</v>
      </c>
    </row>
    <row r="1744" spans="1:22">
      <c r="A1744" t="s">
        <v>2484</v>
      </c>
      <c r="B1744" s="10">
        <v>43276.806030092594</v>
      </c>
      <c r="C1744" s="10">
        <v>43276.821053240739</v>
      </c>
      <c r="D1744" s="10">
        <v>43278.432638888888</v>
      </c>
      <c r="E1744" s="10">
        <v>43294.707245370373</v>
      </c>
      <c r="F1744" s="10">
        <v>43300</v>
      </c>
      <c r="G1744" t="s">
        <v>16</v>
      </c>
      <c r="H1744" t="s">
        <v>563</v>
      </c>
      <c r="I1744" t="s">
        <v>101</v>
      </c>
      <c r="J1744" s="11">
        <v>1</v>
      </c>
      <c r="K1744" s="12">
        <v>78</v>
      </c>
      <c r="L1744" s="12">
        <v>41.53</v>
      </c>
      <c r="M1744" s="13">
        <v>4</v>
      </c>
      <c r="N1744" s="13">
        <f t="shared" si="216"/>
        <v>17.901215277779556</v>
      </c>
      <c r="O1744" s="13">
        <f t="shared" si="217"/>
        <v>0</v>
      </c>
      <c r="P1744" t="str">
        <f t="shared" si="218"/>
        <v>On Time</v>
      </c>
      <c r="Q1744" s="13">
        <f t="shared" si="219"/>
        <v>0.36055555549683049</v>
      </c>
      <c r="R1744" s="13">
        <f t="shared" si="220"/>
        <v>1.6115856481483206</v>
      </c>
      <c r="S1744" s="13">
        <f t="shared" si="221"/>
        <v>16.274606481485534</v>
      </c>
      <c r="T1744" t="str">
        <f t="shared" si="222"/>
        <v>On Time/Early</v>
      </c>
      <c r="U1744" t="str">
        <f t="shared" si="223"/>
        <v>Normal</v>
      </c>
      <c r="V1744" t="s">
        <v>102</v>
      </c>
    </row>
    <row r="1745" spans="1:22">
      <c r="A1745" t="s">
        <v>2485</v>
      </c>
      <c r="B1745" s="10">
        <v>43276.886087962965</v>
      </c>
      <c r="C1745" s="10">
        <v>43276.901192129626</v>
      </c>
      <c r="D1745" s="10">
        <v>43277.45</v>
      </c>
      <c r="E1745" s="10">
        <v>43287.549537037034</v>
      </c>
      <c r="F1745" s="10">
        <v>43300</v>
      </c>
      <c r="G1745" t="s">
        <v>20</v>
      </c>
      <c r="H1745" t="s">
        <v>2486</v>
      </c>
      <c r="I1745" t="s">
        <v>221</v>
      </c>
      <c r="J1745" s="11">
        <v>1</v>
      </c>
      <c r="K1745" s="12">
        <v>55</v>
      </c>
      <c r="L1745" s="12">
        <v>18.489999999999998</v>
      </c>
      <c r="M1745" s="13">
        <v>5</v>
      </c>
      <c r="N1745" s="13">
        <f t="shared" si="216"/>
        <v>10.663449074068922</v>
      </c>
      <c r="O1745" s="13">
        <f t="shared" si="217"/>
        <v>0</v>
      </c>
      <c r="P1745" t="str">
        <f t="shared" si="218"/>
        <v>On Time</v>
      </c>
      <c r="Q1745" s="13">
        <f t="shared" si="219"/>
        <v>0.36249999987194315</v>
      </c>
      <c r="R1745" s="13">
        <f t="shared" si="220"/>
        <v>0.54880787037109258</v>
      </c>
      <c r="S1745" s="13">
        <f t="shared" si="221"/>
        <v>10.099537037036498</v>
      </c>
      <c r="T1745" t="str">
        <f t="shared" si="222"/>
        <v>On Time/Early</v>
      </c>
      <c r="U1745" t="str">
        <f t="shared" si="223"/>
        <v>Normal</v>
      </c>
      <c r="V1745" t="s">
        <v>102</v>
      </c>
    </row>
    <row r="1746" spans="1:22">
      <c r="A1746" t="s">
        <v>2487</v>
      </c>
      <c r="B1746" s="10">
        <v>43276.94771990741</v>
      </c>
      <c r="C1746" s="10">
        <v>43276.967060185183</v>
      </c>
      <c r="D1746" s="10">
        <v>43277.477777777778</v>
      </c>
      <c r="E1746" s="10">
        <v>43285.853229166663</v>
      </c>
      <c r="F1746" s="10">
        <v>43308</v>
      </c>
      <c r="G1746" t="s">
        <v>50</v>
      </c>
      <c r="H1746" t="s">
        <v>414</v>
      </c>
      <c r="I1746" t="s">
        <v>58</v>
      </c>
      <c r="J1746" s="11">
        <v>1</v>
      </c>
      <c r="K1746" s="12">
        <v>66.989999999999995</v>
      </c>
      <c r="L1746" s="12">
        <v>15.57</v>
      </c>
      <c r="M1746" s="13">
        <v>5</v>
      </c>
      <c r="N1746" s="13">
        <f t="shared" si="216"/>
        <v>8.9055092592534493</v>
      </c>
      <c r="O1746" s="13">
        <f t="shared" si="217"/>
        <v>0</v>
      </c>
      <c r="P1746" t="str">
        <f t="shared" si="218"/>
        <v>On Time</v>
      </c>
      <c r="Q1746" s="13">
        <f t="shared" si="219"/>
        <v>0.46416666655568406</v>
      </c>
      <c r="R1746" s="13">
        <f t="shared" si="220"/>
        <v>0.51071759259502869</v>
      </c>
      <c r="S1746" s="13">
        <f t="shared" si="221"/>
        <v>8.3754513888852671</v>
      </c>
      <c r="T1746" t="str">
        <f t="shared" si="222"/>
        <v>On Time/Early</v>
      </c>
      <c r="U1746" t="str">
        <f t="shared" si="223"/>
        <v>Normal</v>
      </c>
      <c r="V1746" t="s">
        <v>102</v>
      </c>
    </row>
    <row r="1747" spans="1:22">
      <c r="A1747" t="s">
        <v>2488</v>
      </c>
      <c r="B1747" s="10">
        <v>43277.65042824074</v>
      </c>
      <c r="C1747" s="10">
        <v>43277.664502314816</v>
      </c>
      <c r="D1747" s="10">
        <v>43279.506944444445</v>
      </c>
      <c r="E1747" s="10">
        <v>43285.899062500001</v>
      </c>
      <c r="F1747" s="10">
        <v>43308</v>
      </c>
      <c r="G1747" t="s">
        <v>8</v>
      </c>
      <c r="H1747" t="s">
        <v>140</v>
      </c>
      <c r="I1747" t="s">
        <v>58</v>
      </c>
      <c r="J1747" s="11">
        <v>1</v>
      </c>
      <c r="K1747" s="12">
        <v>41.8</v>
      </c>
      <c r="L1747" s="12">
        <v>18.39</v>
      </c>
      <c r="M1747" s="13">
        <v>5</v>
      </c>
      <c r="N1747" s="13">
        <f t="shared" si="216"/>
        <v>8.2486342592601432</v>
      </c>
      <c r="O1747" s="13">
        <f t="shared" si="217"/>
        <v>0</v>
      </c>
      <c r="P1747" t="str">
        <f t="shared" si="218"/>
        <v>On Time</v>
      </c>
      <c r="Q1747" s="13">
        <f t="shared" si="219"/>
        <v>0.33777777780778706</v>
      </c>
      <c r="R1747" s="13">
        <f t="shared" si="220"/>
        <v>1.8424421296294895</v>
      </c>
      <c r="S1747" s="13">
        <f t="shared" si="221"/>
        <v>6.3921180555553292</v>
      </c>
      <c r="T1747" t="str">
        <f t="shared" si="222"/>
        <v>On Time/Early</v>
      </c>
      <c r="U1747" t="str">
        <f t="shared" si="223"/>
        <v>Normal</v>
      </c>
      <c r="V1747" t="s">
        <v>102</v>
      </c>
    </row>
    <row r="1748" spans="1:22">
      <c r="A1748" t="s">
        <v>2489</v>
      </c>
      <c r="B1748" s="10">
        <v>43277.737893518519</v>
      </c>
      <c r="C1748" s="10">
        <v>43277.749386574076</v>
      </c>
      <c r="D1748" s="10">
        <v>43278.368055555555</v>
      </c>
      <c r="E1748" s="10">
        <v>43286.72483796296</v>
      </c>
      <c r="F1748" s="10">
        <v>43308</v>
      </c>
      <c r="G1748" t="s">
        <v>20</v>
      </c>
      <c r="H1748" t="s">
        <v>104</v>
      </c>
      <c r="I1748" t="s">
        <v>58</v>
      </c>
      <c r="J1748" s="11">
        <v>1</v>
      </c>
      <c r="K1748" s="12">
        <v>122.99</v>
      </c>
      <c r="L1748" s="12">
        <v>25.21</v>
      </c>
      <c r="M1748" s="13">
        <v>4</v>
      </c>
      <c r="N1748" s="13">
        <f t="shared" si="216"/>
        <v>8.9869444444411783</v>
      </c>
      <c r="O1748" s="13">
        <f t="shared" si="217"/>
        <v>0</v>
      </c>
      <c r="P1748" t="str">
        <f t="shared" si="218"/>
        <v>On Time</v>
      </c>
      <c r="Q1748" s="13">
        <f t="shared" si="219"/>
        <v>0.27583333337679505</v>
      </c>
      <c r="R1748" s="13">
        <f t="shared" si="220"/>
        <v>0.61866898147854954</v>
      </c>
      <c r="S1748" s="13">
        <f t="shared" si="221"/>
        <v>8.3567824074052623</v>
      </c>
      <c r="T1748" t="str">
        <f t="shared" si="222"/>
        <v>On Time/Early</v>
      </c>
      <c r="U1748" t="str">
        <f t="shared" si="223"/>
        <v>Normal</v>
      </c>
      <c r="V1748" t="s">
        <v>102</v>
      </c>
    </row>
    <row r="1749" spans="1:22">
      <c r="A1749" t="s">
        <v>2490</v>
      </c>
      <c r="B1749" s="10">
        <v>43277.752256944441</v>
      </c>
      <c r="C1749" s="10">
        <v>43277.763009259259</v>
      </c>
      <c r="D1749" s="10">
        <v>43278.547222222223</v>
      </c>
      <c r="E1749" s="10">
        <v>43280.697812500002</v>
      </c>
      <c r="F1749" s="10">
        <v>43298</v>
      </c>
      <c r="G1749" t="s">
        <v>20</v>
      </c>
      <c r="H1749" t="s">
        <v>391</v>
      </c>
      <c r="I1749" t="s">
        <v>112</v>
      </c>
      <c r="J1749" s="11">
        <v>1</v>
      </c>
      <c r="K1749" s="12">
        <v>82.64</v>
      </c>
      <c r="L1749" s="12">
        <v>15.65</v>
      </c>
      <c r="M1749" s="13">
        <v>5</v>
      </c>
      <c r="N1749" s="13">
        <f t="shared" si="216"/>
        <v>2.945555555561441</v>
      </c>
      <c r="O1749" s="13">
        <f t="shared" si="217"/>
        <v>0</v>
      </c>
      <c r="P1749" t="str">
        <f t="shared" si="218"/>
        <v>On Time</v>
      </c>
      <c r="Q1749" s="13">
        <f t="shared" si="219"/>
        <v>0.25805555563420057</v>
      </c>
      <c r="R1749" s="13">
        <f t="shared" si="220"/>
        <v>0.78421296296437504</v>
      </c>
      <c r="S1749" s="13">
        <f t="shared" si="221"/>
        <v>2.1505902777789743</v>
      </c>
      <c r="T1749" t="str">
        <f t="shared" si="222"/>
        <v>On Time/Early</v>
      </c>
      <c r="U1749" t="str">
        <f t="shared" si="223"/>
        <v>Normal</v>
      </c>
      <c r="V1749" t="s">
        <v>102</v>
      </c>
    </row>
    <row r="1750" spans="1:22">
      <c r="A1750" t="s">
        <v>2491</v>
      </c>
      <c r="B1750" s="10">
        <v>43278.553530092591</v>
      </c>
      <c r="C1750" s="10">
        <v>43279.368726851855</v>
      </c>
      <c r="D1750" s="10">
        <v>43280.624305555553</v>
      </c>
      <c r="E1750" s="10">
        <v>43293.972048611111</v>
      </c>
      <c r="F1750" s="10">
        <v>43301</v>
      </c>
      <c r="G1750" t="s">
        <v>8</v>
      </c>
      <c r="H1750" t="s">
        <v>140</v>
      </c>
      <c r="I1750" t="s">
        <v>58</v>
      </c>
      <c r="J1750" s="11">
        <v>4</v>
      </c>
      <c r="K1750" s="12">
        <v>360</v>
      </c>
      <c r="L1750" s="12">
        <v>82.32</v>
      </c>
      <c r="M1750" s="13">
        <v>3</v>
      </c>
      <c r="N1750" s="13">
        <f t="shared" si="216"/>
        <v>15.418518518519704</v>
      </c>
      <c r="O1750" s="13">
        <f t="shared" si="217"/>
        <v>0</v>
      </c>
      <c r="P1750" t="str">
        <f t="shared" si="218"/>
        <v>On Time</v>
      </c>
      <c r="Q1750" s="13">
        <f t="shared" si="219"/>
        <v>19.56472222233424</v>
      </c>
      <c r="R1750" s="13">
        <f t="shared" si="220"/>
        <v>1.2555787036981201</v>
      </c>
      <c r="S1750" s="13">
        <f t="shared" si="221"/>
        <v>13.347743055557657</v>
      </c>
      <c r="T1750" t="str">
        <f t="shared" si="222"/>
        <v>On Time/Early</v>
      </c>
      <c r="U1750" t="str">
        <f t="shared" si="223"/>
        <v>Normal</v>
      </c>
      <c r="V1750" t="s">
        <v>102</v>
      </c>
    </row>
    <row r="1751" spans="1:22">
      <c r="A1751" t="s">
        <v>2492</v>
      </c>
      <c r="B1751" s="10">
        <v>43278.752615740741</v>
      </c>
      <c r="C1751" s="10">
        <v>43278.772002314814</v>
      </c>
      <c r="D1751" s="10">
        <v>43279.550694444442</v>
      </c>
      <c r="E1751" s="10">
        <v>43284.614236111112</v>
      </c>
      <c r="F1751" s="10">
        <v>43305</v>
      </c>
      <c r="G1751" t="s">
        <v>8</v>
      </c>
      <c r="H1751" t="s">
        <v>179</v>
      </c>
      <c r="I1751" t="s">
        <v>162</v>
      </c>
      <c r="J1751" s="11">
        <v>1</v>
      </c>
      <c r="K1751" s="12">
        <v>425.99</v>
      </c>
      <c r="L1751" s="12">
        <v>27.14</v>
      </c>
      <c r="M1751" s="13">
        <v>3</v>
      </c>
      <c r="N1751" s="13">
        <f t="shared" si="216"/>
        <v>5.8616203703713836</v>
      </c>
      <c r="O1751" s="13">
        <f t="shared" si="217"/>
        <v>0</v>
      </c>
      <c r="P1751" t="str">
        <f t="shared" si="218"/>
        <v>On Time</v>
      </c>
      <c r="Q1751" s="13">
        <f t="shared" si="219"/>
        <v>0.46527777775190771</v>
      </c>
      <c r="R1751" s="13">
        <f t="shared" si="220"/>
        <v>0.77869212962832535</v>
      </c>
      <c r="S1751" s="13">
        <f t="shared" si="221"/>
        <v>5.0635416666700621</v>
      </c>
      <c r="T1751" t="str">
        <f t="shared" si="222"/>
        <v>On Time/Early</v>
      </c>
      <c r="U1751" t="str">
        <f t="shared" si="223"/>
        <v>Normal</v>
      </c>
      <c r="V1751" t="s">
        <v>102</v>
      </c>
    </row>
    <row r="1752" spans="1:22">
      <c r="A1752" t="s">
        <v>2493</v>
      </c>
      <c r="B1752" s="10">
        <v>43279.386203703703</v>
      </c>
      <c r="C1752" s="10">
        <v>43280.120324074072</v>
      </c>
      <c r="D1752" s="10">
        <v>43280.625694444447</v>
      </c>
      <c r="E1752" s="10">
        <v>43285.963090277779</v>
      </c>
      <c r="F1752" s="10">
        <v>43306</v>
      </c>
      <c r="G1752" t="s">
        <v>20</v>
      </c>
      <c r="H1752" t="s">
        <v>104</v>
      </c>
      <c r="I1752" t="s">
        <v>120</v>
      </c>
      <c r="J1752" s="11">
        <v>5</v>
      </c>
      <c r="K1752" s="12">
        <v>375</v>
      </c>
      <c r="L1752" s="12">
        <v>87.3</v>
      </c>
      <c r="M1752" s="13">
        <v>3</v>
      </c>
      <c r="N1752" s="13">
        <f t="shared" si="216"/>
        <v>6.5768865740756155</v>
      </c>
      <c r="O1752" s="13">
        <f t="shared" si="217"/>
        <v>0</v>
      </c>
      <c r="P1752" t="str">
        <f t="shared" si="218"/>
        <v>On Time</v>
      </c>
      <c r="Q1752" s="13">
        <f t="shared" si="219"/>
        <v>17.618888888857327</v>
      </c>
      <c r="R1752" s="13">
        <f t="shared" si="220"/>
        <v>0.505370370374294</v>
      </c>
      <c r="S1752" s="13">
        <f t="shared" si="221"/>
        <v>5.3373958333322662</v>
      </c>
      <c r="T1752" t="str">
        <f t="shared" si="222"/>
        <v>On Time/Early</v>
      </c>
      <c r="U1752" t="str">
        <f t="shared" si="223"/>
        <v>Normal</v>
      </c>
      <c r="V1752" t="s">
        <v>102</v>
      </c>
    </row>
    <row r="1753" spans="1:22">
      <c r="A1753" t="s">
        <v>2494</v>
      </c>
      <c r="B1753" s="10">
        <v>43279.796354166669</v>
      </c>
      <c r="C1753" s="10">
        <v>43279.812395833331</v>
      </c>
      <c r="D1753" s="10">
        <v>43291.616666666669</v>
      </c>
      <c r="E1753" s="10">
        <v>43295.5158912037</v>
      </c>
      <c r="F1753" s="10">
        <v>43299</v>
      </c>
      <c r="G1753" t="s">
        <v>8</v>
      </c>
      <c r="H1753" t="s">
        <v>140</v>
      </c>
      <c r="I1753" t="s">
        <v>101</v>
      </c>
      <c r="J1753" s="11">
        <v>4</v>
      </c>
      <c r="K1753" s="12">
        <v>245</v>
      </c>
      <c r="L1753" s="12">
        <v>161.78</v>
      </c>
      <c r="M1753" s="13">
        <v>5</v>
      </c>
      <c r="N1753" s="13">
        <f t="shared" si="216"/>
        <v>15.719537037031841</v>
      </c>
      <c r="O1753" s="13">
        <f t="shared" si="217"/>
        <v>0</v>
      </c>
      <c r="P1753" t="str">
        <f t="shared" si="218"/>
        <v>On Time</v>
      </c>
      <c r="Q1753" s="13">
        <f t="shared" si="219"/>
        <v>0.3849999998928979</v>
      </c>
      <c r="R1753" s="13">
        <f t="shared" si="220"/>
        <v>11.804270833337796</v>
      </c>
      <c r="S1753" s="13">
        <f t="shared" si="221"/>
        <v>3.8992245370318415</v>
      </c>
      <c r="T1753" t="str">
        <f t="shared" si="222"/>
        <v>On Time/Early</v>
      </c>
      <c r="U1753" t="str">
        <f t="shared" si="223"/>
        <v>Normal</v>
      </c>
      <c r="V1753" t="s">
        <v>102</v>
      </c>
    </row>
    <row r="1754" spans="1:22">
      <c r="A1754" t="s">
        <v>2495</v>
      </c>
      <c r="B1754" s="10">
        <v>43280.302569444444</v>
      </c>
      <c r="C1754" s="10">
        <v>43280.333784722221</v>
      </c>
      <c r="D1754" s="10">
        <v>43280.499305555553</v>
      </c>
      <c r="E1754" s="10">
        <v>43286.855590277781</v>
      </c>
      <c r="F1754" s="10">
        <v>43312</v>
      </c>
      <c r="G1754" t="s">
        <v>20</v>
      </c>
      <c r="H1754" t="s">
        <v>104</v>
      </c>
      <c r="I1754" t="s">
        <v>120</v>
      </c>
      <c r="J1754" s="11">
        <v>1</v>
      </c>
      <c r="K1754" s="12">
        <v>439</v>
      </c>
      <c r="L1754" s="12">
        <v>71.22</v>
      </c>
      <c r="M1754" s="13">
        <v>5</v>
      </c>
      <c r="N1754" s="13">
        <f t="shared" si="216"/>
        <v>6.5530208333366318</v>
      </c>
      <c r="O1754" s="13">
        <f t="shared" si="217"/>
        <v>0</v>
      </c>
      <c r="P1754" t="str">
        <f t="shared" si="218"/>
        <v>On Time</v>
      </c>
      <c r="Q1754" s="13">
        <f t="shared" si="219"/>
        <v>0.74916666664648801</v>
      </c>
      <c r="R1754" s="13">
        <f t="shared" si="220"/>
        <v>0.16552083333226619</v>
      </c>
      <c r="S1754" s="13">
        <f t="shared" si="221"/>
        <v>6.3562847222274286</v>
      </c>
      <c r="T1754" t="str">
        <f t="shared" si="222"/>
        <v>On Time/Early</v>
      </c>
      <c r="U1754" t="str">
        <f t="shared" si="223"/>
        <v>Normal</v>
      </c>
      <c r="V1754" t="s">
        <v>102</v>
      </c>
    </row>
    <row r="1755" spans="1:22">
      <c r="A1755" t="s">
        <v>2496</v>
      </c>
      <c r="B1755" s="10">
        <v>43280.447418981479</v>
      </c>
      <c r="C1755" s="10">
        <v>43280.466354166667</v>
      </c>
      <c r="D1755" s="10">
        <v>43284.568749999999</v>
      </c>
      <c r="E1755" s="10">
        <v>43290.561423611114</v>
      </c>
      <c r="F1755" s="10">
        <v>43306</v>
      </c>
      <c r="G1755" t="s">
        <v>33</v>
      </c>
      <c r="H1755" t="s">
        <v>743</v>
      </c>
      <c r="I1755" t="s">
        <v>58</v>
      </c>
      <c r="J1755" s="11">
        <v>1</v>
      </c>
      <c r="K1755" s="12">
        <v>219.9</v>
      </c>
      <c r="L1755" s="12">
        <v>24.34</v>
      </c>
      <c r="M1755" s="13">
        <v>5</v>
      </c>
      <c r="N1755" s="13">
        <f t="shared" si="216"/>
        <v>10.114004629635019</v>
      </c>
      <c r="O1755" s="13">
        <f t="shared" si="217"/>
        <v>0</v>
      </c>
      <c r="P1755" t="str">
        <f t="shared" si="218"/>
        <v>On Time</v>
      </c>
      <c r="Q1755" s="13">
        <f t="shared" si="219"/>
        <v>0.45444444450549781</v>
      </c>
      <c r="R1755" s="13">
        <f t="shared" si="220"/>
        <v>4.1023958333316841</v>
      </c>
      <c r="S1755" s="13">
        <f t="shared" si="221"/>
        <v>5.992673611115606</v>
      </c>
      <c r="T1755" t="str">
        <f t="shared" si="222"/>
        <v>On Time/Early</v>
      </c>
      <c r="U1755" t="str">
        <f t="shared" si="223"/>
        <v>Normal</v>
      </c>
      <c r="V1755" t="s">
        <v>102</v>
      </c>
    </row>
    <row r="1756" spans="1:22">
      <c r="A1756" t="s">
        <v>2497</v>
      </c>
      <c r="B1756" s="10">
        <v>43280.686585648145</v>
      </c>
      <c r="C1756" s="10">
        <v>43280.702314814815</v>
      </c>
      <c r="D1756" s="10">
        <v>43280.615972222222</v>
      </c>
      <c r="E1756" s="10">
        <v>43284.614270833335</v>
      </c>
      <c r="F1756" s="10">
        <v>43298</v>
      </c>
      <c r="G1756" t="s">
        <v>8</v>
      </c>
      <c r="H1756" t="s">
        <v>140</v>
      </c>
      <c r="I1756" t="s">
        <v>1440</v>
      </c>
      <c r="J1756" s="11">
        <v>1</v>
      </c>
      <c r="K1756" s="12">
        <v>33.49</v>
      </c>
      <c r="L1756" s="12">
        <v>7.97</v>
      </c>
      <c r="M1756" s="13">
        <v>5</v>
      </c>
      <c r="N1756" s="13">
        <f t="shared" si="216"/>
        <v>3.9276851851900574</v>
      </c>
      <c r="O1756" s="13">
        <f t="shared" si="217"/>
        <v>0</v>
      </c>
      <c r="P1756" t="str">
        <f t="shared" si="218"/>
        <v>On Time</v>
      </c>
      <c r="Q1756" s="13">
        <f t="shared" si="219"/>
        <v>0.37750000006053597</v>
      </c>
      <c r="R1756" s="13">
        <f t="shared" si="220"/>
        <v>-8.6342592592700385E-2</v>
      </c>
      <c r="S1756" s="13">
        <f t="shared" si="221"/>
        <v>3.9982986111135688</v>
      </c>
      <c r="T1756" t="str">
        <f t="shared" si="222"/>
        <v>On Time/Early</v>
      </c>
      <c r="U1756" t="str">
        <f t="shared" si="223"/>
        <v>Normal</v>
      </c>
      <c r="V1756" t="s">
        <v>102</v>
      </c>
    </row>
    <row r="1757" spans="1:22">
      <c r="A1757" t="s">
        <v>2498</v>
      </c>
      <c r="B1757" s="10">
        <v>43280.690358796295</v>
      </c>
      <c r="C1757" s="10">
        <v>43280.70244212963</v>
      </c>
      <c r="D1757" s="10">
        <v>43285.618055555555</v>
      </c>
      <c r="E1757" s="10">
        <v>43287.707349537035</v>
      </c>
      <c r="F1757" s="10">
        <v>43305</v>
      </c>
      <c r="G1757" t="s">
        <v>8</v>
      </c>
      <c r="H1757" t="s">
        <v>1184</v>
      </c>
      <c r="I1757" t="s">
        <v>136</v>
      </c>
      <c r="J1757" s="11">
        <v>1</v>
      </c>
      <c r="K1757" s="12">
        <v>69.900000000000006</v>
      </c>
      <c r="L1757" s="12">
        <v>17.62</v>
      </c>
      <c r="M1757" s="13">
        <v>4</v>
      </c>
      <c r="N1757" s="13">
        <f t="shared" si="216"/>
        <v>7.0169907407398568</v>
      </c>
      <c r="O1757" s="13">
        <f t="shared" si="217"/>
        <v>0</v>
      </c>
      <c r="P1757" t="str">
        <f t="shared" si="218"/>
        <v>On Time</v>
      </c>
      <c r="Q1757" s="13">
        <f t="shared" si="219"/>
        <v>0.2900000000372529</v>
      </c>
      <c r="R1757" s="13">
        <f t="shared" si="220"/>
        <v>4.9156134259246755</v>
      </c>
      <c r="S1757" s="13">
        <f t="shared" si="221"/>
        <v>2.0892939814802958</v>
      </c>
      <c r="T1757" t="str">
        <f t="shared" si="222"/>
        <v>On Time/Early</v>
      </c>
      <c r="U1757" t="str">
        <f t="shared" si="223"/>
        <v>Normal</v>
      </c>
      <c r="V1757" t="s">
        <v>102</v>
      </c>
    </row>
    <row r="1758" spans="1:22">
      <c r="A1758" t="s">
        <v>2499</v>
      </c>
      <c r="B1758" s="10">
        <v>43281.908854166664</v>
      </c>
      <c r="C1758" s="10">
        <v>43282.909733796296</v>
      </c>
      <c r="D1758" s="10">
        <v>43284.46875</v>
      </c>
      <c r="E1758" s="10">
        <v>43293.645011574074</v>
      </c>
      <c r="F1758" s="10">
        <v>43313</v>
      </c>
      <c r="G1758" t="s">
        <v>16</v>
      </c>
      <c r="H1758" t="s">
        <v>2500</v>
      </c>
      <c r="I1758" t="s">
        <v>141</v>
      </c>
      <c r="J1758" s="11">
        <v>1</v>
      </c>
      <c r="K1758" s="12">
        <v>138</v>
      </c>
      <c r="L1758" s="12">
        <v>60.2</v>
      </c>
      <c r="M1758" s="13">
        <v>5</v>
      </c>
      <c r="N1758" s="13">
        <f t="shared" si="216"/>
        <v>11.736157407409337</v>
      </c>
      <c r="O1758" s="13">
        <f t="shared" si="217"/>
        <v>0</v>
      </c>
      <c r="P1758" t="str">
        <f t="shared" si="218"/>
        <v>On Time</v>
      </c>
      <c r="Q1758" s="13">
        <f t="shared" si="219"/>
        <v>24.021111111156642</v>
      </c>
      <c r="R1758" s="13">
        <f t="shared" si="220"/>
        <v>1.5590162037042319</v>
      </c>
      <c r="S1758" s="13">
        <f t="shared" si="221"/>
        <v>9.1762615740735782</v>
      </c>
      <c r="T1758" t="str">
        <f t="shared" si="222"/>
        <v>On Time/Early</v>
      </c>
      <c r="U1758" t="str">
        <f t="shared" si="223"/>
        <v>Normal</v>
      </c>
      <c r="V1758" t="s">
        <v>102</v>
      </c>
    </row>
    <row r="1759" spans="1:22">
      <c r="A1759" t="s">
        <v>2501</v>
      </c>
      <c r="B1759" s="10">
        <v>43282.686736111114</v>
      </c>
      <c r="C1759" s="10">
        <v>43282.701261574075</v>
      </c>
      <c r="D1759" s="10">
        <v>43284.341666666667</v>
      </c>
      <c r="E1759" s="10">
        <v>43285.06449074074</v>
      </c>
      <c r="F1759" s="10">
        <v>43304</v>
      </c>
      <c r="G1759" t="s">
        <v>8</v>
      </c>
      <c r="H1759" t="s">
        <v>140</v>
      </c>
      <c r="I1759" t="s">
        <v>115</v>
      </c>
      <c r="J1759" s="11">
        <v>1</v>
      </c>
      <c r="K1759" s="12">
        <v>55.38</v>
      </c>
      <c r="L1759" s="12">
        <v>8.5500000000000007</v>
      </c>
      <c r="M1759" s="13">
        <v>5</v>
      </c>
      <c r="N1759" s="13">
        <f t="shared" si="216"/>
        <v>2.377754629625997</v>
      </c>
      <c r="O1759" s="13">
        <f t="shared" si="217"/>
        <v>0</v>
      </c>
      <c r="P1759" t="str">
        <f t="shared" si="218"/>
        <v>On Time</v>
      </c>
      <c r="Q1759" s="13">
        <f t="shared" si="219"/>
        <v>0.34861111105419695</v>
      </c>
      <c r="R1759" s="13">
        <f t="shared" si="220"/>
        <v>1.6404050925921183</v>
      </c>
      <c r="S1759" s="13">
        <f t="shared" si="221"/>
        <v>0.72282407407328719</v>
      </c>
      <c r="T1759" t="str">
        <f t="shared" si="222"/>
        <v>On Time/Early</v>
      </c>
      <c r="U1759" t="str">
        <f t="shared" si="223"/>
        <v>Normal</v>
      </c>
      <c r="V1759" t="s">
        <v>102</v>
      </c>
    </row>
    <row r="1760" spans="1:22">
      <c r="A1760" t="s">
        <v>2502</v>
      </c>
      <c r="B1760" s="10">
        <v>43282.755520833336</v>
      </c>
      <c r="C1760" s="10">
        <v>43282.771122685182</v>
      </c>
      <c r="D1760" s="10">
        <v>43284.621527777781</v>
      </c>
      <c r="E1760" s="10">
        <v>43288.658101851855</v>
      </c>
      <c r="F1760" s="10">
        <v>43301</v>
      </c>
      <c r="G1760" t="s">
        <v>8</v>
      </c>
      <c r="H1760" t="s">
        <v>161</v>
      </c>
      <c r="I1760" t="s">
        <v>154</v>
      </c>
      <c r="J1760" s="11">
        <v>1</v>
      </c>
      <c r="K1760" s="12">
        <v>42.99</v>
      </c>
      <c r="L1760" s="12">
        <v>13.88</v>
      </c>
      <c r="M1760" s="13">
        <v>5</v>
      </c>
      <c r="N1760" s="13">
        <f t="shared" si="216"/>
        <v>5.9025810185194132</v>
      </c>
      <c r="O1760" s="13">
        <f t="shared" si="217"/>
        <v>0</v>
      </c>
      <c r="P1760" t="str">
        <f t="shared" si="218"/>
        <v>On Time</v>
      </c>
      <c r="Q1760" s="13">
        <f t="shared" si="219"/>
        <v>0.37444444431457669</v>
      </c>
      <c r="R1760" s="13">
        <f t="shared" si="220"/>
        <v>1.8504050925985212</v>
      </c>
      <c r="S1760" s="13">
        <f t="shared" si="221"/>
        <v>4.0365740740744513</v>
      </c>
      <c r="T1760" t="str">
        <f t="shared" si="222"/>
        <v>On Time/Early</v>
      </c>
      <c r="U1760" t="str">
        <f t="shared" si="223"/>
        <v>Normal</v>
      </c>
      <c r="V1760" t="s">
        <v>102</v>
      </c>
    </row>
    <row r="1761" spans="1:22">
      <c r="A1761" t="s">
        <v>2503</v>
      </c>
      <c r="B1761" s="10">
        <v>43282.766296296293</v>
      </c>
      <c r="C1761" s="10">
        <v>43282.774398148147</v>
      </c>
      <c r="D1761" s="10">
        <v>43283.476388888892</v>
      </c>
      <c r="E1761" s="10">
        <v>43287.713622685187</v>
      </c>
      <c r="F1761" s="10">
        <v>43307</v>
      </c>
      <c r="G1761" t="s">
        <v>16</v>
      </c>
      <c r="H1761" t="s">
        <v>714</v>
      </c>
      <c r="I1761" t="s">
        <v>180</v>
      </c>
      <c r="J1761" s="11">
        <v>1</v>
      </c>
      <c r="K1761" s="12">
        <v>20</v>
      </c>
      <c r="L1761" s="12">
        <v>15.24</v>
      </c>
      <c r="M1761" s="13">
        <v>1</v>
      </c>
      <c r="N1761" s="13">
        <f t="shared" si="216"/>
        <v>4.9473263888939982</v>
      </c>
      <c r="O1761" s="13">
        <f t="shared" si="217"/>
        <v>0</v>
      </c>
      <c r="P1761" t="str">
        <f t="shared" si="218"/>
        <v>On Time</v>
      </c>
      <c r="Q1761" s="13">
        <f t="shared" si="219"/>
        <v>0.19444444449618459</v>
      </c>
      <c r="R1761" s="13">
        <f t="shared" si="220"/>
        <v>0.7019907407448045</v>
      </c>
      <c r="S1761" s="13">
        <f t="shared" si="221"/>
        <v>4.237233796295186</v>
      </c>
      <c r="T1761" t="str">
        <f t="shared" si="222"/>
        <v>On Time/Early</v>
      </c>
      <c r="U1761" t="str">
        <f t="shared" si="223"/>
        <v>Normal</v>
      </c>
      <c r="V1761" t="s">
        <v>102</v>
      </c>
    </row>
    <row r="1762" spans="1:22">
      <c r="A1762" t="s">
        <v>2504</v>
      </c>
      <c r="B1762" s="10">
        <v>43282.906597222223</v>
      </c>
      <c r="C1762" s="10">
        <v>43286.670057870368</v>
      </c>
      <c r="D1762" s="10">
        <v>43286.611805555556</v>
      </c>
      <c r="E1762" s="10">
        <v>43291.785821759258</v>
      </c>
      <c r="F1762" s="10">
        <v>43299</v>
      </c>
      <c r="G1762" t="s">
        <v>8</v>
      </c>
      <c r="H1762" t="s">
        <v>520</v>
      </c>
      <c r="I1762" t="s">
        <v>128</v>
      </c>
      <c r="J1762" s="11">
        <v>1</v>
      </c>
      <c r="K1762" s="12">
        <v>97.6</v>
      </c>
      <c r="L1762" s="12">
        <v>12.41</v>
      </c>
      <c r="M1762" s="13">
        <v>4</v>
      </c>
      <c r="N1762" s="13">
        <f t="shared" si="216"/>
        <v>8.8792245370350429</v>
      </c>
      <c r="O1762" s="13">
        <f t="shared" si="217"/>
        <v>0</v>
      </c>
      <c r="P1762" t="str">
        <f t="shared" si="218"/>
        <v>On Time</v>
      </c>
      <c r="Q1762" s="13">
        <f t="shared" si="219"/>
        <v>90.323055555461906</v>
      </c>
      <c r="R1762" s="13">
        <f t="shared" si="220"/>
        <v>-5.825231481139781E-2</v>
      </c>
      <c r="S1762" s="13">
        <f t="shared" si="221"/>
        <v>5.1740162037021946</v>
      </c>
      <c r="T1762" t="str">
        <f t="shared" si="222"/>
        <v>On Time/Early</v>
      </c>
      <c r="U1762" t="str">
        <f t="shared" si="223"/>
        <v>Normal</v>
      </c>
      <c r="V1762" t="s">
        <v>102</v>
      </c>
    </row>
    <row r="1763" spans="1:22">
      <c r="A1763" t="s">
        <v>2505</v>
      </c>
      <c r="B1763" s="10">
        <v>43284.599016203705</v>
      </c>
      <c r="C1763" s="10">
        <v>43286.689409722225</v>
      </c>
      <c r="D1763" s="10">
        <v>43285.621527777781</v>
      </c>
      <c r="E1763" s="10">
        <v>43286.881226851852</v>
      </c>
      <c r="F1763" s="10">
        <v>43297</v>
      </c>
      <c r="G1763" t="s">
        <v>8</v>
      </c>
      <c r="H1763" t="s">
        <v>520</v>
      </c>
      <c r="I1763" t="s">
        <v>180</v>
      </c>
      <c r="J1763" s="11">
        <v>1</v>
      </c>
      <c r="K1763" s="12">
        <v>24.9</v>
      </c>
      <c r="L1763" s="12">
        <v>7.91</v>
      </c>
      <c r="M1763" s="13">
        <v>5</v>
      </c>
      <c r="N1763" s="13">
        <f t="shared" si="216"/>
        <v>2.2822106481471565</v>
      </c>
      <c r="O1763" s="13">
        <f t="shared" si="217"/>
        <v>0</v>
      </c>
      <c r="P1763" t="str">
        <f t="shared" si="218"/>
        <v>On Time</v>
      </c>
      <c r="Q1763" s="13">
        <f t="shared" si="219"/>
        <v>50.169444444472902</v>
      </c>
      <c r="R1763" s="13">
        <f t="shared" si="220"/>
        <v>-1.0678819444437977</v>
      </c>
      <c r="S1763" s="13">
        <f t="shared" si="221"/>
        <v>1.2596990740712499</v>
      </c>
      <c r="T1763" t="str">
        <f t="shared" si="222"/>
        <v>On Time/Early</v>
      </c>
      <c r="U1763" t="str">
        <f t="shared" si="223"/>
        <v>Normal</v>
      </c>
      <c r="V1763" t="s">
        <v>102</v>
      </c>
    </row>
    <row r="1764" spans="1:22">
      <c r="A1764" t="s">
        <v>2506</v>
      </c>
      <c r="B1764" s="10">
        <v>43284.734293981484</v>
      </c>
      <c r="C1764" s="10">
        <v>43286.689409722225</v>
      </c>
      <c r="D1764" s="10">
        <v>43286.626388888886</v>
      </c>
      <c r="E1764" s="10">
        <v>43291.885243055556</v>
      </c>
      <c r="F1764" s="10">
        <v>43313</v>
      </c>
      <c r="G1764" t="s">
        <v>8</v>
      </c>
      <c r="H1764" t="s">
        <v>140</v>
      </c>
      <c r="I1764" t="s">
        <v>180</v>
      </c>
      <c r="J1764" s="11">
        <v>1</v>
      </c>
      <c r="K1764" s="12">
        <v>78.599999999999994</v>
      </c>
      <c r="L1764" s="12">
        <v>14.13</v>
      </c>
      <c r="M1764" s="13">
        <v>5</v>
      </c>
      <c r="N1764" s="13">
        <f t="shared" si="216"/>
        <v>7.150949074071832</v>
      </c>
      <c r="O1764" s="13">
        <f t="shared" si="217"/>
        <v>0</v>
      </c>
      <c r="P1764" t="str">
        <f t="shared" si="218"/>
        <v>On Time</v>
      </c>
      <c r="Q1764" s="13">
        <f t="shared" si="219"/>
        <v>46.922777777770534</v>
      </c>
      <c r="R1764" s="13">
        <f t="shared" si="220"/>
        <v>-6.3020833338669036E-2</v>
      </c>
      <c r="S1764" s="13">
        <f t="shared" si="221"/>
        <v>5.2588541666700621</v>
      </c>
      <c r="T1764" t="str">
        <f t="shared" si="222"/>
        <v>On Time/Early</v>
      </c>
      <c r="U1764" t="str">
        <f t="shared" si="223"/>
        <v>Normal</v>
      </c>
      <c r="V1764" t="s">
        <v>102</v>
      </c>
    </row>
    <row r="1765" spans="1:22">
      <c r="A1765" t="s">
        <v>2507</v>
      </c>
      <c r="B1765" s="10">
        <v>43285.43472222222</v>
      </c>
      <c r="C1765" s="10">
        <v>43286.691493055558</v>
      </c>
      <c r="D1765" s="10">
        <v>43292.523611111108</v>
      </c>
      <c r="E1765" s="10">
        <v>43293.98065972222</v>
      </c>
      <c r="F1765" s="10">
        <v>43300</v>
      </c>
      <c r="G1765" t="s">
        <v>8</v>
      </c>
      <c r="H1765" t="s">
        <v>140</v>
      </c>
      <c r="I1765" t="s">
        <v>101</v>
      </c>
      <c r="J1765" s="11">
        <v>2</v>
      </c>
      <c r="K1765" s="12">
        <v>150</v>
      </c>
      <c r="L1765" s="12">
        <v>31.66</v>
      </c>
      <c r="M1765" s="13">
        <v>5</v>
      </c>
      <c r="N1765" s="13">
        <f t="shared" si="216"/>
        <v>8.5459374999991269</v>
      </c>
      <c r="O1765" s="13">
        <f t="shared" si="217"/>
        <v>0</v>
      </c>
      <c r="P1765" t="str">
        <f t="shared" si="218"/>
        <v>On Time</v>
      </c>
      <c r="Q1765" s="13">
        <f t="shared" si="219"/>
        <v>30.162500000093132</v>
      </c>
      <c r="R1765" s="13">
        <f t="shared" si="220"/>
        <v>5.8321180555503815</v>
      </c>
      <c r="S1765" s="13">
        <f t="shared" si="221"/>
        <v>1.4570486111115315</v>
      </c>
      <c r="T1765" t="str">
        <f t="shared" si="222"/>
        <v>On Time/Early</v>
      </c>
      <c r="U1765" t="str">
        <f t="shared" si="223"/>
        <v>Normal</v>
      </c>
      <c r="V1765" t="s">
        <v>102</v>
      </c>
    </row>
    <row r="1766" spans="1:22">
      <c r="A1766" t="s">
        <v>2508</v>
      </c>
      <c r="B1766" s="10">
        <v>43285.492037037038</v>
      </c>
      <c r="C1766" s="10">
        <v>43286.68886574074</v>
      </c>
      <c r="D1766" s="10">
        <v>43287.361805555556</v>
      </c>
      <c r="E1766" s="10">
        <v>43290.872291666667</v>
      </c>
      <c r="F1766" s="10">
        <v>43321</v>
      </c>
      <c r="G1766" t="s">
        <v>16</v>
      </c>
      <c r="H1766" t="s">
        <v>138</v>
      </c>
      <c r="I1766" t="s">
        <v>101</v>
      </c>
      <c r="J1766" s="11">
        <v>1</v>
      </c>
      <c r="K1766" s="12">
        <v>139.99</v>
      </c>
      <c r="L1766" s="12">
        <v>25.85</v>
      </c>
      <c r="M1766" s="13">
        <v>5</v>
      </c>
      <c r="N1766" s="13">
        <f t="shared" si="216"/>
        <v>5.3802546296283253</v>
      </c>
      <c r="O1766" s="13">
        <f t="shared" si="217"/>
        <v>0</v>
      </c>
      <c r="P1766" t="str">
        <f t="shared" si="218"/>
        <v>On Time</v>
      </c>
      <c r="Q1766" s="13">
        <f t="shared" si="219"/>
        <v>28.723888888838701</v>
      </c>
      <c r="R1766" s="13">
        <f t="shared" si="220"/>
        <v>0.67293981481634546</v>
      </c>
      <c r="S1766" s="13">
        <f t="shared" si="221"/>
        <v>3.5104861111103673</v>
      </c>
      <c r="T1766" t="str">
        <f t="shared" si="222"/>
        <v>On Time/Early</v>
      </c>
      <c r="U1766" t="str">
        <f t="shared" si="223"/>
        <v>Normal</v>
      </c>
      <c r="V1766" t="s">
        <v>102</v>
      </c>
    </row>
    <row r="1767" spans="1:22">
      <c r="A1767" t="s">
        <v>2509</v>
      </c>
      <c r="B1767" s="10">
        <v>43285.637187499997</v>
      </c>
      <c r="C1767" s="10">
        <v>43286.676666666666</v>
      </c>
      <c r="D1767" s="10">
        <v>43286.605555555558</v>
      </c>
      <c r="E1767" s="10">
        <v>43287.558715277781</v>
      </c>
      <c r="F1767" s="10">
        <v>43298</v>
      </c>
      <c r="G1767" t="s">
        <v>8</v>
      </c>
      <c r="H1767" t="s">
        <v>140</v>
      </c>
      <c r="I1767" t="s">
        <v>141</v>
      </c>
      <c r="J1767" s="11">
        <v>1</v>
      </c>
      <c r="K1767" s="12">
        <v>44.9</v>
      </c>
      <c r="L1767" s="12">
        <v>7.57</v>
      </c>
      <c r="M1767" s="13">
        <v>4</v>
      </c>
      <c r="N1767" s="13">
        <f t="shared" si="216"/>
        <v>1.9215277777839219</v>
      </c>
      <c r="O1767" s="13">
        <f t="shared" si="217"/>
        <v>0</v>
      </c>
      <c r="P1767" t="str">
        <f t="shared" si="218"/>
        <v>On Time</v>
      </c>
      <c r="Q1767" s="13">
        <f t="shared" si="219"/>
        <v>24.947500000067521</v>
      </c>
      <c r="R1767" s="13">
        <f t="shared" si="220"/>
        <v>-7.1111111108621117E-2</v>
      </c>
      <c r="S1767" s="13">
        <f t="shared" si="221"/>
        <v>0.953159722223063</v>
      </c>
      <c r="T1767" t="str">
        <f t="shared" si="222"/>
        <v>On Time/Early</v>
      </c>
      <c r="U1767" t="str">
        <f t="shared" si="223"/>
        <v>Normal</v>
      </c>
      <c r="V1767" t="s">
        <v>102</v>
      </c>
    </row>
    <row r="1768" spans="1:22">
      <c r="A1768" t="s">
        <v>2510</v>
      </c>
      <c r="B1768" s="10">
        <v>43285.700937499998</v>
      </c>
      <c r="C1768" s="10">
        <v>43286.689652777779</v>
      </c>
      <c r="D1768" s="10">
        <v>43286.618055555555</v>
      </c>
      <c r="E1768" s="10">
        <v>43288.612013888887</v>
      </c>
      <c r="F1768" s="10">
        <v>43304</v>
      </c>
      <c r="G1768" t="s">
        <v>8</v>
      </c>
      <c r="H1768" t="s">
        <v>140</v>
      </c>
      <c r="I1768" t="s">
        <v>58</v>
      </c>
      <c r="J1768" s="11">
        <v>2</v>
      </c>
      <c r="K1768" s="12">
        <v>118</v>
      </c>
      <c r="L1768" s="12">
        <v>26.14</v>
      </c>
      <c r="M1768" s="13">
        <v>3</v>
      </c>
      <c r="N1768" s="13">
        <f t="shared" si="216"/>
        <v>2.9110763888893416</v>
      </c>
      <c r="O1768" s="13">
        <f t="shared" si="217"/>
        <v>0</v>
      </c>
      <c r="P1768" t="str">
        <f t="shared" si="218"/>
        <v>On Time</v>
      </c>
      <c r="Q1768" s="13">
        <f t="shared" si="219"/>
        <v>23.729166666744277</v>
      </c>
      <c r="R1768" s="13">
        <f t="shared" si="220"/>
        <v>-7.1597222224227153E-2</v>
      </c>
      <c r="S1768" s="13">
        <f t="shared" si="221"/>
        <v>1.9939583333325572</v>
      </c>
      <c r="T1768" t="str">
        <f t="shared" si="222"/>
        <v>On Time/Early</v>
      </c>
      <c r="U1768" t="str">
        <f t="shared" si="223"/>
        <v>Normal</v>
      </c>
      <c r="V1768" t="s">
        <v>102</v>
      </c>
    </row>
    <row r="1769" spans="1:22">
      <c r="A1769" t="s">
        <v>2511</v>
      </c>
      <c r="B1769" s="10">
        <v>43285.737881944442</v>
      </c>
      <c r="C1769" s="10">
        <v>43286.689745370371</v>
      </c>
      <c r="D1769" s="10">
        <v>43286.446527777778</v>
      </c>
      <c r="E1769" s="10">
        <v>43293.693692129629</v>
      </c>
      <c r="F1769" s="10">
        <v>43313</v>
      </c>
      <c r="G1769" t="s">
        <v>20</v>
      </c>
      <c r="H1769" t="s">
        <v>2512</v>
      </c>
      <c r="I1769" t="s">
        <v>128</v>
      </c>
      <c r="J1769" s="11">
        <v>1</v>
      </c>
      <c r="K1769" s="12">
        <v>22.9</v>
      </c>
      <c r="L1769" s="12">
        <v>18.260000000000002</v>
      </c>
      <c r="M1769" s="13">
        <v>5</v>
      </c>
      <c r="N1769" s="13">
        <f t="shared" si="216"/>
        <v>7.955810185187147</v>
      </c>
      <c r="O1769" s="13">
        <f t="shared" si="217"/>
        <v>0</v>
      </c>
      <c r="P1769" t="str">
        <f t="shared" si="218"/>
        <v>On Time</v>
      </c>
      <c r="Q1769" s="13">
        <f t="shared" si="219"/>
        <v>22.844722222303972</v>
      </c>
      <c r="R1769" s="13">
        <f t="shared" si="220"/>
        <v>-0.24321759259328246</v>
      </c>
      <c r="S1769" s="13">
        <f t="shared" si="221"/>
        <v>7.2471643518510973</v>
      </c>
      <c r="T1769" t="str">
        <f t="shared" si="222"/>
        <v>On Time/Early</v>
      </c>
      <c r="U1769" t="str">
        <f t="shared" si="223"/>
        <v>Normal</v>
      </c>
      <c r="V1769" t="s">
        <v>102</v>
      </c>
    </row>
    <row r="1770" spans="1:22">
      <c r="A1770" t="s">
        <v>2513</v>
      </c>
      <c r="B1770" s="10">
        <v>43285.865486111114</v>
      </c>
      <c r="C1770" s="10">
        <v>43286.679814814815</v>
      </c>
      <c r="D1770" s="10">
        <v>43286.552083333336</v>
      </c>
      <c r="E1770" s="10">
        <v>43291.776886574073</v>
      </c>
      <c r="F1770" s="10">
        <v>43304</v>
      </c>
      <c r="G1770" t="s">
        <v>8</v>
      </c>
      <c r="H1770" t="s">
        <v>1966</v>
      </c>
      <c r="I1770" t="s">
        <v>120</v>
      </c>
      <c r="J1770" s="11">
        <v>1</v>
      </c>
      <c r="K1770" s="12">
        <v>79.989999999999995</v>
      </c>
      <c r="L1770" s="12">
        <v>14.14</v>
      </c>
      <c r="M1770" s="13">
        <v>5</v>
      </c>
      <c r="N1770" s="13">
        <f t="shared" si="216"/>
        <v>5.9114004629591363</v>
      </c>
      <c r="O1770" s="13">
        <f t="shared" si="217"/>
        <v>0</v>
      </c>
      <c r="P1770" t="str">
        <f t="shared" si="218"/>
        <v>On Time</v>
      </c>
      <c r="Q1770" s="13">
        <f t="shared" si="219"/>
        <v>19.543888888845686</v>
      </c>
      <c r="R1770" s="13">
        <f t="shared" si="220"/>
        <v>-0.12773148147971369</v>
      </c>
      <c r="S1770" s="13">
        <f t="shared" si="221"/>
        <v>5.2248032407369465</v>
      </c>
      <c r="T1770" t="str">
        <f t="shared" si="222"/>
        <v>On Time/Early</v>
      </c>
      <c r="U1770" t="str">
        <f t="shared" si="223"/>
        <v>Normal</v>
      </c>
      <c r="V1770" t="s">
        <v>102</v>
      </c>
    </row>
    <row r="1771" spans="1:22">
      <c r="A1771" t="s">
        <v>2514</v>
      </c>
      <c r="B1771" s="10">
        <v>43285.875439814816</v>
      </c>
      <c r="C1771" s="10">
        <v>43286.68854166667</v>
      </c>
      <c r="D1771" s="10">
        <v>43287.480555555558</v>
      </c>
      <c r="E1771" s="10">
        <v>43297.610300925924</v>
      </c>
      <c r="F1771" s="10">
        <v>43311</v>
      </c>
      <c r="G1771" t="s">
        <v>33</v>
      </c>
      <c r="H1771" t="s">
        <v>2515</v>
      </c>
      <c r="I1771" t="s">
        <v>118</v>
      </c>
      <c r="J1771" s="11">
        <v>1</v>
      </c>
      <c r="K1771" s="12">
        <v>29.99</v>
      </c>
      <c r="L1771" s="12">
        <v>18.309999999999999</v>
      </c>
      <c r="M1771" s="13">
        <v>5</v>
      </c>
      <c r="N1771" s="13">
        <f t="shared" si="216"/>
        <v>11.73486111110833</v>
      </c>
      <c r="O1771" s="13">
        <f t="shared" si="217"/>
        <v>0</v>
      </c>
      <c r="P1771" t="str">
        <f t="shared" si="218"/>
        <v>On Time</v>
      </c>
      <c r="Q1771" s="13">
        <f t="shared" si="219"/>
        <v>19.51444444450317</v>
      </c>
      <c r="R1771" s="13">
        <f t="shared" si="220"/>
        <v>0.79201388888759539</v>
      </c>
      <c r="S1771" s="13">
        <f t="shared" si="221"/>
        <v>10.129745370366436</v>
      </c>
      <c r="T1771" t="str">
        <f t="shared" si="222"/>
        <v>On Time/Early</v>
      </c>
      <c r="U1771" t="str">
        <f t="shared" si="223"/>
        <v>Normal</v>
      </c>
      <c r="V1771" t="s">
        <v>102</v>
      </c>
    </row>
    <row r="1772" spans="1:22">
      <c r="A1772" t="s">
        <v>2516</v>
      </c>
      <c r="B1772" s="10">
        <v>43285.906828703701</v>
      </c>
      <c r="C1772" s="10">
        <v>43286.679039351853</v>
      </c>
      <c r="D1772" s="10">
        <v>43286.609722222223</v>
      </c>
      <c r="E1772" s="10">
        <v>43292.877569444441</v>
      </c>
      <c r="F1772" s="10">
        <v>43307</v>
      </c>
      <c r="G1772" t="s">
        <v>33</v>
      </c>
      <c r="H1772" t="s">
        <v>2517</v>
      </c>
      <c r="I1772" t="s">
        <v>368</v>
      </c>
      <c r="J1772" s="11">
        <v>1</v>
      </c>
      <c r="K1772" s="12">
        <v>39.5</v>
      </c>
      <c r="L1772" s="12">
        <v>18.38</v>
      </c>
      <c r="M1772" s="13">
        <v>5</v>
      </c>
      <c r="N1772" s="13">
        <f t="shared" si="216"/>
        <v>6.9707407407404389</v>
      </c>
      <c r="O1772" s="13">
        <f t="shared" si="217"/>
        <v>0</v>
      </c>
      <c r="P1772" t="str">
        <f t="shared" si="218"/>
        <v>On Time</v>
      </c>
      <c r="Q1772" s="13">
        <f t="shared" si="219"/>
        <v>18.533055555657484</v>
      </c>
      <c r="R1772" s="13">
        <f t="shared" si="220"/>
        <v>-6.9317129629780538E-2</v>
      </c>
      <c r="S1772" s="13">
        <f t="shared" si="221"/>
        <v>6.2678472222178243</v>
      </c>
      <c r="T1772" t="str">
        <f t="shared" si="222"/>
        <v>On Time/Early</v>
      </c>
      <c r="U1772" t="str">
        <f t="shared" si="223"/>
        <v>Normal</v>
      </c>
      <c r="V1772" t="s">
        <v>102</v>
      </c>
    </row>
    <row r="1773" spans="1:22">
      <c r="A1773" t="s">
        <v>2518</v>
      </c>
      <c r="B1773" s="10">
        <v>43285.941122685188</v>
      </c>
      <c r="C1773" s="10">
        <v>43286.686053240737</v>
      </c>
      <c r="D1773" s="10">
        <v>43287.427083333336</v>
      </c>
      <c r="E1773" s="10">
        <v>43291.894097222219</v>
      </c>
      <c r="F1773" s="10">
        <v>43298</v>
      </c>
      <c r="G1773" t="s">
        <v>8</v>
      </c>
      <c r="H1773" t="s">
        <v>140</v>
      </c>
      <c r="I1773" t="s">
        <v>279</v>
      </c>
      <c r="J1773" s="11">
        <v>1</v>
      </c>
      <c r="K1773" s="12">
        <v>22.99</v>
      </c>
      <c r="L1773" s="12">
        <v>7.42</v>
      </c>
      <c r="M1773" s="13">
        <v>5</v>
      </c>
      <c r="N1773" s="13">
        <f t="shared" si="216"/>
        <v>5.9529745370309683</v>
      </c>
      <c r="O1773" s="13">
        <f t="shared" si="217"/>
        <v>0</v>
      </c>
      <c r="P1773" t="str">
        <f t="shared" si="218"/>
        <v>On Time</v>
      </c>
      <c r="Q1773" s="13">
        <f t="shared" si="219"/>
        <v>17.878333333181217</v>
      </c>
      <c r="R1773" s="13">
        <f t="shared" si="220"/>
        <v>0.74103009259852115</v>
      </c>
      <c r="S1773" s="13">
        <f t="shared" si="221"/>
        <v>4.4670138888832298</v>
      </c>
      <c r="T1773" t="str">
        <f t="shared" si="222"/>
        <v>On Time/Early</v>
      </c>
      <c r="U1773" t="str">
        <f t="shared" si="223"/>
        <v>Normal</v>
      </c>
      <c r="V1773" t="s">
        <v>102</v>
      </c>
    </row>
    <row r="1774" spans="1:22">
      <c r="A1774" t="s">
        <v>2519</v>
      </c>
      <c r="B1774" s="10">
        <v>43286.437731481485</v>
      </c>
      <c r="C1774" s="10">
        <v>43287.215879629628</v>
      </c>
      <c r="D1774" s="10">
        <v>43288.386805555558</v>
      </c>
      <c r="E1774" s="10">
        <v>43293.887928240743</v>
      </c>
      <c r="F1774" s="10">
        <v>43305</v>
      </c>
      <c r="G1774" t="s">
        <v>8</v>
      </c>
      <c r="H1774" t="s">
        <v>182</v>
      </c>
      <c r="I1774" t="s">
        <v>128</v>
      </c>
      <c r="J1774" s="11">
        <v>1</v>
      </c>
      <c r="K1774" s="12">
        <v>49.9</v>
      </c>
      <c r="L1774" s="12">
        <v>20.99</v>
      </c>
      <c r="M1774" s="13">
        <v>5</v>
      </c>
      <c r="N1774" s="13">
        <f t="shared" si="216"/>
        <v>7.450196759258688</v>
      </c>
      <c r="O1774" s="13">
        <f t="shared" si="217"/>
        <v>0</v>
      </c>
      <c r="P1774" t="str">
        <f t="shared" si="218"/>
        <v>On Time</v>
      </c>
      <c r="Q1774" s="13">
        <f t="shared" si="219"/>
        <v>18.675555555440951</v>
      </c>
      <c r="R1774" s="13">
        <f t="shared" si="220"/>
        <v>1.1709259259296232</v>
      </c>
      <c r="S1774" s="13">
        <f t="shared" si="221"/>
        <v>5.5011226851856918</v>
      </c>
      <c r="T1774" t="str">
        <f t="shared" si="222"/>
        <v>On Time/Early</v>
      </c>
      <c r="U1774" t="str">
        <f t="shared" si="223"/>
        <v>Normal</v>
      </c>
      <c r="V1774" t="s">
        <v>102</v>
      </c>
    </row>
    <row r="1775" spans="1:22">
      <c r="A1775" t="s">
        <v>2520</v>
      </c>
      <c r="B1775" s="10">
        <v>43286.492465277777</v>
      </c>
      <c r="C1775" s="10">
        <v>43287.121678240743</v>
      </c>
      <c r="D1775" s="10">
        <v>43292.591666666667</v>
      </c>
      <c r="E1775" s="10">
        <v>43293.817928240744</v>
      </c>
      <c r="F1775" s="10">
        <v>43300</v>
      </c>
      <c r="G1775" t="s">
        <v>8</v>
      </c>
      <c r="H1775" t="s">
        <v>299</v>
      </c>
      <c r="I1775" t="s">
        <v>58</v>
      </c>
      <c r="J1775" s="11">
        <v>1</v>
      </c>
      <c r="K1775" s="12">
        <v>110.32</v>
      </c>
      <c r="L1775" s="12">
        <v>8.0299999999999994</v>
      </c>
      <c r="M1775" s="13">
        <v>5</v>
      </c>
      <c r="N1775" s="13">
        <f t="shared" si="216"/>
        <v>7.3254629629664123</v>
      </c>
      <c r="O1775" s="13">
        <f t="shared" si="217"/>
        <v>0</v>
      </c>
      <c r="P1775" t="str">
        <f t="shared" si="218"/>
        <v>On Time</v>
      </c>
      <c r="Q1775" s="13">
        <f t="shared" si="219"/>
        <v>15.101111111172941</v>
      </c>
      <c r="R1775" s="13">
        <f t="shared" si="220"/>
        <v>5.4699884259243845</v>
      </c>
      <c r="S1775" s="13">
        <f t="shared" si="221"/>
        <v>1.2262615740764886</v>
      </c>
      <c r="T1775" t="str">
        <f t="shared" si="222"/>
        <v>On Time/Early</v>
      </c>
      <c r="U1775" t="str">
        <f t="shared" si="223"/>
        <v>Normal</v>
      </c>
      <c r="V1775" t="s">
        <v>102</v>
      </c>
    </row>
    <row r="1776" spans="1:22">
      <c r="A1776" t="s">
        <v>2521</v>
      </c>
      <c r="B1776" s="10">
        <v>43286.569664351853</v>
      </c>
      <c r="C1776" s="10">
        <v>43286.688831018517</v>
      </c>
      <c r="D1776" s="10">
        <v>43286.53125</v>
      </c>
      <c r="E1776" s="10">
        <v>43293.966805555552</v>
      </c>
      <c r="F1776" s="10">
        <v>43315</v>
      </c>
      <c r="G1776" t="s">
        <v>30</v>
      </c>
      <c r="H1776" t="s">
        <v>585</v>
      </c>
      <c r="I1776" t="s">
        <v>58</v>
      </c>
      <c r="J1776" s="11">
        <v>1</v>
      </c>
      <c r="K1776" s="12">
        <v>204.9</v>
      </c>
      <c r="L1776" s="12">
        <v>19.53</v>
      </c>
      <c r="M1776" s="13">
        <v>4</v>
      </c>
      <c r="N1776" s="13">
        <f t="shared" si="216"/>
        <v>7.3971412036989932</v>
      </c>
      <c r="O1776" s="13">
        <f t="shared" si="217"/>
        <v>0</v>
      </c>
      <c r="P1776" t="str">
        <f t="shared" si="218"/>
        <v>On Time</v>
      </c>
      <c r="Q1776" s="13">
        <f t="shared" si="219"/>
        <v>2.8599999999278225</v>
      </c>
      <c r="R1776" s="13">
        <f t="shared" si="220"/>
        <v>-0.15758101851679385</v>
      </c>
      <c r="S1776" s="13">
        <f t="shared" si="221"/>
        <v>7.4355555555521278</v>
      </c>
      <c r="T1776" t="str">
        <f t="shared" si="222"/>
        <v>On Time/Early</v>
      </c>
      <c r="U1776" t="str">
        <f t="shared" si="223"/>
        <v>Normal</v>
      </c>
      <c r="V1776" t="s">
        <v>102</v>
      </c>
    </row>
    <row r="1777" spans="1:22">
      <c r="A1777" t="s">
        <v>2522</v>
      </c>
      <c r="B1777" s="10">
        <v>43286.611608796295</v>
      </c>
      <c r="C1777" s="10">
        <v>43286.679108796299</v>
      </c>
      <c r="D1777" s="10">
        <v>43286.805555555555</v>
      </c>
      <c r="E1777" s="10">
        <v>43287.888171296298</v>
      </c>
      <c r="F1777" s="10">
        <v>43300</v>
      </c>
      <c r="G1777" t="s">
        <v>8</v>
      </c>
      <c r="H1777" t="s">
        <v>140</v>
      </c>
      <c r="I1777" t="s">
        <v>136</v>
      </c>
      <c r="J1777" s="11">
        <v>1</v>
      </c>
      <c r="K1777" s="12">
        <v>59.99</v>
      </c>
      <c r="L1777" s="12">
        <v>9.17</v>
      </c>
      <c r="M1777" s="13">
        <v>2</v>
      </c>
      <c r="N1777" s="13">
        <f t="shared" si="216"/>
        <v>1.2765625000029104</v>
      </c>
      <c r="O1777" s="13">
        <f t="shared" si="217"/>
        <v>0</v>
      </c>
      <c r="P1777" t="str">
        <f t="shared" si="218"/>
        <v>On Time</v>
      </c>
      <c r="Q1777" s="13">
        <f t="shared" si="219"/>
        <v>1.6200000001117587</v>
      </c>
      <c r="R1777" s="13">
        <f t="shared" si="220"/>
        <v>0.12644675925548654</v>
      </c>
      <c r="S1777" s="13">
        <f t="shared" si="221"/>
        <v>1.0826157407427672</v>
      </c>
      <c r="T1777" t="str">
        <f t="shared" si="222"/>
        <v>On Time/Early</v>
      </c>
      <c r="U1777" t="str">
        <f t="shared" si="223"/>
        <v>Normal</v>
      </c>
      <c r="V1777" t="s">
        <v>102</v>
      </c>
    </row>
    <row r="1778" spans="1:22">
      <c r="A1778" t="s">
        <v>2523</v>
      </c>
      <c r="B1778" s="10">
        <v>43286.694861111115</v>
      </c>
      <c r="C1778" s="10">
        <v>43292.146087962959</v>
      </c>
      <c r="D1778" s="10">
        <v>43293.379166666666</v>
      </c>
      <c r="E1778" s="10">
        <v>43294.835439814815</v>
      </c>
      <c r="F1778" s="10">
        <v>43301</v>
      </c>
      <c r="G1778" t="s">
        <v>8</v>
      </c>
      <c r="H1778" t="s">
        <v>273</v>
      </c>
      <c r="I1778" t="s">
        <v>380</v>
      </c>
      <c r="J1778" s="11">
        <v>1</v>
      </c>
      <c r="K1778" s="12">
        <v>39.99</v>
      </c>
      <c r="L1778" s="12">
        <v>8.44</v>
      </c>
      <c r="M1778" s="13">
        <v>4</v>
      </c>
      <c r="N1778" s="13">
        <f t="shared" si="216"/>
        <v>8.1405787037001573</v>
      </c>
      <c r="O1778" s="13">
        <f t="shared" si="217"/>
        <v>0</v>
      </c>
      <c r="P1778" t="str">
        <f t="shared" si="218"/>
        <v>On Time</v>
      </c>
      <c r="Q1778" s="13">
        <f t="shared" si="219"/>
        <v>130.82944444427267</v>
      </c>
      <c r="R1778" s="13">
        <f t="shared" si="220"/>
        <v>1.2330787037062692</v>
      </c>
      <c r="S1778" s="13">
        <f t="shared" si="221"/>
        <v>1.4562731481491937</v>
      </c>
      <c r="T1778" t="str">
        <f t="shared" si="222"/>
        <v>On Time/Early</v>
      </c>
      <c r="U1778" t="str">
        <f t="shared" si="223"/>
        <v>Normal</v>
      </c>
      <c r="V1778" t="s">
        <v>102</v>
      </c>
    </row>
    <row r="1779" spans="1:22">
      <c r="A1779" t="s">
        <v>2524</v>
      </c>
      <c r="B1779" s="10">
        <v>43287.668495370373</v>
      </c>
      <c r="C1779" s="10">
        <v>43287.674583333333</v>
      </c>
      <c r="D1779" s="10">
        <v>43292.602777777778</v>
      </c>
      <c r="E1779" s="10">
        <v>43314.799814814818</v>
      </c>
      <c r="F1779" s="10">
        <v>43334</v>
      </c>
      <c r="G1779" t="s">
        <v>2525</v>
      </c>
      <c r="H1779" t="s">
        <v>2526</v>
      </c>
      <c r="I1779" t="s">
        <v>101</v>
      </c>
      <c r="J1779" s="11">
        <v>1</v>
      </c>
      <c r="K1779" s="12">
        <v>75</v>
      </c>
      <c r="L1779" s="12">
        <v>44.45</v>
      </c>
      <c r="M1779" s="13">
        <v>5</v>
      </c>
      <c r="N1779" s="13">
        <f t="shared" si="216"/>
        <v>27.131319444444671</v>
      </c>
      <c r="O1779" s="13">
        <f t="shared" si="217"/>
        <v>0</v>
      </c>
      <c r="P1779" t="str">
        <f t="shared" si="218"/>
        <v>On Time</v>
      </c>
      <c r="Q1779" s="13">
        <f t="shared" si="219"/>
        <v>0.14611111104022712</v>
      </c>
      <c r="R1779" s="13">
        <f t="shared" si="220"/>
        <v>4.9281944444446708</v>
      </c>
      <c r="S1779" s="13">
        <f t="shared" si="221"/>
        <v>22.197037037039991</v>
      </c>
      <c r="T1779" t="str">
        <f t="shared" si="222"/>
        <v>On Time/Early</v>
      </c>
      <c r="U1779" t="str">
        <f t="shared" si="223"/>
        <v>Normal</v>
      </c>
      <c r="V1779" t="s">
        <v>102</v>
      </c>
    </row>
    <row r="1780" spans="1:22">
      <c r="A1780" t="s">
        <v>2527</v>
      </c>
      <c r="B1780" s="10">
        <v>43287.964756944442</v>
      </c>
      <c r="C1780" s="10">
        <v>43287.97928240741</v>
      </c>
      <c r="D1780" s="10">
        <v>43292.556250000001</v>
      </c>
      <c r="E1780" s="10">
        <v>43297.617002314815</v>
      </c>
      <c r="F1780" s="10">
        <v>43308</v>
      </c>
      <c r="G1780" t="s">
        <v>8</v>
      </c>
      <c r="H1780" t="s">
        <v>2528</v>
      </c>
      <c r="I1780" t="s">
        <v>368</v>
      </c>
      <c r="J1780" s="11">
        <v>1</v>
      </c>
      <c r="K1780" s="12">
        <v>35</v>
      </c>
      <c r="L1780" s="12">
        <v>12.91</v>
      </c>
      <c r="M1780" s="13">
        <v>5</v>
      </c>
      <c r="N1780" s="13">
        <f t="shared" si="216"/>
        <v>9.6522453703728388</v>
      </c>
      <c r="O1780" s="13">
        <f t="shared" si="217"/>
        <v>0</v>
      </c>
      <c r="P1780" t="str">
        <f t="shared" si="218"/>
        <v>On Time</v>
      </c>
      <c r="Q1780" s="13">
        <f t="shared" si="219"/>
        <v>0.34861111122881994</v>
      </c>
      <c r="R1780" s="13">
        <f t="shared" si="220"/>
        <v>4.5769675925912452</v>
      </c>
      <c r="S1780" s="13">
        <f t="shared" si="221"/>
        <v>5.0607523148137261</v>
      </c>
      <c r="T1780" t="str">
        <f t="shared" si="222"/>
        <v>On Time/Early</v>
      </c>
      <c r="U1780" t="str">
        <f t="shared" si="223"/>
        <v>Normal</v>
      </c>
      <c r="V1780" t="s">
        <v>102</v>
      </c>
    </row>
    <row r="1781" spans="1:22">
      <c r="A1781" t="s">
        <v>2529</v>
      </c>
      <c r="B1781" s="10">
        <v>43288.365925925929</v>
      </c>
      <c r="C1781" s="10">
        <v>43288.427384259259</v>
      </c>
      <c r="D1781" s="10">
        <v>43294.57916666667</v>
      </c>
      <c r="E1781" s="10">
        <v>43298.90892361111</v>
      </c>
      <c r="F1781" s="10">
        <v>43312</v>
      </c>
      <c r="G1781" t="s">
        <v>320</v>
      </c>
      <c r="H1781" t="s">
        <v>321</v>
      </c>
      <c r="I1781" t="s">
        <v>154</v>
      </c>
      <c r="J1781" s="11">
        <v>2</v>
      </c>
      <c r="K1781" s="12">
        <v>119.8</v>
      </c>
      <c r="L1781" s="12">
        <v>37.04</v>
      </c>
      <c r="M1781" s="13">
        <v>5</v>
      </c>
      <c r="N1781" s="13">
        <f t="shared" si="216"/>
        <v>10.542997685181035</v>
      </c>
      <c r="O1781" s="13">
        <f t="shared" si="217"/>
        <v>0</v>
      </c>
      <c r="P1781" t="str">
        <f t="shared" si="218"/>
        <v>On Time</v>
      </c>
      <c r="Q1781" s="13">
        <f t="shared" si="219"/>
        <v>1.4749999999185093</v>
      </c>
      <c r="R1781" s="13">
        <f t="shared" si="220"/>
        <v>6.1517824074107921</v>
      </c>
      <c r="S1781" s="13">
        <f t="shared" si="221"/>
        <v>4.3297569444403052</v>
      </c>
      <c r="T1781" t="str">
        <f t="shared" si="222"/>
        <v>On Time/Early</v>
      </c>
      <c r="U1781" t="str">
        <f t="shared" si="223"/>
        <v>Normal</v>
      </c>
      <c r="V1781" t="s">
        <v>102</v>
      </c>
    </row>
    <row r="1782" spans="1:22">
      <c r="A1782" t="s">
        <v>2530</v>
      </c>
      <c r="B1782" s="10">
        <v>43288.376979166664</v>
      </c>
      <c r="C1782" s="10">
        <v>43288.42732638889</v>
      </c>
      <c r="D1782" s="10">
        <v>43294.59097222222</v>
      </c>
      <c r="E1782" s="10">
        <v>43314.963576388887</v>
      </c>
      <c r="F1782" s="10">
        <v>43315</v>
      </c>
      <c r="G1782" t="s">
        <v>474</v>
      </c>
      <c r="H1782" t="s">
        <v>2531</v>
      </c>
      <c r="I1782" t="s">
        <v>118</v>
      </c>
      <c r="J1782" s="11">
        <v>1</v>
      </c>
      <c r="K1782" s="12">
        <v>14</v>
      </c>
      <c r="L1782" s="12">
        <v>50.85</v>
      </c>
      <c r="M1782" s="13">
        <v>5</v>
      </c>
      <c r="N1782" s="13">
        <f t="shared" si="216"/>
        <v>26.586597222223645</v>
      </c>
      <c r="O1782" s="13">
        <f t="shared" si="217"/>
        <v>0</v>
      </c>
      <c r="P1782" t="str">
        <f t="shared" si="218"/>
        <v>On Time</v>
      </c>
      <c r="Q1782" s="13">
        <f t="shared" si="219"/>
        <v>1.2083333334303461</v>
      </c>
      <c r="R1782" s="13">
        <f t="shared" si="220"/>
        <v>6.16364583333052</v>
      </c>
      <c r="S1782" s="13">
        <f t="shared" si="221"/>
        <v>20.372604166666861</v>
      </c>
      <c r="T1782" t="str">
        <f t="shared" si="222"/>
        <v>On Time/Early</v>
      </c>
      <c r="U1782" t="str">
        <f t="shared" si="223"/>
        <v>Normal</v>
      </c>
      <c r="V1782" t="s">
        <v>102</v>
      </c>
    </row>
    <row r="1783" spans="1:22">
      <c r="A1783" t="s">
        <v>2532</v>
      </c>
      <c r="B1783" s="10">
        <v>43288.521157407406</v>
      </c>
      <c r="C1783" s="10">
        <v>43288.531840277778</v>
      </c>
      <c r="D1783" s="10">
        <v>43291.621527777781</v>
      </c>
      <c r="E1783" s="10">
        <v>43292.780995370369</v>
      </c>
      <c r="F1783" s="10">
        <v>43307</v>
      </c>
      <c r="G1783" t="s">
        <v>8</v>
      </c>
      <c r="H1783" t="s">
        <v>309</v>
      </c>
      <c r="I1783" t="s">
        <v>58</v>
      </c>
      <c r="J1783" s="11">
        <v>1</v>
      </c>
      <c r="K1783" s="12">
        <v>23.95</v>
      </c>
      <c r="L1783" s="12">
        <v>12.47</v>
      </c>
      <c r="M1783" s="13">
        <v>5</v>
      </c>
      <c r="N1783" s="13">
        <f t="shared" si="216"/>
        <v>4.2598379629635019</v>
      </c>
      <c r="O1783" s="13">
        <f t="shared" si="217"/>
        <v>0</v>
      </c>
      <c r="P1783" t="str">
        <f t="shared" si="218"/>
        <v>On Time</v>
      </c>
      <c r="Q1783" s="13">
        <f t="shared" si="219"/>
        <v>0.25638888892717659</v>
      </c>
      <c r="R1783" s="13">
        <f t="shared" si="220"/>
        <v>3.0896875000034925</v>
      </c>
      <c r="S1783" s="13">
        <f t="shared" si="221"/>
        <v>1.1594675925880438</v>
      </c>
      <c r="T1783" t="str">
        <f t="shared" si="222"/>
        <v>On Time/Early</v>
      </c>
      <c r="U1783" t="str">
        <f t="shared" si="223"/>
        <v>Normal</v>
      </c>
      <c r="V1783" t="s">
        <v>102</v>
      </c>
    </row>
    <row r="1784" spans="1:22">
      <c r="A1784" t="s">
        <v>2533</v>
      </c>
      <c r="B1784" s="10">
        <v>43288.542245370372</v>
      </c>
      <c r="C1784" s="10">
        <v>43288.670717592591</v>
      </c>
      <c r="D1784" s="10">
        <v>43291.345833333333</v>
      </c>
      <c r="E1784" s="10">
        <v>43311.712013888886</v>
      </c>
      <c r="F1784" s="10">
        <v>43318</v>
      </c>
      <c r="G1784" t="s">
        <v>218</v>
      </c>
      <c r="H1784" t="s">
        <v>219</v>
      </c>
      <c r="I1784" t="s">
        <v>162</v>
      </c>
      <c r="J1784" s="11">
        <v>1</v>
      </c>
      <c r="K1784" s="12">
        <v>69.989999999999995</v>
      </c>
      <c r="L1784" s="12">
        <v>49</v>
      </c>
      <c r="M1784" s="13">
        <v>4</v>
      </c>
      <c r="N1784" s="13">
        <f t="shared" si="216"/>
        <v>23.169768518513592</v>
      </c>
      <c r="O1784" s="13">
        <f t="shared" si="217"/>
        <v>0</v>
      </c>
      <c r="P1784" t="str">
        <f t="shared" si="218"/>
        <v>On Time</v>
      </c>
      <c r="Q1784" s="13">
        <f t="shared" si="219"/>
        <v>3.0833333332557231</v>
      </c>
      <c r="R1784" s="13">
        <f t="shared" si="220"/>
        <v>2.6751157407416031</v>
      </c>
      <c r="S1784" s="13">
        <f t="shared" si="221"/>
        <v>20.366180555553001</v>
      </c>
      <c r="T1784" t="str">
        <f t="shared" si="222"/>
        <v>On Time/Early</v>
      </c>
      <c r="U1784" t="str">
        <f t="shared" si="223"/>
        <v>Normal</v>
      </c>
      <c r="V1784" t="s">
        <v>102</v>
      </c>
    </row>
    <row r="1785" spans="1:22">
      <c r="A1785" t="s">
        <v>2534</v>
      </c>
      <c r="B1785" s="10">
        <v>43289.535219907404</v>
      </c>
      <c r="C1785" s="10">
        <v>43289.545324074075</v>
      </c>
      <c r="D1785" s="10">
        <v>43298.658333333333</v>
      </c>
      <c r="E1785" s="10">
        <v>43301.752418981479</v>
      </c>
      <c r="F1785" s="10">
        <v>43318</v>
      </c>
      <c r="G1785" t="s">
        <v>8</v>
      </c>
      <c r="H1785" t="s">
        <v>140</v>
      </c>
      <c r="I1785" t="s">
        <v>141</v>
      </c>
      <c r="J1785" s="11">
        <v>1</v>
      </c>
      <c r="K1785" s="12">
        <v>85.39</v>
      </c>
      <c r="L1785" s="12">
        <v>18.399999999999999</v>
      </c>
      <c r="M1785" s="13">
        <v>5</v>
      </c>
      <c r="N1785" s="13">
        <f t="shared" si="216"/>
        <v>12.217199074075324</v>
      </c>
      <c r="O1785" s="13">
        <f t="shared" si="217"/>
        <v>0</v>
      </c>
      <c r="P1785" t="str">
        <f t="shared" si="218"/>
        <v>On Time</v>
      </c>
      <c r="Q1785" s="13">
        <f t="shared" si="219"/>
        <v>0.2425000001094304</v>
      </c>
      <c r="R1785" s="13">
        <f t="shared" si="220"/>
        <v>9.1130092592575238</v>
      </c>
      <c r="S1785" s="13">
        <f t="shared" si="221"/>
        <v>3.0940856481465744</v>
      </c>
      <c r="T1785" t="str">
        <f t="shared" si="222"/>
        <v>On Time/Early</v>
      </c>
      <c r="U1785" t="str">
        <f t="shared" si="223"/>
        <v>Normal</v>
      </c>
      <c r="V1785" t="s">
        <v>102</v>
      </c>
    </row>
    <row r="1786" spans="1:22">
      <c r="A1786" t="s">
        <v>2535</v>
      </c>
      <c r="B1786" s="10">
        <v>43289.817314814813</v>
      </c>
      <c r="C1786" s="10">
        <v>43290.812754629631</v>
      </c>
      <c r="D1786" s="10">
        <v>43291.509722222225</v>
      </c>
      <c r="E1786" s="10">
        <v>43292.953310185185</v>
      </c>
      <c r="F1786" s="10">
        <v>43300</v>
      </c>
      <c r="G1786" t="s">
        <v>8</v>
      </c>
      <c r="H1786" t="s">
        <v>140</v>
      </c>
      <c r="I1786" t="s">
        <v>279</v>
      </c>
      <c r="J1786" s="11">
        <v>1</v>
      </c>
      <c r="K1786" s="12">
        <v>39.9</v>
      </c>
      <c r="L1786" s="12">
        <v>7.54</v>
      </c>
      <c r="M1786" s="13">
        <v>5</v>
      </c>
      <c r="N1786" s="13">
        <f t="shared" si="216"/>
        <v>3.1359953703722567</v>
      </c>
      <c r="O1786" s="13">
        <f t="shared" si="217"/>
        <v>0</v>
      </c>
      <c r="P1786" t="str">
        <f t="shared" si="218"/>
        <v>On Time</v>
      </c>
      <c r="Q1786" s="13">
        <f t="shared" si="219"/>
        <v>23.890555555641185</v>
      </c>
      <c r="R1786" s="13">
        <f t="shared" si="220"/>
        <v>0.69696759259386454</v>
      </c>
      <c r="S1786" s="13">
        <f t="shared" si="221"/>
        <v>1.4435879629600095</v>
      </c>
      <c r="T1786" t="str">
        <f t="shared" si="222"/>
        <v>On Time/Early</v>
      </c>
      <c r="U1786" t="str">
        <f t="shared" si="223"/>
        <v>Normal</v>
      </c>
      <c r="V1786" t="s">
        <v>102</v>
      </c>
    </row>
    <row r="1787" spans="1:22">
      <c r="A1787" t="s">
        <v>2536</v>
      </c>
      <c r="B1787" s="10">
        <v>43289.991122685184</v>
      </c>
      <c r="C1787" s="10">
        <v>43290.003692129627</v>
      </c>
      <c r="D1787" s="10">
        <v>43290.538194444445</v>
      </c>
      <c r="E1787" s="10">
        <v>43294.091562499998</v>
      </c>
      <c r="F1787" s="10">
        <v>43314</v>
      </c>
      <c r="G1787" t="s">
        <v>16</v>
      </c>
      <c r="H1787" t="s">
        <v>138</v>
      </c>
      <c r="I1787" t="s">
        <v>143</v>
      </c>
      <c r="J1787" s="11">
        <v>1</v>
      </c>
      <c r="K1787" s="12">
        <v>42.9</v>
      </c>
      <c r="L1787" s="12">
        <v>8.0399999999999991</v>
      </c>
      <c r="M1787" s="13">
        <v>4</v>
      </c>
      <c r="N1787" s="13">
        <f t="shared" si="216"/>
        <v>4.1004398148143082</v>
      </c>
      <c r="O1787" s="13">
        <f t="shared" si="217"/>
        <v>0</v>
      </c>
      <c r="P1787" t="str">
        <f t="shared" si="218"/>
        <v>On Time</v>
      </c>
      <c r="Q1787" s="13">
        <f t="shared" si="219"/>
        <v>0.30166666663717479</v>
      </c>
      <c r="R1787" s="13">
        <f t="shared" si="220"/>
        <v>0.53450231481838273</v>
      </c>
      <c r="S1787" s="13">
        <f t="shared" si="221"/>
        <v>3.5533680555527098</v>
      </c>
      <c r="T1787" t="str">
        <f t="shared" si="222"/>
        <v>On Time/Early</v>
      </c>
      <c r="U1787" t="str">
        <f t="shared" si="223"/>
        <v>Normal</v>
      </c>
      <c r="V1787" t="s">
        <v>102</v>
      </c>
    </row>
    <row r="1788" spans="1:22">
      <c r="A1788" t="s">
        <v>2537</v>
      </c>
      <c r="B1788" s="10">
        <v>43291.512789351851</v>
      </c>
      <c r="C1788" s="10">
        <v>43291.521053240744</v>
      </c>
      <c r="D1788" s="10">
        <v>43292.605555555558</v>
      </c>
      <c r="E1788" s="10">
        <v>43299.827025462961</v>
      </c>
      <c r="F1788" s="10">
        <v>43313</v>
      </c>
      <c r="G1788" t="s">
        <v>30</v>
      </c>
      <c r="H1788" t="s">
        <v>100</v>
      </c>
      <c r="I1788" t="s">
        <v>118</v>
      </c>
      <c r="J1788" s="11">
        <v>1</v>
      </c>
      <c r="K1788" s="12">
        <v>21.99</v>
      </c>
      <c r="L1788" s="12">
        <v>18.25</v>
      </c>
      <c r="M1788" s="13">
        <v>5</v>
      </c>
      <c r="N1788" s="13">
        <f t="shared" si="216"/>
        <v>8.3142361111094942</v>
      </c>
      <c r="O1788" s="13">
        <f t="shared" si="217"/>
        <v>0</v>
      </c>
      <c r="P1788" t="str">
        <f t="shared" si="218"/>
        <v>On Time</v>
      </c>
      <c r="Q1788" s="13">
        <f t="shared" si="219"/>
        <v>0.19833333342103288</v>
      </c>
      <c r="R1788" s="13">
        <f t="shared" si="220"/>
        <v>1.0845023148140172</v>
      </c>
      <c r="S1788" s="13">
        <f t="shared" si="221"/>
        <v>7.221469907402934</v>
      </c>
      <c r="T1788" t="str">
        <f t="shared" si="222"/>
        <v>On Time/Early</v>
      </c>
      <c r="U1788" t="str">
        <f t="shared" si="223"/>
        <v>Normal</v>
      </c>
      <c r="V1788" t="s">
        <v>102</v>
      </c>
    </row>
    <row r="1789" spans="1:22">
      <c r="A1789" t="s">
        <v>2538</v>
      </c>
      <c r="B1789" s="10">
        <v>43291.527916666666</v>
      </c>
      <c r="C1789" s="10">
        <v>43292.156793981485</v>
      </c>
      <c r="D1789" s="10">
        <v>43294.591666666667</v>
      </c>
      <c r="E1789" s="10">
        <v>43304.904270833336</v>
      </c>
      <c r="F1789" s="10">
        <v>43312</v>
      </c>
      <c r="G1789" t="s">
        <v>36</v>
      </c>
      <c r="H1789" t="s">
        <v>467</v>
      </c>
      <c r="I1789" t="s">
        <v>101</v>
      </c>
      <c r="J1789" s="11">
        <v>1</v>
      </c>
      <c r="K1789" s="12">
        <v>159.9</v>
      </c>
      <c r="L1789" s="12">
        <v>86.33</v>
      </c>
      <c r="M1789" s="13">
        <v>5</v>
      </c>
      <c r="N1789" s="13">
        <f t="shared" si="216"/>
        <v>13.376354166670353</v>
      </c>
      <c r="O1789" s="13">
        <f t="shared" si="217"/>
        <v>0</v>
      </c>
      <c r="P1789" t="str">
        <f t="shared" si="218"/>
        <v>On Time</v>
      </c>
      <c r="Q1789" s="13">
        <f t="shared" si="219"/>
        <v>15.093055555655155</v>
      </c>
      <c r="R1789" s="13">
        <f t="shared" si="220"/>
        <v>2.4348726851821993</v>
      </c>
      <c r="S1789" s="13">
        <f t="shared" si="221"/>
        <v>10.312604166669189</v>
      </c>
      <c r="T1789" t="str">
        <f t="shared" si="222"/>
        <v>On Time/Early</v>
      </c>
      <c r="U1789" t="str">
        <f t="shared" si="223"/>
        <v>Normal</v>
      </c>
      <c r="V1789" t="s">
        <v>102</v>
      </c>
    </row>
    <row r="1790" spans="1:22">
      <c r="A1790" t="s">
        <v>2539</v>
      </c>
      <c r="B1790" s="10">
        <v>43291.759351851855</v>
      </c>
      <c r="C1790" s="10">
        <v>43293.149456018517</v>
      </c>
      <c r="D1790" s="10">
        <v>43308.572222222225</v>
      </c>
      <c r="E1790" s="10">
        <v>43311.779317129629</v>
      </c>
      <c r="F1790" s="10">
        <v>43313</v>
      </c>
      <c r="G1790" t="s">
        <v>8</v>
      </c>
      <c r="H1790" t="s">
        <v>140</v>
      </c>
      <c r="I1790" t="s">
        <v>154</v>
      </c>
      <c r="J1790" s="11">
        <v>1</v>
      </c>
      <c r="K1790" s="12">
        <v>34.9</v>
      </c>
      <c r="L1790" s="12">
        <v>18.41</v>
      </c>
      <c r="M1790" s="13">
        <v>5</v>
      </c>
      <c r="N1790" s="13">
        <f t="shared" si="216"/>
        <v>20.019965277773736</v>
      </c>
      <c r="O1790" s="13">
        <f t="shared" si="217"/>
        <v>0</v>
      </c>
      <c r="P1790" t="str">
        <f t="shared" si="218"/>
        <v>On Time</v>
      </c>
      <c r="Q1790" s="13">
        <f t="shared" si="219"/>
        <v>33.362499999871943</v>
      </c>
      <c r="R1790" s="13">
        <f t="shared" si="220"/>
        <v>15.422766203708306</v>
      </c>
      <c r="S1790" s="13">
        <f t="shared" si="221"/>
        <v>3.2070949074040982</v>
      </c>
      <c r="T1790" t="str">
        <f t="shared" si="222"/>
        <v>On Time/Early</v>
      </c>
      <c r="U1790" t="str">
        <f t="shared" si="223"/>
        <v>Normal</v>
      </c>
      <c r="V1790" t="s">
        <v>102</v>
      </c>
    </row>
    <row r="1791" spans="1:22">
      <c r="A1791" t="s">
        <v>2540</v>
      </c>
      <c r="B1791" s="10">
        <v>43292.439895833333</v>
      </c>
      <c r="C1791" s="10">
        <v>43293.132152777776</v>
      </c>
      <c r="D1791" s="10">
        <v>43293.621527777781</v>
      </c>
      <c r="E1791" s="10">
        <v>43304.627928240741</v>
      </c>
      <c r="F1791" s="10">
        <v>43311</v>
      </c>
      <c r="G1791" t="s">
        <v>57</v>
      </c>
      <c r="H1791" t="s">
        <v>254</v>
      </c>
      <c r="I1791" t="s">
        <v>120</v>
      </c>
      <c r="J1791" s="11">
        <v>1</v>
      </c>
      <c r="K1791" s="12">
        <v>149.9</v>
      </c>
      <c r="L1791" s="12">
        <v>51.77</v>
      </c>
      <c r="M1791" s="13">
        <v>5</v>
      </c>
      <c r="N1791" s="13">
        <f t="shared" si="216"/>
        <v>12.188032407408173</v>
      </c>
      <c r="O1791" s="13">
        <f t="shared" si="217"/>
        <v>0</v>
      </c>
      <c r="P1791" t="str">
        <f t="shared" si="218"/>
        <v>On Time</v>
      </c>
      <c r="Q1791" s="13">
        <f t="shared" si="219"/>
        <v>16.614166666637175</v>
      </c>
      <c r="R1791" s="13">
        <f t="shared" si="220"/>
        <v>0.48937500000465661</v>
      </c>
      <c r="S1791" s="13">
        <f t="shared" si="221"/>
        <v>11.006400462960301</v>
      </c>
      <c r="T1791" t="str">
        <f t="shared" si="222"/>
        <v>On Time/Early</v>
      </c>
      <c r="U1791" t="str">
        <f t="shared" si="223"/>
        <v>Normal</v>
      </c>
      <c r="V1791" t="s">
        <v>102</v>
      </c>
    </row>
    <row r="1792" spans="1:22">
      <c r="A1792" t="s">
        <v>2541</v>
      </c>
      <c r="B1792" s="10">
        <v>43292.484236111108</v>
      </c>
      <c r="C1792" s="10">
        <v>43292.49322916667</v>
      </c>
      <c r="D1792" s="10">
        <v>43297.584722222222</v>
      </c>
      <c r="E1792" s="10">
        <v>43305.846180555556</v>
      </c>
      <c r="F1792" s="10">
        <v>43314</v>
      </c>
      <c r="G1792" t="s">
        <v>320</v>
      </c>
      <c r="H1792" t="s">
        <v>321</v>
      </c>
      <c r="I1792" t="s">
        <v>972</v>
      </c>
      <c r="J1792" s="11">
        <v>1</v>
      </c>
      <c r="K1792" s="12">
        <v>99.99</v>
      </c>
      <c r="L1792" s="12">
        <v>23.5</v>
      </c>
      <c r="M1792" s="13">
        <v>5</v>
      </c>
      <c r="N1792" s="13">
        <f t="shared" si="216"/>
        <v>13.361944444448454</v>
      </c>
      <c r="O1792" s="13">
        <f t="shared" si="217"/>
        <v>0</v>
      </c>
      <c r="P1792" t="str">
        <f t="shared" si="218"/>
        <v>On Time</v>
      </c>
      <c r="Q1792" s="13">
        <f t="shared" si="219"/>
        <v>0.21583333349553868</v>
      </c>
      <c r="R1792" s="13">
        <f t="shared" si="220"/>
        <v>5.0914930555518367</v>
      </c>
      <c r="S1792" s="13">
        <f t="shared" si="221"/>
        <v>8.2614583333343035</v>
      </c>
      <c r="T1792" t="str">
        <f t="shared" si="222"/>
        <v>On Time/Early</v>
      </c>
      <c r="U1792" t="str">
        <f t="shared" si="223"/>
        <v>Normal</v>
      </c>
      <c r="V1792" t="s">
        <v>102</v>
      </c>
    </row>
    <row r="1793" spans="1:22">
      <c r="A1793" t="s">
        <v>2542</v>
      </c>
      <c r="B1793" s="10">
        <v>43292.659722222219</v>
      </c>
      <c r="C1793" s="10">
        <v>43292.671099537038</v>
      </c>
      <c r="D1793" s="10">
        <v>43294.695138888892</v>
      </c>
      <c r="E1793" s="10">
        <v>43301.946377314816</v>
      </c>
      <c r="F1793" s="10">
        <v>43313</v>
      </c>
      <c r="G1793" t="s">
        <v>8</v>
      </c>
      <c r="H1793" t="s">
        <v>2543</v>
      </c>
      <c r="I1793" t="s">
        <v>101</v>
      </c>
      <c r="J1793" s="11">
        <v>1</v>
      </c>
      <c r="K1793" s="12">
        <v>61.2</v>
      </c>
      <c r="L1793" s="12">
        <v>21.07</v>
      </c>
      <c r="M1793" s="13">
        <v>5</v>
      </c>
      <c r="N1793" s="13">
        <f t="shared" si="216"/>
        <v>9.286655092597357</v>
      </c>
      <c r="O1793" s="13">
        <f t="shared" si="217"/>
        <v>0</v>
      </c>
      <c r="P1793" t="str">
        <f t="shared" si="218"/>
        <v>On Time</v>
      </c>
      <c r="Q1793" s="13">
        <f t="shared" si="219"/>
        <v>0.27305555564817041</v>
      </c>
      <c r="R1793" s="13">
        <f t="shared" si="220"/>
        <v>2.0240393518542987</v>
      </c>
      <c r="S1793" s="13">
        <f t="shared" si="221"/>
        <v>7.2512384259243845</v>
      </c>
      <c r="T1793" t="str">
        <f t="shared" si="222"/>
        <v>On Time/Early</v>
      </c>
      <c r="U1793" t="str">
        <f t="shared" si="223"/>
        <v>Normal</v>
      </c>
      <c r="V1793" t="s">
        <v>102</v>
      </c>
    </row>
    <row r="1794" spans="1:22">
      <c r="A1794" t="s">
        <v>2544</v>
      </c>
      <c r="B1794" s="10">
        <v>43293.969259259262</v>
      </c>
      <c r="C1794" s="10">
        <v>43293.975821759261</v>
      </c>
      <c r="D1794" s="10">
        <v>43294.640972222223</v>
      </c>
      <c r="E1794" s="10">
        <v>43301.81858796296</v>
      </c>
      <c r="F1794" s="10">
        <v>43313</v>
      </c>
      <c r="G1794" t="s">
        <v>23</v>
      </c>
      <c r="H1794" t="s">
        <v>275</v>
      </c>
      <c r="I1794" t="s">
        <v>221</v>
      </c>
      <c r="J1794" s="11">
        <v>1</v>
      </c>
      <c r="K1794" s="12">
        <v>509</v>
      </c>
      <c r="L1794" s="12">
        <v>21.71</v>
      </c>
      <c r="M1794" s="13">
        <v>5</v>
      </c>
      <c r="N1794" s="13">
        <f t="shared" ref="N1794:N1857" si="224">IFERROR(E1794-B1794,"")</f>
        <v>7.8493287036981201</v>
      </c>
      <c r="O1794" s="13">
        <f t="shared" ref="O1794:O1857" si="225">IFERROR(MAX(0,E1794-F1794),"")</f>
        <v>0</v>
      </c>
      <c r="P1794" t="str">
        <f t="shared" ref="P1794:P1857" si="226">IF(O1794&gt;0,"Delayed","On Time")</f>
        <v>On Time</v>
      </c>
      <c r="Q1794" s="13">
        <f t="shared" ref="Q1794:Q1857" si="227">IFERROR((C1794-B1794)*24,"")</f>
        <v>0.15749999997206032</v>
      </c>
      <c r="R1794" s="13">
        <f t="shared" ref="R1794:R1857" si="228">IFERROR(D1794-C1794,"")</f>
        <v>0.66515046296262881</v>
      </c>
      <c r="S1794" s="13">
        <f t="shared" ref="S1794:S1857" si="229">IFERROR(E1794-D1794,"")</f>
        <v>7.1776157407366554</v>
      </c>
      <c r="T1794" t="str">
        <f t="shared" ref="T1794:T1857" si="230">IF(O1794=0,"On Time/Early",IF(O1794&lt;=3,"1-3 Days Late",IF(O1794&lt;=7,"4-7 Days Late","8+ Days Late")))</f>
        <v>On Time/Early</v>
      </c>
      <c r="U1794" t="str">
        <f t="shared" ref="U1794:U1857" si="231">IF(P1794="Delayed","Needs Review","Normal")</f>
        <v>Normal</v>
      </c>
      <c r="V1794" t="s">
        <v>102</v>
      </c>
    </row>
    <row r="1795" spans="1:22">
      <c r="A1795" t="s">
        <v>2545</v>
      </c>
      <c r="B1795" s="10">
        <v>43294.293067129627</v>
      </c>
      <c r="C1795" s="10">
        <v>43294.298807870371</v>
      </c>
      <c r="D1795" s="10">
        <v>43305.796527777777</v>
      </c>
      <c r="E1795" s="10">
        <v>43306.561724537038</v>
      </c>
      <c r="F1795" s="10">
        <v>43312</v>
      </c>
      <c r="G1795" t="s">
        <v>8</v>
      </c>
      <c r="H1795" t="s">
        <v>915</v>
      </c>
      <c r="I1795" t="s">
        <v>221</v>
      </c>
      <c r="J1795" s="11">
        <v>1</v>
      </c>
      <c r="K1795" s="12">
        <v>154.91</v>
      </c>
      <c r="L1795" s="12">
        <v>8.34</v>
      </c>
      <c r="M1795" s="13">
        <v>1</v>
      </c>
      <c r="N1795" s="13">
        <f t="shared" si="224"/>
        <v>12.268657407410501</v>
      </c>
      <c r="O1795" s="13">
        <f t="shared" si="225"/>
        <v>0</v>
      </c>
      <c r="P1795" t="str">
        <f t="shared" si="226"/>
        <v>On Time</v>
      </c>
      <c r="Q1795" s="13">
        <f t="shared" si="227"/>
        <v>0.13777777785435319</v>
      </c>
      <c r="R1795" s="13">
        <f t="shared" si="228"/>
        <v>11.497719907405553</v>
      </c>
      <c r="S1795" s="13">
        <f t="shared" si="229"/>
        <v>0.76519675926101627</v>
      </c>
      <c r="T1795" t="str">
        <f t="shared" si="230"/>
        <v>On Time/Early</v>
      </c>
      <c r="U1795" t="str">
        <f t="shared" si="231"/>
        <v>Normal</v>
      </c>
      <c r="V1795" t="s">
        <v>102</v>
      </c>
    </row>
    <row r="1796" spans="1:22">
      <c r="A1796" t="s">
        <v>2546</v>
      </c>
      <c r="B1796" s="10">
        <v>43294.411111111112</v>
      </c>
      <c r="C1796" s="10">
        <v>43294.421030092592</v>
      </c>
      <c r="D1796" s="10">
        <v>43298.554166666669</v>
      </c>
      <c r="E1796" s="10">
        <v>43301.775300925925</v>
      </c>
      <c r="F1796" s="10">
        <v>43318</v>
      </c>
      <c r="G1796" t="s">
        <v>8</v>
      </c>
      <c r="H1796" t="s">
        <v>140</v>
      </c>
      <c r="I1796" t="s">
        <v>58</v>
      </c>
      <c r="J1796" s="11">
        <v>1</v>
      </c>
      <c r="K1796" s="12">
        <v>42.9</v>
      </c>
      <c r="L1796" s="12">
        <v>18.399999999999999</v>
      </c>
      <c r="M1796" s="13">
        <v>5</v>
      </c>
      <c r="N1796" s="13">
        <f t="shared" si="224"/>
        <v>7.364189814812562</v>
      </c>
      <c r="O1796" s="13">
        <f t="shared" si="225"/>
        <v>0</v>
      </c>
      <c r="P1796" t="str">
        <f t="shared" si="226"/>
        <v>On Time</v>
      </c>
      <c r="Q1796" s="13">
        <f t="shared" si="227"/>
        <v>0.2380555554991588</v>
      </c>
      <c r="R1796" s="13">
        <f t="shared" si="228"/>
        <v>4.1331365740770707</v>
      </c>
      <c r="S1796" s="13">
        <f t="shared" si="229"/>
        <v>3.2211342592563597</v>
      </c>
      <c r="T1796" t="str">
        <f t="shared" si="230"/>
        <v>On Time/Early</v>
      </c>
      <c r="U1796" t="str">
        <f t="shared" si="231"/>
        <v>Normal</v>
      </c>
      <c r="V1796" t="s">
        <v>102</v>
      </c>
    </row>
    <row r="1797" spans="1:22">
      <c r="A1797" t="s">
        <v>2547</v>
      </c>
      <c r="B1797" s="10">
        <v>43294.500601851854</v>
      </c>
      <c r="C1797" s="10">
        <v>43295.118217592593</v>
      </c>
      <c r="D1797" s="10">
        <v>43297.629166666666</v>
      </c>
      <c r="E1797" s="10">
        <v>43314.976759259262</v>
      </c>
      <c r="F1797" s="10">
        <v>43335</v>
      </c>
      <c r="G1797" t="s">
        <v>134</v>
      </c>
      <c r="H1797" t="s">
        <v>1976</v>
      </c>
      <c r="I1797" t="s">
        <v>753</v>
      </c>
      <c r="J1797" s="11">
        <v>2</v>
      </c>
      <c r="K1797" s="12">
        <v>315</v>
      </c>
      <c r="L1797" s="12">
        <v>34.99</v>
      </c>
      <c r="M1797" s="13">
        <v>5</v>
      </c>
      <c r="N1797" s="13">
        <f t="shared" si="224"/>
        <v>20.4761574074073</v>
      </c>
      <c r="O1797" s="13">
        <f t="shared" si="225"/>
        <v>0</v>
      </c>
      <c r="P1797" t="str">
        <f t="shared" si="226"/>
        <v>On Time</v>
      </c>
      <c r="Q1797" s="13">
        <f t="shared" si="227"/>
        <v>14.82277777773561</v>
      </c>
      <c r="R1797" s="13">
        <f t="shared" si="228"/>
        <v>2.5109490740724141</v>
      </c>
      <c r="S1797" s="13">
        <f t="shared" si="229"/>
        <v>17.347592592595902</v>
      </c>
      <c r="T1797" t="str">
        <f t="shared" si="230"/>
        <v>On Time/Early</v>
      </c>
      <c r="U1797" t="str">
        <f t="shared" si="231"/>
        <v>Normal</v>
      </c>
      <c r="V1797" t="s">
        <v>102</v>
      </c>
    </row>
    <row r="1798" spans="1:22">
      <c r="A1798" t="s">
        <v>2548</v>
      </c>
      <c r="B1798" s="10">
        <v>43294.51935185185</v>
      </c>
      <c r="C1798" s="10">
        <v>43294.530486111114</v>
      </c>
      <c r="D1798" s="10">
        <v>43305.592361111114</v>
      </c>
      <c r="E1798" s="10">
        <v>43308.749722222223</v>
      </c>
      <c r="F1798" s="10">
        <v>43332</v>
      </c>
      <c r="G1798" t="s">
        <v>16</v>
      </c>
      <c r="H1798" t="s">
        <v>138</v>
      </c>
      <c r="I1798" t="s">
        <v>221</v>
      </c>
      <c r="J1798" s="11">
        <v>1</v>
      </c>
      <c r="K1798" s="12">
        <v>155.97</v>
      </c>
      <c r="L1798" s="12">
        <v>16.190000000000001</v>
      </c>
      <c r="M1798" s="13">
        <v>4</v>
      </c>
      <c r="N1798" s="13">
        <f t="shared" si="224"/>
        <v>14.230370370372839</v>
      </c>
      <c r="O1798" s="13">
        <f t="shared" si="225"/>
        <v>0</v>
      </c>
      <c r="P1798" t="str">
        <f t="shared" si="226"/>
        <v>On Time</v>
      </c>
      <c r="Q1798" s="13">
        <f t="shared" si="227"/>
        <v>0.26722222234820947</v>
      </c>
      <c r="R1798" s="13">
        <f t="shared" si="228"/>
        <v>11.061874999999418</v>
      </c>
      <c r="S1798" s="13">
        <f t="shared" si="229"/>
        <v>3.1573611111089122</v>
      </c>
      <c r="T1798" t="str">
        <f t="shared" si="230"/>
        <v>On Time/Early</v>
      </c>
      <c r="U1798" t="str">
        <f t="shared" si="231"/>
        <v>Normal</v>
      </c>
      <c r="V1798" t="s">
        <v>102</v>
      </c>
    </row>
    <row r="1799" spans="1:22">
      <c r="A1799" t="s">
        <v>2549</v>
      </c>
      <c r="B1799" s="10">
        <v>43294.57099537037</v>
      </c>
      <c r="C1799" s="10">
        <v>43294.576631944445</v>
      </c>
      <c r="D1799" s="10">
        <v>43299.623611111114</v>
      </c>
      <c r="E1799" s="10">
        <v>43304.79991898148</v>
      </c>
      <c r="F1799" s="10">
        <v>43308</v>
      </c>
      <c r="G1799" t="s">
        <v>8</v>
      </c>
      <c r="H1799" t="s">
        <v>1207</v>
      </c>
      <c r="I1799" t="s">
        <v>34</v>
      </c>
      <c r="J1799" s="11">
        <v>1</v>
      </c>
      <c r="K1799" s="12">
        <v>37.799999999999997</v>
      </c>
      <c r="L1799" s="12">
        <v>12.93</v>
      </c>
      <c r="M1799" s="13">
        <v>5</v>
      </c>
      <c r="N1799" s="13">
        <f t="shared" si="224"/>
        <v>10.228923611110076</v>
      </c>
      <c r="O1799" s="13">
        <f t="shared" si="225"/>
        <v>0</v>
      </c>
      <c r="P1799" t="str">
        <f t="shared" si="226"/>
        <v>On Time</v>
      </c>
      <c r="Q1799" s="13">
        <f t="shared" si="227"/>
        <v>0.13527777779381722</v>
      </c>
      <c r="R1799" s="13">
        <f t="shared" si="228"/>
        <v>5.046979166669189</v>
      </c>
      <c r="S1799" s="13">
        <f t="shared" si="229"/>
        <v>5.1763078703661449</v>
      </c>
      <c r="T1799" t="str">
        <f t="shared" si="230"/>
        <v>On Time/Early</v>
      </c>
      <c r="U1799" t="str">
        <f t="shared" si="231"/>
        <v>Normal</v>
      </c>
      <c r="V1799" t="s">
        <v>102</v>
      </c>
    </row>
    <row r="1800" spans="1:22">
      <c r="A1800" t="s">
        <v>2550</v>
      </c>
      <c r="B1800" s="10">
        <v>43294.805856481478</v>
      </c>
      <c r="C1800" s="10">
        <v>43294.812708333331</v>
      </c>
      <c r="D1800" s="10">
        <v>43297.556944444441</v>
      </c>
      <c r="E1800" s="10">
        <v>43304.663124999999</v>
      </c>
      <c r="F1800" s="10">
        <v>43319</v>
      </c>
      <c r="G1800" t="s">
        <v>110</v>
      </c>
      <c r="H1800" t="s">
        <v>111</v>
      </c>
      <c r="I1800" t="s">
        <v>58</v>
      </c>
      <c r="J1800" s="11">
        <v>1</v>
      </c>
      <c r="K1800" s="12">
        <v>199.9</v>
      </c>
      <c r="L1800" s="12">
        <v>24.55</v>
      </c>
      <c r="M1800" s="13">
        <v>1</v>
      </c>
      <c r="N1800" s="13">
        <f t="shared" si="224"/>
        <v>9.8572685185208684</v>
      </c>
      <c r="O1800" s="13">
        <f t="shared" si="225"/>
        <v>0</v>
      </c>
      <c r="P1800" t="str">
        <f t="shared" si="226"/>
        <v>On Time</v>
      </c>
      <c r="Q1800" s="13">
        <f t="shared" si="227"/>
        <v>0.16444444446824491</v>
      </c>
      <c r="R1800" s="13">
        <f t="shared" si="228"/>
        <v>2.7442361111097853</v>
      </c>
      <c r="S1800" s="13">
        <f t="shared" si="229"/>
        <v>7.1061805555582396</v>
      </c>
      <c r="T1800" t="str">
        <f t="shared" si="230"/>
        <v>On Time/Early</v>
      </c>
      <c r="U1800" t="str">
        <f t="shared" si="231"/>
        <v>Normal</v>
      </c>
      <c r="V1800" t="s">
        <v>102</v>
      </c>
    </row>
    <row r="1801" spans="1:22">
      <c r="A1801" t="s">
        <v>2551</v>
      </c>
      <c r="B1801" s="10">
        <v>43294.838148148148</v>
      </c>
      <c r="C1801" s="10">
        <v>43294.849953703706</v>
      </c>
      <c r="D1801" s="10">
        <v>43299.525000000001</v>
      </c>
      <c r="E1801" s="10">
        <v>43307.661539351851</v>
      </c>
      <c r="F1801" s="10">
        <v>43319</v>
      </c>
      <c r="G1801" t="s">
        <v>43</v>
      </c>
      <c r="H1801" t="s">
        <v>167</v>
      </c>
      <c r="I1801" t="s">
        <v>31</v>
      </c>
      <c r="J1801" s="11">
        <v>1</v>
      </c>
      <c r="K1801" s="12">
        <v>200</v>
      </c>
      <c r="L1801" s="12">
        <v>16.5</v>
      </c>
      <c r="M1801" s="13">
        <v>4</v>
      </c>
      <c r="N1801" s="13">
        <f t="shared" si="224"/>
        <v>12.823391203703068</v>
      </c>
      <c r="O1801" s="13">
        <f t="shared" si="225"/>
        <v>0</v>
      </c>
      <c r="P1801" t="str">
        <f t="shared" si="226"/>
        <v>On Time</v>
      </c>
      <c r="Q1801" s="13">
        <f t="shared" si="227"/>
        <v>0.28333333338377997</v>
      </c>
      <c r="R1801" s="13">
        <f t="shared" si="228"/>
        <v>4.6750462962954771</v>
      </c>
      <c r="S1801" s="13">
        <f t="shared" si="229"/>
        <v>8.1365393518499332</v>
      </c>
      <c r="T1801" t="str">
        <f t="shared" si="230"/>
        <v>On Time/Early</v>
      </c>
      <c r="U1801" t="str">
        <f t="shared" si="231"/>
        <v>Normal</v>
      </c>
      <c r="V1801" t="s">
        <v>102</v>
      </c>
    </row>
    <row r="1802" spans="1:22">
      <c r="A1802" t="s">
        <v>2552</v>
      </c>
      <c r="B1802" s="10">
        <v>43294.940439814818</v>
      </c>
      <c r="C1802" s="10">
        <v>43294.951562499999</v>
      </c>
      <c r="D1802" s="10">
        <v>43297.638194444444</v>
      </c>
      <c r="E1802" s="10">
        <v>43307.7655787037</v>
      </c>
      <c r="F1802" s="10">
        <v>43314</v>
      </c>
      <c r="G1802" t="s">
        <v>23</v>
      </c>
      <c r="H1802" t="s">
        <v>275</v>
      </c>
      <c r="I1802" t="s">
        <v>101</v>
      </c>
      <c r="J1802" s="11">
        <v>1</v>
      </c>
      <c r="K1802" s="12">
        <v>54.9</v>
      </c>
      <c r="L1802" s="12">
        <v>17.309999999999999</v>
      </c>
      <c r="M1802" s="13">
        <v>5</v>
      </c>
      <c r="N1802" s="13">
        <f t="shared" si="224"/>
        <v>12.825138888882066</v>
      </c>
      <c r="O1802" s="13">
        <f t="shared" si="225"/>
        <v>0</v>
      </c>
      <c r="P1802" t="str">
        <f t="shared" si="226"/>
        <v>On Time</v>
      </c>
      <c r="Q1802" s="13">
        <f t="shared" si="227"/>
        <v>0.26694444433087483</v>
      </c>
      <c r="R1802" s="13">
        <f t="shared" si="228"/>
        <v>2.6866319444452529</v>
      </c>
      <c r="S1802" s="13">
        <f t="shared" si="229"/>
        <v>10.12738425925636</v>
      </c>
      <c r="T1802" t="str">
        <f t="shared" si="230"/>
        <v>On Time/Early</v>
      </c>
      <c r="U1802" t="str">
        <f t="shared" si="231"/>
        <v>Normal</v>
      </c>
      <c r="V1802" t="s">
        <v>102</v>
      </c>
    </row>
    <row r="1803" spans="1:22">
      <c r="A1803" t="s">
        <v>2553</v>
      </c>
      <c r="B1803" s="10">
        <v>43294.972002314818</v>
      </c>
      <c r="C1803" s="10">
        <v>43294.979351851849</v>
      </c>
      <c r="D1803" s="10">
        <v>43312.541666666664</v>
      </c>
      <c r="E1803" s="10">
        <v>43319.770613425928</v>
      </c>
      <c r="F1803" s="10">
        <v>43321</v>
      </c>
      <c r="G1803" t="s">
        <v>30</v>
      </c>
      <c r="H1803" t="s">
        <v>365</v>
      </c>
      <c r="I1803" t="s">
        <v>58</v>
      </c>
      <c r="J1803" s="11">
        <v>1</v>
      </c>
      <c r="K1803" s="12">
        <v>86</v>
      </c>
      <c r="L1803" s="12">
        <v>15.7</v>
      </c>
      <c r="M1803" s="13">
        <v>4</v>
      </c>
      <c r="N1803" s="13">
        <f t="shared" si="224"/>
        <v>24.798611111109494</v>
      </c>
      <c r="O1803" s="13">
        <f t="shared" si="225"/>
        <v>0</v>
      </c>
      <c r="P1803" t="str">
        <f t="shared" si="226"/>
        <v>On Time</v>
      </c>
      <c r="Q1803" s="13">
        <f t="shared" si="227"/>
        <v>0.17638888873625547</v>
      </c>
      <c r="R1803" s="13">
        <f t="shared" si="228"/>
        <v>17.562314814815181</v>
      </c>
      <c r="S1803" s="13">
        <f t="shared" si="229"/>
        <v>7.2289467592636356</v>
      </c>
      <c r="T1803" t="str">
        <f t="shared" si="230"/>
        <v>On Time/Early</v>
      </c>
      <c r="U1803" t="str">
        <f t="shared" si="231"/>
        <v>Normal</v>
      </c>
      <c r="V1803" t="s">
        <v>102</v>
      </c>
    </row>
    <row r="1804" spans="1:22">
      <c r="A1804" t="s">
        <v>2554</v>
      </c>
      <c r="B1804" s="10">
        <v>43295.780960648146</v>
      </c>
      <c r="C1804" s="10">
        <v>43295.78833333333</v>
      </c>
      <c r="D1804" s="10">
        <v>43299.474305555559</v>
      </c>
      <c r="E1804" s="10">
        <v>43307.668842592589</v>
      </c>
      <c r="F1804" s="10">
        <v>43318</v>
      </c>
      <c r="G1804" t="s">
        <v>8</v>
      </c>
      <c r="H1804" t="s">
        <v>1207</v>
      </c>
      <c r="I1804" t="s">
        <v>180</v>
      </c>
      <c r="J1804" s="11">
        <v>1</v>
      </c>
      <c r="K1804" s="12">
        <v>59.9</v>
      </c>
      <c r="L1804" s="12">
        <v>19.61</v>
      </c>
      <c r="M1804" s="13">
        <v>5</v>
      </c>
      <c r="N1804" s="13">
        <f t="shared" si="224"/>
        <v>11.887881944443507</v>
      </c>
      <c r="O1804" s="13">
        <f t="shared" si="225"/>
        <v>0</v>
      </c>
      <c r="P1804" t="str">
        <f t="shared" si="226"/>
        <v>On Time</v>
      </c>
      <c r="Q1804" s="13">
        <f t="shared" si="227"/>
        <v>0.17694444442167878</v>
      </c>
      <c r="R1804" s="13">
        <f t="shared" si="228"/>
        <v>3.6859722222288838</v>
      </c>
      <c r="S1804" s="13">
        <f t="shared" si="229"/>
        <v>8.1945370370303863</v>
      </c>
      <c r="T1804" t="str">
        <f t="shared" si="230"/>
        <v>On Time/Early</v>
      </c>
      <c r="U1804" t="str">
        <f t="shared" si="231"/>
        <v>Normal</v>
      </c>
      <c r="V1804" t="s">
        <v>102</v>
      </c>
    </row>
    <row r="1805" spans="1:22">
      <c r="A1805" t="s">
        <v>2555</v>
      </c>
      <c r="B1805" s="10">
        <v>43295.799745370372</v>
      </c>
      <c r="C1805" s="10">
        <v>43298.188657407409</v>
      </c>
      <c r="D1805" s="10">
        <v>43299.597222222219</v>
      </c>
      <c r="E1805" s="10">
        <v>43307.629571759258</v>
      </c>
      <c r="F1805" s="10">
        <v>43318</v>
      </c>
      <c r="G1805" t="s">
        <v>464</v>
      </c>
      <c r="H1805" t="s">
        <v>883</v>
      </c>
      <c r="I1805" t="s">
        <v>185</v>
      </c>
      <c r="J1805" s="11">
        <v>2</v>
      </c>
      <c r="K1805" s="12">
        <v>79.8</v>
      </c>
      <c r="L1805" s="12">
        <v>46</v>
      </c>
      <c r="M1805" s="13">
        <v>5</v>
      </c>
      <c r="N1805" s="13">
        <f t="shared" si="224"/>
        <v>11.829826388886431</v>
      </c>
      <c r="O1805" s="13">
        <f t="shared" si="225"/>
        <v>0</v>
      </c>
      <c r="P1805" t="str">
        <f t="shared" si="226"/>
        <v>On Time</v>
      </c>
      <c r="Q1805" s="13">
        <f t="shared" si="227"/>
        <v>57.333888888882939</v>
      </c>
      <c r="R1805" s="13">
        <f t="shared" si="228"/>
        <v>1.4085648148102337</v>
      </c>
      <c r="S1805" s="13">
        <f t="shared" si="229"/>
        <v>8.0323495370394085</v>
      </c>
      <c r="T1805" t="str">
        <f t="shared" si="230"/>
        <v>On Time/Early</v>
      </c>
      <c r="U1805" t="str">
        <f t="shared" si="231"/>
        <v>Normal</v>
      </c>
      <c r="V1805" t="s">
        <v>102</v>
      </c>
    </row>
    <row r="1806" spans="1:22">
      <c r="A1806" t="s">
        <v>2556</v>
      </c>
      <c r="B1806" s="10">
        <v>43295.838645833333</v>
      </c>
      <c r="C1806" s="10">
        <v>43298.188657407409</v>
      </c>
      <c r="D1806" s="10">
        <v>43298.647916666669</v>
      </c>
      <c r="E1806" s="10">
        <v>43301.835081018522</v>
      </c>
      <c r="F1806" s="10">
        <v>43313</v>
      </c>
      <c r="G1806" t="s">
        <v>20</v>
      </c>
      <c r="H1806" t="s">
        <v>2557</v>
      </c>
      <c r="I1806" t="s">
        <v>24</v>
      </c>
      <c r="J1806" s="11">
        <v>1</v>
      </c>
      <c r="K1806" s="12">
        <v>27.9</v>
      </c>
      <c r="L1806" s="12">
        <v>18.3</v>
      </c>
      <c r="M1806" s="13">
        <v>4</v>
      </c>
      <c r="N1806" s="13">
        <f t="shared" si="224"/>
        <v>5.9964351851886022</v>
      </c>
      <c r="O1806" s="13">
        <f t="shared" si="225"/>
        <v>0</v>
      </c>
      <c r="P1806" t="str">
        <f t="shared" si="226"/>
        <v>On Time</v>
      </c>
      <c r="Q1806" s="13">
        <f t="shared" si="227"/>
        <v>56.400277777807787</v>
      </c>
      <c r="R1806" s="13">
        <f t="shared" si="228"/>
        <v>0.45925925925985212</v>
      </c>
      <c r="S1806" s="13">
        <f t="shared" si="229"/>
        <v>3.1871643518534256</v>
      </c>
      <c r="T1806" t="str">
        <f t="shared" si="230"/>
        <v>On Time/Early</v>
      </c>
      <c r="U1806" t="str">
        <f t="shared" si="231"/>
        <v>Normal</v>
      </c>
      <c r="V1806" t="s">
        <v>102</v>
      </c>
    </row>
    <row r="1807" spans="1:22">
      <c r="A1807" t="s">
        <v>2558</v>
      </c>
      <c r="B1807" s="10">
        <v>43296.439606481479</v>
      </c>
      <c r="C1807" s="10">
        <v>43296.448067129626</v>
      </c>
      <c r="D1807" s="10">
        <v>43299.327777777777</v>
      </c>
      <c r="E1807" s="10">
        <v>43304.907430555555</v>
      </c>
      <c r="F1807" s="10">
        <v>43313</v>
      </c>
      <c r="G1807" t="s">
        <v>8</v>
      </c>
      <c r="H1807" t="s">
        <v>2559</v>
      </c>
      <c r="I1807" t="s">
        <v>136</v>
      </c>
      <c r="J1807" s="11">
        <v>1</v>
      </c>
      <c r="K1807" s="12">
        <v>43</v>
      </c>
      <c r="L1807" s="12">
        <v>12.96</v>
      </c>
      <c r="M1807" s="13">
        <v>5</v>
      </c>
      <c r="N1807" s="13">
        <f t="shared" si="224"/>
        <v>8.4678240740759065</v>
      </c>
      <c r="O1807" s="13">
        <f t="shared" si="225"/>
        <v>0</v>
      </c>
      <c r="P1807" t="str">
        <f t="shared" si="226"/>
        <v>On Time</v>
      </c>
      <c r="Q1807" s="13">
        <f t="shared" si="227"/>
        <v>0.20305555552477017</v>
      </c>
      <c r="R1807" s="13">
        <f t="shared" si="228"/>
        <v>2.8797106481506489</v>
      </c>
      <c r="S1807" s="13">
        <f t="shared" si="229"/>
        <v>5.5796527777783922</v>
      </c>
      <c r="T1807" t="str">
        <f t="shared" si="230"/>
        <v>On Time/Early</v>
      </c>
      <c r="U1807" t="str">
        <f t="shared" si="231"/>
        <v>Normal</v>
      </c>
      <c r="V1807" t="s">
        <v>102</v>
      </c>
    </row>
    <row r="1808" spans="1:22">
      <c r="A1808" t="s">
        <v>2560</v>
      </c>
      <c r="B1808" s="10">
        <v>43296.667430555557</v>
      </c>
      <c r="C1808" s="10">
        <v>43296.677268518521</v>
      </c>
      <c r="D1808" s="10">
        <v>43304.620138888888</v>
      </c>
      <c r="E1808" s="10">
        <v>43311.966944444444</v>
      </c>
      <c r="F1808" s="10">
        <v>43327</v>
      </c>
      <c r="G1808" t="s">
        <v>20</v>
      </c>
      <c r="H1808" t="s">
        <v>2561</v>
      </c>
      <c r="I1808" t="s">
        <v>141</v>
      </c>
      <c r="J1808" s="11">
        <v>1</v>
      </c>
      <c r="K1808" s="12">
        <v>169</v>
      </c>
      <c r="L1808" s="12">
        <v>32.229999999999997</v>
      </c>
      <c r="M1808" s="13">
        <v>5</v>
      </c>
      <c r="N1808" s="13">
        <f t="shared" si="224"/>
        <v>15.299513888887304</v>
      </c>
      <c r="O1808" s="13">
        <f t="shared" si="225"/>
        <v>0</v>
      </c>
      <c r="P1808" t="str">
        <f t="shared" si="226"/>
        <v>On Time</v>
      </c>
      <c r="Q1808" s="13">
        <f t="shared" si="227"/>
        <v>0.23611111112404615</v>
      </c>
      <c r="R1808" s="13">
        <f t="shared" si="228"/>
        <v>7.942870370367018</v>
      </c>
      <c r="S1808" s="13">
        <f t="shared" si="229"/>
        <v>7.3468055555567844</v>
      </c>
      <c r="T1808" t="str">
        <f t="shared" si="230"/>
        <v>On Time/Early</v>
      </c>
      <c r="U1808" t="str">
        <f t="shared" si="231"/>
        <v>Normal</v>
      </c>
      <c r="V1808" t="s">
        <v>102</v>
      </c>
    </row>
    <row r="1809" spans="1:22">
      <c r="A1809" t="s">
        <v>2562</v>
      </c>
      <c r="B1809" s="10">
        <v>43297.278310185182</v>
      </c>
      <c r="C1809" s="10">
        <v>43297.284826388888</v>
      </c>
      <c r="D1809" s="10">
        <v>43297.622916666667</v>
      </c>
      <c r="E1809" s="10">
        <v>43307.440046296295</v>
      </c>
      <c r="F1809" s="10">
        <v>43322</v>
      </c>
      <c r="G1809" t="s">
        <v>30</v>
      </c>
      <c r="H1809" t="s">
        <v>2563</v>
      </c>
      <c r="I1809" t="s">
        <v>118</v>
      </c>
      <c r="J1809" s="11">
        <v>1</v>
      </c>
      <c r="K1809" s="12">
        <v>27.99</v>
      </c>
      <c r="L1809" s="12">
        <v>18.3</v>
      </c>
      <c r="M1809" s="13">
        <v>5</v>
      </c>
      <c r="N1809" s="13">
        <f t="shared" si="224"/>
        <v>10.161736111112987</v>
      </c>
      <c r="O1809" s="13">
        <f t="shared" si="225"/>
        <v>0</v>
      </c>
      <c r="P1809" t="str">
        <f t="shared" si="226"/>
        <v>On Time</v>
      </c>
      <c r="Q1809" s="13">
        <f t="shared" si="227"/>
        <v>0.15638888895045966</v>
      </c>
      <c r="R1809" s="13">
        <f t="shared" si="228"/>
        <v>0.33809027777897427</v>
      </c>
      <c r="S1809" s="13">
        <f t="shared" si="229"/>
        <v>9.8171296296277433</v>
      </c>
      <c r="T1809" t="str">
        <f t="shared" si="230"/>
        <v>On Time/Early</v>
      </c>
      <c r="U1809" t="str">
        <f t="shared" si="231"/>
        <v>Normal</v>
      </c>
      <c r="V1809" t="s">
        <v>102</v>
      </c>
    </row>
    <row r="1810" spans="1:22">
      <c r="A1810" t="s">
        <v>2564</v>
      </c>
      <c r="B1810" s="10">
        <v>43297.383750000001</v>
      </c>
      <c r="C1810" s="10">
        <v>43298.188414351855</v>
      </c>
      <c r="D1810" s="10">
        <v>43299.56527777778</v>
      </c>
      <c r="E1810" s="10">
        <v>43304.926111111112</v>
      </c>
      <c r="F1810" s="10">
        <v>43311</v>
      </c>
      <c r="G1810" t="s">
        <v>8</v>
      </c>
      <c r="H1810" t="s">
        <v>1907</v>
      </c>
      <c r="I1810" t="s">
        <v>659</v>
      </c>
      <c r="J1810" s="11">
        <v>1</v>
      </c>
      <c r="K1810" s="12">
        <v>129.49</v>
      </c>
      <c r="L1810" s="12">
        <v>13.57</v>
      </c>
      <c r="M1810" s="13">
        <v>4</v>
      </c>
      <c r="N1810" s="13">
        <f t="shared" si="224"/>
        <v>7.5423611111109494</v>
      </c>
      <c r="O1810" s="13">
        <f t="shared" si="225"/>
        <v>0</v>
      </c>
      <c r="P1810" t="str">
        <f t="shared" si="226"/>
        <v>On Time</v>
      </c>
      <c r="Q1810" s="13">
        <f t="shared" si="227"/>
        <v>19.3119444444892</v>
      </c>
      <c r="R1810" s="13">
        <f t="shared" si="228"/>
        <v>1.3768634259249666</v>
      </c>
      <c r="S1810" s="13">
        <f t="shared" si="229"/>
        <v>5.3608333333322662</v>
      </c>
      <c r="T1810" t="str">
        <f t="shared" si="230"/>
        <v>On Time/Early</v>
      </c>
      <c r="U1810" t="str">
        <f t="shared" si="231"/>
        <v>Normal</v>
      </c>
      <c r="V1810" t="s">
        <v>102</v>
      </c>
    </row>
    <row r="1811" spans="1:22">
      <c r="A1811" t="s">
        <v>2565</v>
      </c>
      <c r="B1811" s="10">
        <v>43297.448761574073</v>
      </c>
      <c r="C1811" s="10">
        <v>43297.455057870371</v>
      </c>
      <c r="D1811" s="10">
        <v>43298.61041666667</v>
      </c>
      <c r="E1811" s="10">
        <v>43301.727442129632</v>
      </c>
      <c r="F1811" s="10">
        <v>43306</v>
      </c>
      <c r="G1811" t="s">
        <v>8</v>
      </c>
      <c r="H1811" t="s">
        <v>309</v>
      </c>
      <c r="I1811" t="s">
        <v>221</v>
      </c>
      <c r="J1811" s="11">
        <v>1</v>
      </c>
      <c r="K1811" s="12">
        <v>509</v>
      </c>
      <c r="L1811" s="12">
        <v>12.31</v>
      </c>
      <c r="M1811" s="13">
        <v>5</v>
      </c>
      <c r="N1811" s="13">
        <f t="shared" si="224"/>
        <v>4.2786805555588217</v>
      </c>
      <c r="O1811" s="13">
        <f t="shared" si="225"/>
        <v>0</v>
      </c>
      <c r="P1811" t="str">
        <f t="shared" si="226"/>
        <v>On Time</v>
      </c>
      <c r="Q1811" s="13">
        <f t="shared" si="227"/>
        <v>0.15111111116129905</v>
      </c>
      <c r="R1811" s="13">
        <f t="shared" si="228"/>
        <v>1.1553587962989695</v>
      </c>
      <c r="S1811" s="13">
        <f t="shared" si="229"/>
        <v>3.1170254629614647</v>
      </c>
      <c r="T1811" t="str">
        <f t="shared" si="230"/>
        <v>On Time/Early</v>
      </c>
      <c r="U1811" t="str">
        <f t="shared" si="231"/>
        <v>Normal</v>
      </c>
      <c r="V1811" t="s">
        <v>102</v>
      </c>
    </row>
    <row r="1812" spans="1:22">
      <c r="A1812" t="s">
        <v>2566</v>
      </c>
      <c r="B1812" s="10">
        <v>43297.489212962966</v>
      </c>
      <c r="C1812" s="10">
        <v>43297.521539351852</v>
      </c>
      <c r="D1812" s="10">
        <v>43298.293055555558</v>
      </c>
      <c r="E1812" s="10">
        <v>43305.086087962962</v>
      </c>
      <c r="F1812" s="10">
        <v>43311</v>
      </c>
      <c r="G1812" t="s">
        <v>8</v>
      </c>
      <c r="H1812" t="s">
        <v>418</v>
      </c>
      <c r="I1812" t="s">
        <v>180</v>
      </c>
      <c r="J1812" s="11">
        <v>1</v>
      </c>
      <c r="K1812" s="12">
        <v>80</v>
      </c>
      <c r="L1812" s="12">
        <v>14.14</v>
      </c>
      <c r="M1812" s="13">
        <v>5</v>
      </c>
      <c r="N1812" s="13">
        <f t="shared" si="224"/>
        <v>7.5968749999956344</v>
      </c>
      <c r="O1812" s="13">
        <f t="shared" si="225"/>
        <v>0</v>
      </c>
      <c r="P1812" t="str">
        <f t="shared" si="226"/>
        <v>On Time</v>
      </c>
      <c r="Q1812" s="13">
        <f t="shared" si="227"/>
        <v>0.77583333326037973</v>
      </c>
      <c r="R1812" s="13">
        <f t="shared" si="228"/>
        <v>0.77151620370568708</v>
      </c>
      <c r="S1812" s="13">
        <f t="shared" si="229"/>
        <v>6.7930324074040982</v>
      </c>
      <c r="T1812" t="str">
        <f t="shared" si="230"/>
        <v>On Time/Early</v>
      </c>
      <c r="U1812" t="str">
        <f t="shared" si="231"/>
        <v>Normal</v>
      </c>
      <c r="V1812" t="s">
        <v>102</v>
      </c>
    </row>
    <row r="1813" spans="1:22">
      <c r="A1813" t="s">
        <v>2567</v>
      </c>
      <c r="B1813" s="10">
        <v>43297.518020833333</v>
      </c>
      <c r="C1813" s="10">
        <v>43297.524537037039</v>
      </c>
      <c r="D1813" s="10">
        <v>43298.63958333333</v>
      </c>
      <c r="E1813" s="10">
        <v>43307.631226851852</v>
      </c>
      <c r="F1813" s="10">
        <v>43319</v>
      </c>
      <c r="G1813" t="s">
        <v>50</v>
      </c>
      <c r="H1813" t="s">
        <v>414</v>
      </c>
      <c r="I1813" t="s">
        <v>143</v>
      </c>
      <c r="J1813" s="11">
        <v>1</v>
      </c>
      <c r="K1813" s="12">
        <v>44.99</v>
      </c>
      <c r="L1813" s="12">
        <v>19.23</v>
      </c>
      <c r="M1813" s="13">
        <v>5</v>
      </c>
      <c r="N1813" s="13">
        <f t="shared" si="224"/>
        <v>10.113206018519122</v>
      </c>
      <c r="O1813" s="13">
        <f t="shared" si="225"/>
        <v>0</v>
      </c>
      <c r="P1813" t="str">
        <f t="shared" si="226"/>
        <v>On Time</v>
      </c>
      <c r="Q1813" s="13">
        <f t="shared" si="227"/>
        <v>0.15638888895045966</v>
      </c>
      <c r="R1813" s="13">
        <f t="shared" si="228"/>
        <v>1.1150462962905294</v>
      </c>
      <c r="S1813" s="13">
        <f t="shared" si="229"/>
        <v>8.9916435185223236</v>
      </c>
      <c r="T1813" t="str">
        <f t="shared" si="230"/>
        <v>On Time/Early</v>
      </c>
      <c r="U1813" t="str">
        <f t="shared" si="231"/>
        <v>Normal</v>
      </c>
      <c r="V1813" t="s">
        <v>102</v>
      </c>
    </row>
    <row r="1814" spans="1:22">
      <c r="A1814" t="s">
        <v>2568</v>
      </c>
      <c r="B1814" s="10">
        <v>43297.581377314818</v>
      </c>
      <c r="C1814" s="10">
        <v>43297.590555555558</v>
      </c>
      <c r="D1814" s="10">
        <v>43314.304166666669</v>
      </c>
      <c r="E1814" s="10">
        <v>43322.814502314817</v>
      </c>
      <c r="F1814" s="10">
        <v>43315</v>
      </c>
      <c r="G1814" t="s">
        <v>8</v>
      </c>
      <c r="H1814" t="s">
        <v>161</v>
      </c>
      <c r="I1814" t="s">
        <v>58</v>
      </c>
      <c r="J1814" s="11">
        <v>1</v>
      </c>
      <c r="K1814" s="12">
        <v>66.989999999999995</v>
      </c>
      <c r="L1814" s="12">
        <v>27.75</v>
      </c>
      <c r="M1814" s="13">
        <v>1</v>
      </c>
      <c r="N1814" s="13">
        <f t="shared" si="224"/>
        <v>25.233124999998836</v>
      </c>
      <c r="O1814" s="13">
        <f t="shared" si="225"/>
        <v>7.8145023148172186</v>
      </c>
      <c r="P1814" t="str">
        <f t="shared" si="226"/>
        <v>Delayed</v>
      </c>
      <c r="Q1814" s="13">
        <f t="shared" si="227"/>
        <v>0.22027777775656432</v>
      </c>
      <c r="R1814" s="13">
        <f t="shared" si="228"/>
        <v>16.713611111110367</v>
      </c>
      <c r="S1814" s="13">
        <f t="shared" si="229"/>
        <v>8.5103356481486117</v>
      </c>
      <c r="T1814" t="str">
        <f t="shared" si="230"/>
        <v>8+ Days Late</v>
      </c>
      <c r="U1814" t="str">
        <f t="shared" si="231"/>
        <v>Needs Review</v>
      </c>
      <c r="V1814" t="s">
        <v>102</v>
      </c>
    </row>
    <row r="1815" spans="1:22">
      <c r="A1815" t="s">
        <v>2569</v>
      </c>
      <c r="B1815" s="10">
        <v>43297.695370370369</v>
      </c>
      <c r="C1815" s="10">
        <v>43297.701608796298</v>
      </c>
      <c r="D1815" s="10">
        <v>43314.304166666669</v>
      </c>
      <c r="E1815" s="10">
        <v>43322.720057870371</v>
      </c>
      <c r="F1815" s="10">
        <v>43315</v>
      </c>
      <c r="G1815" t="s">
        <v>8</v>
      </c>
      <c r="H1815" t="s">
        <v>1207</v>
      </c>
      <c r="I1815" t="s">
        <v>58</v>
      </c>
      <c r="J1815" s="11">
        <v>1</v>
      </c>
      <c r="K1815" s="12">
        <v>66.989999999999995</v>
      </c>
      <c r="L1815" s="12">
        <v>27.75</v>
      </c>
      <c r="M1815" s="13">
        <v>1</v>
      </c>
      <c r="N1815" s="13">
        <f t="shared" si="224"/>
        <v>25.024687500001164</v>
      </c>
      <c r="O1815" s="13">
        <f t="shared" si="225"/>
        <v>7.7200578703705105</v>
      </c>
      <c r="P1815" t="str">
        <f t="shared" si="226"/>
        <v>Delayed</v>
      </c>
      <c r="Q1815" s="13">
        <f t="shared" si="227"/>
        <v>0.14972222229698673</v>
      </c>
      <c r="R1815" s="13">
        <f t="shared" si="228"/>
        <v>16.602557870370219</v>
      </c>
      <c r="S1815" s="13">
        <f t="shared" si="229"/>
        <v>8.4158912037019036</v>
      </c>
      <c r="T1815" t="str">
        <f t="shared" si="230"/>
        <v>8+ Days Late</v>
      </c>
      <c r="U1815" t="str">
        <f t="shared" si="231"/>
        <v>Needs Review</v>
      </c>
      <c r="V1815" t="s">
        <v>102</v>
      </c>
    </row>
    <row r="1816" spans="1:22">
      <c r="A1816" t="s">
        <v>2570</v>
      </c>
      <c r="B1816" s="10">
        <v>43297.698622685188</v>
      </c>
      <c r="C1816" s="10">
        <v>43299.112349537034</v>
      </c>
      <c r="D1816" s="10">
        <v>43299.52847222222</v>
      </c>
      <c r="E1816" s="10">
        <v>43301.658958333333</v>
      </c>
      <c r="F1816" s="10">
        <v>43315</v>
      </c>
      <c r="G1816" t="s">
        <v>33</v>
      </c>
      <c r="H1816" t="s">
        <v>1759</v>
      </c>
      <c r="I1816" t="s">
        <v>141</v>
      </c>
      <c r="J1816" s="11">
        <v>2</v>
      </c>
      <c r="K1816" s="12">
        <v>227.78</v>
      </c>
      <c r="L1816" s="12">
        <v>32.06</v>
      </c>
      <c r="M1816" s="13">
        <v>5</v>
      </c>
      <c r="N1816" s="13">
        <f t="shared" si="224"/>
        <v>3.9603356481457013</v>
      </c>
      <c r="O1816" s="13">
        <f t="shared" si="225"/>
        <v>0</v>
      </c>
      <c r="P1816" t="str">
        <f t="shared" si="226"/>
        <v>On Time</v>
      </c>
      <c r="Q1816" s="13">
        <f t="shared" si="227"/>
        <v>33.929444444307592</v>
      </c>
      <c r="R1816" s="13">
        <f t="shared" si="228"/>
        <v>0.41612268518656492</v>
      </c>
      <c r="S1816" s="13">
        <f t="shared" si="229"/>
        <v>2.1304861111129867</v>
      </c>
      <c r="T1816" t="str">
        <f t="shared" si="230"/>
        <v>On Time/Early</v>
      </c>
      <c r="U1816" t="str">
        <f t="shared" si="231"/>
        <v>Normal</v>
      </c>
      <c r="V1816" t="s">
        <v>102</v>
      </c>
    </row>
    <row r="1817" spans="1:22">
      <c r="A1817" t="s">
        <v>2571</v>
      </c>
      <c r="B1817" s="10">
        <v>43297.766192129631</v>
      </c>
      <c r="C1817" s="10">
        <v>43297.774398148147</v>
      </c>
      <c r="D1817" s="10">
        <v>43298.666666666664</v>
      </c>
      <c r="E1817" s="10">
        <v>43304.822777777779</v>
      </c>
      <c r="F1817" s="10">
        <v>43319</v>
      </c>
      <c r="G1817" t="s">
        <v>30</v>
      </c>
      <c r="H1817" t="s">
        <v>365</v>
      </c>
      <c r="I1817" t="s">
        <v>118</v>
      </c>
      <c r="J1817" s="11">
        <v>1</v>
      </c>
      <c r="K1817" s="12">
        <v>32.99</v>
      </c>
      <c r="L1817" s="12">
        <v>18.329999999999998</v>
      </c>
      <c r="M1817" s="13">
        <v>5</v>
      </c>
      <c r="N1817" s="13">
        <f t="shared" si="224"/>
        <v>7.0565856481480296</v>
      </c>
      <c r="O1817" s="13">
        <f t="shared" si="225"/>
        <v>0</v>
      </c>
      <c r="P1817" t="str">
        <f t="shared" si="226"/>
        <v>On Time</v>
      </c>
      <c r="Q1817" s="13">
        <f t="shared" si="227"/>
        <v>0.19694444438209757</v>
      </c>
      <c r="R1817" s="13">
        <f t="shared" si="228"/>
        <v>0.89226851851708489</v>
      </c>
      <c r="S1817" s="13">
        <f t="shared" si="229"/>
        <v>6.156111111115024</v>
      </c>
      <c r="T1817" t="str">
        <f t="shared" si="230"/>
        <v>On Time/Early</v>
      </c>
      <c r="U1817" t="str">
        <f t="shared" si="231"/>
        <v>Normal</v>
      </c>
      <c r="V1817" t="s">
        <v>102</v>
      </c>
    </row>
    <row r="1818" spans="1:22">
      <c r="A1818" t="s">
        <v>2572</v>
      </c>
      <c r="B1818" s="10">
        <v>43298.554675925923</v>
      </c>
      <c r="C1818" s="10">
        <v>43298.562731481485</v>
      </c>
      <c r="D1818" s="10">
        <v>43300.42083333333</v>
      </c>
      <c r="E1818" s="10">
        <v>43304.983761574076</v>
      </c>
      <c r="F1818" s="10">
        <v>43319</v>
      </c>
      <c r="G1818" t="s">
        <v>20</v>
      </c>
      <c r="H1818" t="s">
        <v>104</v>
      </c>
      <c r="I1818" t="s">
        <v>141</v>
      </c>
      <c r="J1818" s="11">
        <v>1</v>
      </c>
      <c r="K1818" s="12">
        <v>25</v>
      </c>
      <c r="L1818" s="12">
        <v>19.37</v>
      </c>
      <c r="M1818" s="13">
        <v>2</v>
      </c>
      <c r="N1818" s="13">
        <f t="shared" si="224"/>
        <v>6.4290856481529772</v>
      </c>
      <c r="O1818" s="13">
        <f t="shared" si="225"/>
        <v>0</v>
      </c>
      <c r="P1818" t="str">
        <f t="shared" si="226"/>
        <v>On Time</v>
      </c>
      <c r="Q1818" s="13">
        <f t="shared" si="227"/>
        <v>0.19333333347458392</v>
      </c>
      <c r="R1818" s="13">
        <f t="shared" si="228"/>
        <v>1.8581018518452765</v>
      </c>
      <c r="S1818" s="13">
        <f t="shared" si="229"/>
        <v>4.5629282407462597</v>
      </c>
      <c r="T1818" t="str">
        <f t="shared" si="230"/>
        <v>On Time/Early</v>
      </c>
      <c r="U1818" t="str">
        <f t="shared" si="231"/>
        <v>Normal</v>
      </c>
      <c r="V1818" t="s">
        <v>102</v>
      </c>
    </row>
    <row r="1819" spans="1:22">
      <c r="A1819" t="s">
        <v>2573</v>
      </c>
      <c r="B1819" s="10">
        <v>43299.537465277775</v>
      </c>
      <c r="C1819" s="10">
        <v>43299.545358796298</v>
      </c>
      <c r="D1819" s="10">
        <v>43300.500694444447</v>
      </c>
      <c r="E1819" s="10">
        <v>43301.97283564815</v>
      </c>
      <c r="F1819" s="10">
        <v>43312</v>
      </c>
      <c r="G1819" t="s">
        <v>8</v>
      </c>
      <c r="H1819" t="s">
        <v>140</v>
      </c>
      <c r="I1819" t="s">
        <v>141</v>
      </c>
      <c r="J1819" s="11">
        <v>1</v>
      </c>
      <c r="K1819" s="12">
        <v>169.9</v>
      </c>
      <c r="L1819" s="12">
        <v>19.36</v>
      </c>
      <c r="M1819" s="13">
        <v>5</v>
      </c>
      <c r="N1819" s="13">
        <f t="shared" si="224"/>
        <v>2.435370370374585</v>
      </c>
      <c r="O1819" s="13">
        <f t="shared" si="225"/>
        <v>0</v>
      </c>
      <c r="P1819" t="str">
        <f t="shared" si="226"/>
        <v>On Time</v>
      </c>
      <c r="Q1819" s="13">
        <f t="shared" si="227"/>
        <v>0.18944444454973564</v>
      </c>
      <c r="R1819" s="13">
        <f t="shared" si="228"/>
        <v>0.95533564814832062</v>
      </c>
      <c r="S1819" s="13">
        <f t="shared" si="229"/>
        <v>1.4721412037033588</v>
      </c>
      <c r="T1819" t="str">
        <f t="shared" si="230"/>
        <v>On Time/Early</v>
      </c>
      <c r="U1819" t="str">
        <f t="shared" si="231"/>
        <v>Normal</v>
      </c>
      <c r="V1819" t="s">
        <v>102</v>
      </c>
    </row>
    <row r="1820" spans="1:22">
      <c r="A1820" t="s">
        <v>2574</v>
      </c>
      <c r="B1820" s="10">
        <v>43299.578368055554</v>
      </c>
      <c r="C1820" s="10">
        <v>43299.58699074074</v>
      </c>
      <c r="D1820" s="10">
        <v>43304.550694444442</v>
      </c>
      <c r="E1820" s="10">
        <v>43313.878136574072</v>
      </c>
      <c r="F1820" s="10">
        <v>43321</v>
      </c>
      <c r="G1820" t="s">
        <v>110</v>
      </c>
      <c r="H1820" t="s">
        <v>1736</v>
      </c>
      <c r="I1820" t="s">
        <v>2163</v>
      </c>
      <c r="J1820" s="11">
        <v>1</v>
      </c>
      <c r="K1820" s="12">
        <v>159</v>
      </c>
      <c r="L1820" s="12">
        <v>59.62</v>
      </c>
      <c r="M1820" s="13">
        <v>5</v>
      </c>
      <c r="N1820" s="13">
        <f t="shared" si="224"/>
        <v>14.299768518518249</v>
      </c>
      <c r="O1820" s="13">
        <f t="shared" si="225"/>
        <v>0</v>
      </c>
      <c r="P1820" t="str">
        <f t="shared" si="226"/>
        <v>On Time</v>
      </c>
      <c r="Q1820" s="13">
        <f t="shared" si="227"/>
        <v>0.20694444444961846</v>
      </c>
      <c r="R1820" s="13">
        <f t="shared" si="228"/>
        <v>4.9637037037027767</v>
      </c>
      <c r="S1820" s="13">
        <f t="shared" si="229"/>
        <v>9.3274421296300716</v>
      </c>
      <c r="T1820" t="str">
        <f t="shared" si="230"/>
        <v>On Time/Early</v>
      </c>
      <c r="U1820" t="str">
        <f t="shared" si="231"/>
        <v>Normal</v>
      </c>
      <c r="V1820" t="s">
        <v>102</v>
      </c>
    </row>
    <row r="1821" spans="1:22">
      <c r="A1821" t="s">
        <v>2575</v>
      </c>
      <c r="B1821" s="10">
        <v>43299.579907407409</v>
      </c>
      <c r="C1821" s="10">
        <v>43300.12667824074</v>
      </c>
      <c r="D1821" s="10">
        <v>43300.580555555556</v>
      </c>
      <c r="E1821" s="10">
        <v>43304.925150462965</v>
      </c>
      <c r="F1821" s="10">
        <v>43314</v>
      </c>
      <c r="G1821" t="s">
        <v>20</v>
      </c>
      <c r="H1821" t="s">
        <v>190</v>
      </c>
      <c r="I1821" t="s">
        <v>101</v>
      </c>
      <c r="J1821" s="11">
        <v>1</v>
      </c>
      <c r="K1821" s="12">
        <v>330</v>
      </c>
      <c r="L1821" s="12">
        <v>43.29</v>
      </c>
      <c r="M1821" s="13">
        <v>5</v>
      </c>
      <c r="N1821" s="13">
        <f t="shared" si="224"/>
        <v>5.3452430555553292</v>
      </c>
      <c r="O1821" s="13">
        <f t="shared" si="225"/>
        <v>0</v>
      </c>
      <c r="P1821" t="str">
        <f t="shared" si="226"/>
        <v>On Time</v>
      </c>
      <c r="Q1821" s="13">
        <f t="shared" si="227"/>
        <v>13.122499999939464</v>
      </c>
      <c r="R1821" s="13">
        <f t="shared" si="228"/>
        <v>0.45387731481605442</v>
      </c>
      <c r="S1821" s="13">
        <f t="shared" si="229"/>
        <v>4.3445949074084638</v>
      </c>
      <c r="T1821" t="str">
        <f t="shared" si="230"/>
        <v>On Time/Early</v>
      </c>
      <c r="U1821" t="str">
        <f t="shared" si="231"/>
        <v>Normal</v>
      </c>
      <c r="V1821" t="s">
        <v>102</v>
      </c>
    </row>
    <row r="1822" spans="1:22">
      <c r="A1822" t="s">
        <v>2576</v>
      </c>
      <c r="B1822" s="10">
        <v>43299.584918981483</v>
      </c>
      <c r="C1822" s="10">
        <v>43301.19672453704</v>
      </c>
      <c r="D1822" s="10">
        <v>43301.435416666667</v>
      </c>
      <c r="E1822" s="10">
        <v>43306.98510416667</v>
      </c>
      <c r="F1822" s="10">
        <v>43313</v>
      </c>
      <c r="G1822" t="s">
        <v>8</v>
      </c>
      <c r="H1822" t="s">
        <v>2577</v>
      </c>
      <c r="I1822" t="s">
        <v>221</v>
      </c>
      <c r="J1822" s="11">
        <v>1</v>
      </c>
      <c r="K1822" s="12">
        <v>29</v>
      </c>
      <c r="L1822" s="12">
        <v>12.86</v>
      </c>
      <c r="M1822" s="13">
        <v>5</v>
      </c>
      <c r="N1822" s="13">
        <f t="shared" si="224"/>
        <v>7.4001851851862739</v>
      </c>
      <c r="O1822" s="13">
        <f t="shared" si="225"/>
        <v>0</v>
      </c>
      <c r="P1822" t="str">
        <f t="shared" si="226"/>
        <v>On Time</v>
      </c>
      <c r="Q1822" s="13">
        <f t="shared" si="227"/>
        <v>38.683333333348855</v>
      </c>
      <c r="R1822" s="13">
        <f t="shared" si="228"/>
        <v>0.23869212962745223</v>
      </c>
      <c r="S1822" s="13">
        <f t="shared" si="229"/>
        <v>5.5496875000026193</v>
      </c>
      <c r="T1822" t="str">
        <f t="shared" si="230"/>
        <v>On Time/Early</v>
      </c>
      <c r="U1822" t="str">
        <f t="shared" si="231"/>
        <v>Normal</v>
      </c>
      <c r="V1822" t="s">
        <v>102</v>
      </c>
    </row>
    <row r="1823" spans="1:22">
      <c r="A1823" t="s">
        <v>2578</v>
      </c>
      <c r="B1823" s="10">
        <v>43299.640567129631</v>
      </c>
      <c r="C1823" s="10">
        <v>43299.649537037039</v>
      </c>
      <c r="D1823" s="10">
        <v>43300.554861111108</v>
      </c>
      <c r="E1823" s="10">
        <v>43305.570648148147</v>
      </c>
      <c r="F1823" s="10">
        <v>43314</v>
      </c>
      <c r="G1823" t="s">
        <v>16</v>
      </c>
      <c r="H1823" t="s">
        <v>642</v>
      </c>
      <c r="I1823" t="s">
        <v>58</v>
      </c>
      <c r="J1823" s="11">
        <v>1</v>
      </c>
      <c r="K1823" s="12">
        <v>22</v>
      </c>
      <c r="L1823" s="12">
        <v>18.25</v>
      </c>
      <c r="M1823" s="13">
        <v>5</v>
      </c>
      <c r="N1823" s="13">
        <f t="shared" si="224"/>
        <v>5.9300810185159207</v>
      </c>
      <c r="O1823" s="13">
        <f t="shared" si="225"/>
        <v>0</v>
      </c>
      <c r="P1823" t="str">
        <f t="shared" si="226"/>
        <v>On Time</v>
      </c>
      <c r="Q1823" s="13">
        <f t="shared" si="227"/>
        <v>0.21527777781011537</v>
      </c>
      <c r="R1823" s="13">
        <f t="shared" si="228"/>
        <v>0.90532407406863058</v>
      </c>
      <c r="S1823" s="13">
        <f t="shared" si="229"/>
        <v>5.0157870370385353</v>
      </c>
      <c r="T1823" t="str">
        <f t="shared" si="230"/>
        <v>On Time/Early</v>
      </c>
      <c r="U1823" t="str">
        <f t="shared" si="231"/>
        <v>Normal</v>
      </c>
      <c r="V1823" t="s">
        <v>102</v>
      </c>
    </row>
    <row r="1824" spans="1:22">
      <c r="A1824" t="s">
        <v>2579</v>
      </c>
      <c r="B1824" s="10">
        <v>43299.693819444445</v>
      </c>
      <c r="C1824" s="10">
        <v>43299.701585648145</v>
      </c>
      <c r="D1824" s="10">
        <v>43300.497916666667</v>
      </c>
      <c r="E1824" s="10">
        <v>43306.827766203707</v>
      </c>
      <c r="F1824" s="10">
        <v>43314</v>
      </c>
      <c r="G1824" t="s">
        <v>8</v>
      </c>
      <c r="H1824" t="s">
        <v>140</v>
      </c>
      <c r="I1824" t="s">
        <v>34</v>
      </c>
      <c r="J1824" s="11">
        <v>2</v>
      </c>
      <c r="K1824" s="12">
        <v>57.98</v>
      </c>
      <c r="L1824" s="12">
        <v>29.02</v>
      </c>
      <c r="M1824" s="13">
        <v>5</v>
      </c>
      <c r="N1824" s="13">
        <f t="shared" si="224"/>
        <v>7.1339467592624715</v>
      </c>
      <c r="O1824" s="13">
        <f t="shared" si="225"/>
        <v>0</v>
      </c>
      <c r="P1824" t="str">
        <f t="shared" si="226"/>
        <v>On Time</v>
      </c>
      <c r="Q1824" s="13">
        <f t="shared" si="227"/>
        <v>0.18638888880377635</v>
      </c>
      <c r="R1824" s="13">
        <f t="shared" si="228"/>
        <v>0.79633101852232357</v>
      </c>
      <c r="S1824" s="13">
        <f t="shared" si="229"/>
        <v>6.3298495370399905</v>
      </c>
      <c r="T1824" t="str">
        <f t="shared" si="230"/>
        <v>On Time/Early</v>
      </c>
      <c r="U1824" t="str">
        <f t="shared" si="231"/>
        <v>Normal</v>
      </c>
      <c r="V1824" t="s">
        <v>102</v>
      </c>
    </row>
    <row r="1825" spans="1:22">
      <c r="A1825" t="s">
        <v>2580</v>
      </c>
      <c r="B1825" s="10">
        <v>43299.706967592596</v>
      </c>
      <c r="C1825" s="10">
        <v>43299.712071759262</v>
      </c>
      <c r="D1825" s="10">
        <v>43300.493055555555</v>
      </c>
      <c r="E1825" s="10">
        <v>43311.881226851852</v>
      </c>
      <c r="F1825" s="10">
        <v>43328</v>
      </c>
      <c r="G1825" t="s">
        <v>16</v>
      </c>
      <c r="H1825" t="s">
        <v>138</v>
      </c>
      <c r="I1825" t="s">
        <v>21</v>
      </c>
      <c r="J1825" s="11">
        <v>1</v>
      </c>
      <c r="K1825" s="12">
        <v>77.900000000000006</v>
      </c>
      <c r="L1825" s="12">
        <v>23.35</v>
      </c>
      <c r="M1825" s="13">
        <v>5</v>
      </c>
      <c r="N1825" s="13">
        <f t="shared" si="224"/>
        <v>12.17425925925636</v>
      </c>
      <c r="O1825" s="13">
        <f t="shared" si="225"/>
        <v>0</v>
      </c>
      <c r="P1825" t="str">
        <f t="shared" si="226"/>
        <v>On Time</v>
      </c>
      <c r="Q1825" s="13">
        <f t="shared" si="227"/>
        <v>0.12249999999767169</v>
      </c>
      <c r="R1825" s="13">
        <f t="shared" si="228"/>
        <v>0.78098379629227566</v>
      </c>
      <c r="S1825" s="13">
        <f t="shared" si="229"/>
        <v>11.388171296297514</v>
      </c>
      <c r="T1825" t="str">
        <f t="shared" si="230"/>
        <v>On Time/Early</v>
      </c>
      <c r="U1825" t="str">
        <f t="shared" si="231"/>
        <v>Normal</v>
      </c>
      <c r="V1825" t="s">
        <v>102</v>
      </c>
    </row>
    <row r="1826" spans="1:22">
      <c r="A1826" t="s">
        <v>2581</v>
      </c>
      <c r="B1826" s="10">
        <v>43299.710034722222</v>
      </c>
      <c r="C1826" s="10">
        <v>43299.715520833335</v>
      </c>
      <c r="D1826" s="10">
        <v>43301.654861111114</v>
      </c>
      <c r="E1826" s="10">
        <v>43309.743831018517</v>
      </c>
      <c r="F1826" s="10">
        <v>43327</v>
      </c>
      <c r="G1826" t="s">
        <v>1444</v>
      </c>
      <c r="H1826" t="s">
        <v>1445</v>
      </c>
      <c r="I1826" t="s">
        <v>118</v>
      </c>
      <c r="J1826" s="11">
        <v>1</v>
      </c>
      <c r="K1826" s="12">
        <v>21.99</v>
      </c>
      <c r="L1826" s="12">
        <v>22.87</v>
      </c>
      <c r="M1826" s="13">
        <v>5</v>
      </c>
      <c r="N1826" s="13">
        <f t="shared" si="224"/>
        <v>10.033796296294895</v>
      </c>
      <c r="O1826" s="13">
        <f t="shared" si="225"/>
        <v>0</v>
      </c>
      <c r="P1826" t="str">
        <f t="shared" si="226"/>
        <v>On Time</v>
      </c>
      <c r="Q1826" s="13">
        <f t="shared" si="227"/>
        <v>0.13166666671168059</v>
      </c>
      <c r="R1826" s="13">
        <f t="shared" si="228"/>
        <v>1.9393402777786832</v>
      </c>
      <c r="S1826" s="13">
        <f t="shared" si="229"/>
        <v>8.0889699074032251</v>
      </c>
      <c r="T1826" t="str">
        <f t="shared" si="230"/>
        <v>On Time/Early</v>
      </c>
      <c r="U1826" t="str">
        <f t="shared" si="231"/>
        <v>Normal</v>
      </c>
      <c r="V1826" t="s">
        <v>102</v>
      </c>
    </row>
    <row r="1827" spans="1:22">
      <c r="A1827" t="s">
        <v>2582</v>
      </c>
      <c r="B1827" s="10">
        <v>43299.795671296299</v>
      </c>
      <c r="C1827" s="10">
        <v>43299.807800925926</v>
      </c>
      <c r="D1827" s="10">
        <v>43300.379166666666</v>
      </c>
      <c r="E1827" s="10">
        <v>43308.81</v>
      </c>
      <c r="F1827" s="10">
        <v>43320</v>
      </c>
      <c r="G1827" t="s">
        <v>464</v>
      </c>
      <c r="H1827" t="s">
        <v>883</v>
      </c>
      <c r="I1827" t="s">
        <v>228</v>
      </c>
      <c r="J1827" s="11">
        <v>1</v>
      </c>
      <c r="K1827" s="12">
        <v>150</v>
      </c>
      <c r="L1827" s="12">
        <v>44.97</v>
      </c>
      <c r="M1827" s="13">
        <v>5</v>
      </c>
      <c r="N1827" s="13">
        <f t="shared" si="224"/>
        <v>9.0143287036989932</v>
      </c>
      <c r="O1827" s="13">
        <f t="shared" si="225"/>
        <v>0</v>
      </c>
      <c r="P1827" t="str">
        <f t="shared" si="226"/>
        <v>On Time</v>
      </c>
      <c r="Q1827" s="13">
        <f t="shared" si="227"/>
        <v>0.29111111105885357</v>
      </c>
      <c r="R1827" s="13">
        <f t="shared" si="228"/>
        <v>0.57136574073956581</v>
      </c>
      <c r="S1827" s="13">
        <f t="shared" si="229"/>
        <v>8.4308333333319752</v>
      </c>
      <c r="T1827" t="str">
        <f t="shared" si="230"/>
        <v>On Time/Early</v>
      </c>
      <c r="U1827" t="str">
        <f t="shared" si="231"/>
        <v>Normal</v>
      </c>
      <c r="V1827" t="s">
        <v>102</v>
      </c>
    </row>
    <row r="1828" spans="1:22">
      <c r="A1828" t="s">
        <v>2583</v>
      </c>
      <c r="B1828" s="10">
        <v>43299.804548611108</v>
      </c>
      <c r="C1828" s="10">
        <v>43300.802199074074</v>
      </c>
      <c r="D1828" s="10">
        <v>43301.591666666667</v>
      </c>
      <c r="E1828" s="10">
        <v>43306.916481481479</v>
      </c>
      <c r="F1828" s="10">
        <v>43319</v>
      </c>
      <c r="G1828" t="s">
        <v>20</v>
      </c>
      <c r="H1828" t="s">
        <v>104</v>
      </c>
      <c r="I1828" t="s">
        <v>123</v>
      </c>
      <c r="J1828" s="11">
        <v>1</v>
      </c>
      <c r="K1828" s="12">
        <v>24</v>
      </c>
      <c r="L1828" s="12">
        <v>18.27</v>
      </c>
      <c r="M1828" s="13">
        <v>5</v>
      </c>
      <c r="N1828" s="13">
        <f t="shared" si="224"/>
        <v>7.1119328703716747</v>
      </c>
      <c r="O1828" s="13">
        <f t="shared" si="225"/>
        <v>0</v>
      </c>
      <c r="P1828" t="str">
        <f t="shared" si="226"/>
        <v>On Time</v>
      </c>
      <c r="Q1828" s="13">
        <f t="shared" si="227"/>
        <v>23.94361111120088</v>
      </c>
      <c r="R1828" s="13">
        <f t="shared" si="228"/>
        <v>0.78946759259270038</v>
      </c>
      <c r="S1828" s="13">
        <f t="shared" si="229"/>
        <v>5.3248148148122709</v>
      </c>
      <c r="T1828" t="str">
        <f t="shared" si="230"/>
        <v>On Time/Early</v>
      </c>
      <c r="U1828" t="str">
        <f t="shared" si="231"/>
        <v>Normal</v>
      </c>
      <c r="V1828" t="s">
        <v>102</v>
      </c>
    </row>
    <row r="1829" spans="1:22">
      <c r="A1829" t="s">
        <v>2584</v>
      </c>
      <c r="B1829" s="10">
        <v>43299.8281712963</v>
      </c>
      <c r="C1829" s="10">
        <v>43301.21199074074</v>
      </c>
      <c r="D1829" s="10">
        <v>43301.654861111114</v>
      </c>
      <c r="E1829" s="10">
        <v>43311.898333333331</v>
      </c>
      <c r="F1829" s="10">
        <v>43318</v>
      </c>
      <c r="G1829" t="s">
        <v>43</v>
      </c>
      <c r="H1829" t="s">
        <v>2585</v>
      </c>
      <c r="I1829" t="s">
        <v>118</v>
      </c>
      <c r="J1829" s="11">
        <v>1</v>
      </c>
      <c r="K1829" s="12">
        <v>21.99</v>
      </c>
      <c r="L1829" s="12">
        <v>18.25</v>
      </c>
      <c r="M1829" s="13">
        <v>5</v>
      </c>
      <c r="N1829" s="13">
        <f t="shared" si="224"/>
        <v>12.070162037030968</v>
      </c>
      <c r="O1829" s="13">
        <f t="shared" si="225"/>
        <v>0</v>
      </c>
      <c r="P1829" t="str">
        <f t="shared" si="226"/>
        <v>On Time</v>
      </c>
      <c r="Q1829" s="13">
        <f t="shared" si="227"/>
        <v>33.211666666553356</v>
      </c>
      <c r="R1829" s="13">
        <f t="shared" si="228"/>
        <v>0.442870370374294</v>
      </c>
      <c r="S1829" s="13">
        <f t="shared" si="229"/>
        <v>10.243472222216951</v>
      </c>
      <c r="T1829" t="str">
        <f t="shared" si="230"/>
        <v>On Time/Early</v>
      </c>
      <c r="U1829" t="str">
        <f t="shared" si="231"/>
        <v>Normal</v>
      </c>
      <c r="V1829" t="s">
        <v>102</v>
      </c>
    </row>
    <row r="1830" spans="1:22">
      <c r="A1830" t="s">
        <v>2586</v>
      </c>
      <c r="B1830" s="10">
        <v>43299.839155092595</v>
      </c>
      <c r="C1830" s="10">
        <v>43299.849085648151</v>
      </c>
      <c r="D1830" s="10">
        <v>43300.60833333333</v>
      </c>
      <c r="E1830" s="10">
        <v>43307.789282407408</v>
      </c>
      <c r="F1830" s="10">
        <v>43318</v>
      </c>
      <c r="G1830" t="s">
        <v>23</v>
      </c>
      <c r="H1830" t="s">
        <v>2587</v>
      </c>
      <c r="I1830" t="s">
        <v>123</v>
      </c>
      <c r="J1830" s="11">
        <v>1</v>
      </c>
      <c r="K1830" s="12">
        <v>31.99</v>
      </c>
      <c r="L1830" s="12">
        <v>17.149999999999999</v>
      </c>
      <c r="M1830" s="13">
        <v>5</v>
      </c>
      <c r="N1830" s="13">
        <f t="shared" si="224"/>
        <v>7.950127314812562</v>
      </c>
      <c r="O1830" s="13">
        <f t="shared" si="225"/>
        <v>0</v>
      </c>
      <c r="P1830" t="str">
        <f t="shared" si="226"/>
        <v>On Time</v>
      </c>
      <c r="Q1830" s="13">
        <f t="shared" si="227"/>
        <v>0.23833333334187046</v>
      </c>
      <c r="R1830" s="13">
        <f t="shared" si="228"/>
        <v>0.75924768517870689</v>
      </c>
      <c r="S1830" s="13">
        <f t="shared" si="229"/>
        <v>7.1809490740779438</v>
      </c>
      <c r="T1830" t="str">
        <f t="shared" si="230"/>
        <v>On Time/Early</v>
      </c>
      <c r="U1830" t="str">
        <f t="shared" si="231"/>
        <v>Normal</v>
      </c>
      <c r="V1830" t="s">
        <v>102</v>
      </c>
    </row>
    <row r="1831" spans="1:22">
      <c r="A1831" t="s">
        <v>2588</v>
      </c>
      <c r="B1831" s="10">
        <v>43300.361805555556</v>
      </c>
      <c r="C1831" s="10">
        <v>43300.368298611109</v>
      </c>
      <c r="D1831" s="10">
        <v>43305.713194444441</v>
      </c>
      <c r="E1831" s="10">
        <v>43306.849050925928</v>
      </c>
      <c r="F1831" s="10">
        <v>43311</v>
      </c>
      <c r="G1831" t="s">
        <v>30</v>
      </c>
      <c r="H1831" t="s">
        <v>1762</v>
      </c>
      <c r="I1831" t="s">
        <v>1508</v>
      </c>
      <c r="J1831" s="11">
        <v>1</v>
      </c>
      <c r="K1831" s="12">
        <v>429.98</v>
      </c>
      <c r="L1831" s="12">
        <v>22.35</v>
      </c>
      <c r="M1831" s="13">
        <v>4</v>
      </c>
      <c r="N1831" s="13">
        <f t="shared" si="224"/>
        <v>6.4872453703719657</v>
      </c>
      <c r="O1831" s="13">
        <f t="shared" si="225"/>
        <v>0</v>
      </c>
      <c r="P1831" t="str">
        <f t="shared" si="226"/>
        <v>On Time</v>
      </c>
      <c r="Q1831" s="13">
        <f t="shared" si="227"/>
        <v>0.15583333326503634</v>
      </c>
      <c r="R1831" s="13">
        <f t="shared" si="228"/>
        <v>5.3448958333319752</v>
      </c>
      <c r="S1831" s="13">
        <f t="shared" si="229"/>
        <v>1.1358564814872807</v>
      </c>
      <c r="T1831" t="str">
        <f t="shared" si="230"/>
        <v>On Time/Early</v>
      </c>
      <c r="U1831" t="str">
        <f t="shared" si="231"/>
        <v>Normal</v>
      </c>
      <c r="V1831" t="s">
        <v>102</v>
      </c>
    </row>
    <row r="1832" spans="1:22">
      <c r="A1832" t="s">
        <v>2589</v>
      </c>
      <c r="B1832" s="10">
        <v>43300.388009259259</v>
      </c>
      <c r="C1832" s="10">
        <v>43301.191111111111</v>
      </c>
      <c r="D1832" s="10">
        <v>43301.567361111112</v>
      </c>
      <c r="E1832" s="10">
        <v>43304.720810185187</v>
      </c>
      <c r="F1832" s="10">
        <v>43311</v>
      </c>
      <c r="G1832" t="s">
        <v>8</v>
      </c>
      <c r="H1832" t="s">
        <v>140</v>
      </c>
      <c r="I1832" t="s">
        <v>246</v>
      </c>
      <c r="J1832" s="11">
        <v>1</v>
      </c>
      <c r="K1832" s="12">
        <v>19.899999999999999</v>
      </c>
      <c r="L1832" s="12">
        <v>7.4</v>
      </c>
      <c r="M1832" s="13">
        <v>1</v>
      </c>
      <c r="N1832" s="13">
        <f t="shared" si="224"/>
        <v>4.3328009259275859</v>
      </c>
      <c r="O1832" s="13">
        <f t="shared" si="225"/>
        <v>0</v>
      </c>
      <c r="P1832" t="str">
        <f t="shared" si="226"/>
        <v>On Time</v>
      </c>
      <c r="Q1832" s="13">
        <f t="shared" si="227"/>
        <v>19.274444444454275</v>
      </c>
      <c r="R1832" s="13">
        <f t="shared" si="228"/>
        <v>0.37625000000116415</v>
      </c>
      <c r="S1832" s="13">
        <f t="shared" si="229"/>
        <v>3.1534490740741603</v>
      </c>
      <c r="T1832" t="str">
        <f t="shared" si="230"/>
        <v>On Time/Early</v>
      </c>
      <c r="U1832" t="str">
        <f t="shared" si="231"/>
        <v>Normal</v>
      </c>
      <c r="V1832" t="s">
        <v>102</v>
      </c>
    </row>
    <row r="1833" spans="1:22">
      <c r="A1833" t="s">
        <v>2590</v>
      </c>
      <c r="B1833" s="10">
        <v>43300.474247685182</v>
      </c>
      <c r="C1833" s="10">
        <v>43301.210659722223</v>
      </c>
      <c r="D1833" s="10">
        <v>43306.603472222225</v>
      </c>
      <c r="E1833" s="10">
        <v>43308.521979166668</v>
      </c>
      <c r="F1833" s="10">
        <v>43318</v>
      </c>
      <c r="G1833" t="s">
        <v>20</v>
      </c>
      <c r="H1833" t="s">
        <v>104</v>
      </c>
      <c r="I1833" t="s">
        <v>34</v>
      </c>
      <c r="J1833" s="11">
        <v>1</v>
      </c>
      <c r="K1833" s="12">
        <v>29.99</v>
      </c>
      <c r="L1833" s="12">
        <v>14.51</v>
      </c>
      <c r="M1833" s="13">
        <v>5</v>
      </c>
      <c r="N1833" s="13">
        <f t="shared" si="224"/>
        <v>8.0477314814852434</v>
      </c>
      <c r="O1833" s="13">
        <f t="shared" si="225"/>
        <v>0</v>
      </c>
      <c r="P1833" t="str">
        <f t="shared" si="226"/>
        <v>On Time</v>
      </c>
      <c r="Q1833" s="13">
        <f t="shared" si="227"/>
        <v>17.673888888966758</v>
      </c>
      <c r="R1833" s="13">
        <f t="shared" si="228"/>
        <v>5.3928125000020373</v>
      </c>
      <c r="S1833" s="13">
        <f t="shared" si="229"/>
        <v>1.9185069444429246</v>
      </c>
      <c r="T1833" t="str">
        <f t="shared" si="230"/>
        <v>On Time/Early</v>
      </c>
      <c r="U1833" t="str">
        <f t="shared" si="231"/>
        <v>Normal</v>
      </c>
      <c r="V1833" t="s">
        <v>102</v>
      </c>
    </row>
    <row r="1834" spans="1:22">
      <c r="A1834" t="s">
        <v>2591</v>
      </c>
      <c r="B1834" s="10">
        <v>43300.55605324074</v>
      </c>
      <c r="C1834" s="10">
        <v>43300.562719907408</v>
      </c>
      <c r="D1834" s="10">
        <v>43301.624305555553</v>
      </c>
      <c r="E1834" s="10">
        <v>43304.718553240738</v>
      </c>
      <c r="F1834" s="10">
        <v>43308</v>
      </c>
      <c r="G1834" t="s">
        <v>8</v>
      </c>
      <c r="H1834" t="s">
        <v>140</v>
      </c>
      <c r="I1834" t="s">
        <v>34</v>
      </c>
      <c r="J1834" s="11">
        <v>1</v>
      </c>
      <c r="K1834" s="12">
        <v>48.9</v>
      </c>
      <c r="L1834" s="12">
        <v>9.09</v>
      </c>
      <c r="M1834" s="13">
        <v>5</v>
      </c>
      <c r="N1834" s="13">
        <f t="shared" si="224"/>
        <v>4.1624999999985448</v>
      </c>
      <c r="O1834" s="13">
        <f t="shared" si="225"/>
        <v>0</v>
      </c>
      <c r="P1834" t="str">
        <f t="shared" si="226"/>
        <v>On Time</v>
      </c>
      <c r="Q1834" s="13">
        <f t="shared" si="227"/>
        <v>0.16000000003259629</v>
      </c>
      <c r="R1834" s="13">
        <f t="shared" si="228"/>
        <v>1.0615856481454102</v>
      </c>
      <c r="S1834" s="13">
        <f t="shared" si="229"/>
        <v>3.0942476851851097</v>
      </c>
      <c r="T1834" t="str">
        <f t="shared" si="230"/>
        <v>On Time/Early</v>
      </c>
      <c r="U1834" t="str">
        <f t="shared" si="231"/>
        <v>Normal</v>
      </c>
      <c r="V1834" t="s">
        <v>102</v>
      </c>
    </row>
    <row r="1835" spans="1:22">
      <c r="A1835" t="s">
        <v>2592</v>
      </c>
      <c r="B1835" s="10">
        <v>43300.603356481479</v>
      </c>
      <c r="C1835" s="10">
        <v>43302.170254629629</v>
      </c>
      <c r="D1835" s="10">
        <v>43308.387499999997</v>
      </c>
      <c r="E1835" s="10">
        <v>43320.957129629627</v>
      </c>
      <c r="F1835" s="10">
        <v>43326</v>
      </c>
      <c r="G1835" t="s">
        <v>23</v>
      </c>
      <c r="H1835" t="s">
        <v>275</v>
      </c>
      <c r="I1835" t="s">
        <v>58</v>
      </c>
      <c r="J1835" s="11">
        <v>1</v>
      </c>
      <c r="K1835" s="12">
        <v>259.89999999999998</v>
      </c>
      <c r="L1835" s="12">
        <v>21.77</v>
      </c>
      <c r="M1835" s="13">
        <v>1</v>
      </c>
      <c r="N1835" s="13">
        <f t="shared" si="224"/>
        <v>20.353773148148321</v>
      </c>
      <c r="O1835" s="13">
        <f t="shared" si="225"/>
        <v>0</v>
      </c>
      <c r="P1835" t="str">
        <f t="shared" si="226"/>
        <v>On Time</v>
      </c>
      <c r="Q1835" s="13">
        <f t="shared" si="227"/>
        <v>37.605555555608589</v>
      </c>
      <c r="R1835" s="13">
        <f t="shared" si="228"/>
        <v>6.2172453703678912</v>
      </c>
      <c r="S1835" s="13">
        <f t="shared" si="229"/>
        <v>12.569629629630072</v>
      </c>
      <c r="T1835" t="str">
        <f t="shared" si="230"/>
        <v>On Time/Early</v>
      </c>
      <c r="U1835" t="str">
        <f t="shared" si="231"/>
        <v>Normal</v>
      </c>
      <c r="V1835" t="s">
        <v>102</v>
      </c>
    </row>
    <row r="1836" spans="1:22">
      <c r="A1836" t="s">
        <v>2593</v>
      </c>
      <c r="B1836" s="10">
        <v>43300.87332175926</v>
      </c>
      <c r="C1836" s="10">
        <v>43300.88212962963</v>
      </c>
      <c r="D1836" s="10">
        <v>43304.525000000001</v>
      </c>
      <c r="E1836" s="10">
        <v>43305.740879629629</v>
      </c>
      <c r="F1836" s="10">
        <v>43308</v>
      </c>
      <c r="G1836" t="s">
        <v>8</v>
      </c>
      <c r="H1836" t="s">
        <v>140</v>
      </c>
      <c r="I1836" t="s">
        <v>112</v>
      </c>
      <c r="J1836" s="11">
        <v>1</v>
      </c>
      <c r="K1836" s="12">
        <v>38.9</v>
      </c>
      <c r="L1836" s="12">
        <v>11.29</v>
      </c>
      <c r="M1836" s="13">
        <v>4</v>
      </c>
      <c r="N1836" s="13">
        <f t="shared" si="224"/>
        <v>4.8675578703696374</v>
      </c>
      <c r="O1836" s="13">
        <f t="shared" si="225"/>
        <v>0</v>
      </c>
      <c r="P1836" t="str">
        <f t="shared" si="226"/>
        <v>On Time</v>
      </c>
      <c r="Q1836" s="13">
        <f t="shared" si="227"/>
        <v>0.21138888888526708</v>
      </c>
      <c r="R1836" s="13">
        <f t="shared" si="228"/>
        <v>3.6428703703713836</v>
      </c>
      <c r="S1836" s="13">
        <f t="shared" si="229"/>
        <v>1.2158796296280343</v>
      </c>
      <c r="T1836" t="str">
        <f t="shared" si="230"/>
        <v>On Time/Early</v>
      </c>
      <c r="U1836" t="str">
        <f t="shared" si="231"/>
        <v>Normal</v>
      </c>
      <c r="V1836" t="s">
        <v>102</v>
      </c>
    </row>
    <row r="1837" spans="1:22">
      <c r="A1837" t="s">
        <v>2594</v>
      </c>
      <c r="B1837" s="10">
        <v>43300.904363425929</v>
      </c>
      <c r="C1837" s="10">
        <v>43300.913391203707</v>
      </c>
      <c r="D1837" s="10">
        <v>43301.288888888892</v>
      </c>
      <c r="E1837" s="10">
        <v>43308.75408564815</v>
      </c>
      <c r="F1837" s="10">
        <v>43325</v>
      </c>
      <c r="G1837" t="s">
        <v>20</v>
      </c>
      <c r="H1837" t="s">
        <v>2595</v>
      </c>
      <c r="I1837" t="s">
        <v>101</v>
      </c>
      <c r="J1837" s="11">
        <v>1</v>
      </c>
      <c r="K1837" s="12">
        <v>69.900000000000006</v>
      </c>
      <c r="L1837" s="12">
        <v>22.42</v>
      </c>
      <c r="M1837" s="13">
        <v>5</v>
      </c>
      <c r="N1837" s="13">
        <f t="shared" si="224"/>
        <v>7.8497222222213168</v>
      </c>
      <c r="O1837" s="13">
        <f t="shared" si="225"/>
        <v>0</v>
      </c>
      <c r="P1837" t="str">
        <f t="shared" si="226"/>
        <v>On Time</v>
      </c>
      <c r="Q1837" s="13">
        <f t="shared" si="227"/>
        <v>0.21666666667442769</v>
      </c>
      <c r="R1837" s="13">
        <f t="shared" si="228"/>
        <v>0.37549768518510973</v>
      </c>
      <c r="S1837" s="13">
        <f t="shared" si="229"/>
        <v>7.4651967592581059</v>
      </c>
      <c r="T1837" t="str">
        <f t="shared" si="230"/>
        <v>On Time/Early</v>
      </c>
      <c r="U1837" t="str">
        <f t="shared" si="231"/>
        <v>Normal</v>
      </c>
      <c r="V1837" t="s">
        <v>102</v>
      </c>
    </row>
    <row r="1838" spans="1:22">
      <c r="A1838" t="s">
        <v>2596</v>
      </c>
      <c r="B1838" s="10">
        <v>43300.946828703702</v>
      </c>
      <c r="C1838" s="10">
        <v>43300.955000000002</v>
      </c>
      <c r="D1838" s="10">
        <v>43301.561111111114</v>
      </c>
      <c r="E1838" s="10">
        <v>43311.66578703704</v>
      </c>
      <c r="F1838" s="10">
        <v>43320</v>
      </c>
      <c r="G1838" t="s">
        <v>8</v>
      </c>
      <c r="H1838" t="s">
        <v>140</v>
      </c>
      <c r="I1838" t="s">
        <v>2597</v>
      </c>
      <c r="J1838" s="11">
        <v>1</v>
      </c>
      <c r="K1838" s="12">
        <v>72.2</v>
      </c>
      <c r="L1838" s="12">
        <v>14.81</v>
      </c>
      <c r="M1838" s="13">
        <v>5</v>
      </c>
      <c r="N1838" s="13">
        <f t="shared" si="224"/>
        <v>10.718958333338378</v>
      </c>
      <c r="O1838" s="13">
        <f t="shared" si="225"/>
        <v>0</v>
      </c>
      <c r="P1838" t="str">
        <f t="shared" si="226"/>
        <v>On Time</v>
      </c>
      <c r="Q1838" s="13">
        <f t="shared" si="227"/>
        <v>0.19611111120320857</v>
      </c>
      <c r="R1838" s="13">
        <f t="shared" si="228"/>
        <v>0.60611111111211358</v>
      </c>
      <c r="S1838" s="13">
        <f t="shared" si="229"/>
        <v>10.104675925926131</v>
      </c>
      <c r="T1838" t="str">
        <f t="shared" si="230"/>
        <v>On Time/Early</v>
      </c>
      <c r="U1838" t="str">
        <f t="shared" si="231"/>
        <v>Normal</v>
      </c>
      <c r="V1838" t="s">
        <v>102</v>
      </c>
    </row>
    <row r="1839" spans="1:22">
      <c r="A1839" t="s">
        <v>2598</v>
      </c>
      <c r="B1839" s="10">
        <v>43301.333020833335</v>
      </c>
      <c r="C1839" s="10">
        <v>43301.343854166669</v>
      </c>
      <c r="D1839" s="10">
        <v>43301.556250000001</v>
      </c>
      <c r="E1839" s="10">
        <v>43304.749178240738</v>
      </c>
      <c r="F1839" s="10">
        <v>43322</v>
      </c>
      <c r="G1839" t="s">
        <v>8</v>
      </c>
      <c r="H1839" t="s">
        <v>1442</v>
      </c>
      <c r="I1839" t="s">
        <v>368</v>
      </c>
      <c r="J1839" s="11">
        <v>1</v>
      </c>
      <c r="K1839" s="12">
        <v>139</v>
      </c>
      <c r="L1839" s="12">
        <v>23.91</v>
      </c>
      <c r="M1839" s="13">
        <v>5</v>
      </c>
      <c r="N1839" s="13">
        <f t="shared" si="224"/>
        <v>3.416157407402352</v>
      </c>
      <c r="O1839" s="13">
        <f t="shared" si="225"/>
        <v>0</v>
      </c>
      <c r="P1839" t="str">
        <f t="shared" si="226"/>
        <v>On Time</v>
      </c>
      <c r="Q1839" s="13">
        <f t="shared" si="227"/>
        <v>0.26000000000931323</v>
      </c>
      <c r="R1839" s="13">
        <f t="shared" si="228"/>
        <v>0.21239583333226619</v>
      </c>
      <c r="S1839" s="13">
        <f t="shared" si="229"/>
        <v>3.1929282407363644</v>
      </c>
      <c r="T1839" t="str">
        <f t="shared" si="230"/>
        <v>On Time/Early</v>
      </c>
      <c r="U1839" t="str">
        <f t="shared" si="231"/>
        <v>Normal</v>
      </c>
      <c r="V1839" t="s">
        <v>102</v>
      </c>
    </row>
    <row r="1840" spans="1:22">
      <c r="A1840" t="s">
        <v>2599</v>
      </c>
      <c r="B1840" s="10">
        <v>43301.432337962964</v>
      </c>
      <c r="C1840" s="10">
        <v>43301.441168981481</v>
      </c>
      <c r="D1840" s="10">
        <v>43301.574305555558</v>
      </c>
      <c r="E1840" s="10">
        <v>43306.730925925927</v>
      </c>
      <c r="F1840" s="10">
        <v>43321</v>
      </c>
      <c r="G1840" t="s">
        <v>16</v>
      </c>
      <c r="H1840" t="s">
        <v>2600</v>
      </c>
      <c r="I1840" t="s">
        <v>149</v>
      </c>
      <c r="J1840" s="11">
        <v>1</v>
      </c>
      <c r="K1840" s="12">
        <v>139.77000000000001</v>
      </c>
      <c r="L1840" s="12">
        <v>19.079999999999998</v>
      </c>
      <c r="M1840" s="13">
        <v>1</v>
      </c>
      <c r="N1840" s="13">
        <f t="shared" si="224"/>
        <v>5.2985879629632109</v>
      </c>
      <c r="O1840" s="13">
        <f t="shared" si="225"/>
        <v>0</v>
      </c>
      <c r="P1840" t="str">
        <f t="shared" si="226"/>
        <v>On Time</v>
      </c>
      <c r="Q1840" s="13">
        <f t="shared" si="227"/>
        <v>0.21194444439606741</v>
      </c>
      <c r="R1840" s="13">
        <f t="shared" si="228"/>
        <v>0.13313657407707069</v>
      </c>
      <c r="S1840" s="13">
        <f t="shared" si="229"/>
        <v>5.1566203703696374</v>
      </c>
      <c r="T1840" t="str">
        <f t="shared" si="230"/>
        <v>On Time/Early</v>
      </c>
      <c r="U1840" t="str">
        <f t="shared" si="231"/>
        <v>Normal</v>
      </c>
      <c r="V1840" t="s">
        <v>102</v>
      </c>
    </row>
    <row r="1841" spans="1:22">
      <c r="A1841" t="s">
        <v>2601</v>
      </c>
      <c r="B1841" s="10">
        <v>43301.64640046296</v>
      </c>
      <c r="C1841" s="10">
        <v>43301.656435185185</v>
      </c>
      <c r="D1841" s="10">
        <v>43304.472916666666</v>
      </c>
      <c r="E1841" s="10">
        <v>43308.966446759259</v>
      </c>
      <c r="F1841" s="10">
        <v>43319</v>
      </c>
      <c r="G1841" t="s">
        <v>36</v>
      </c>
      <c r="H1841" t="s">
        <v>1539</v>
      </c>
      <c r="I1841" t="s">
        <v>31</v>
      </c>
      <c r="J1841" s="11">
        <v>1</v>
      </c>
      <c r="K1841" s="12">
        <v>19.899999999999999</v>
      </c>
      <c r="L1841" s="12">
        <v>18.239999999999998</v>
      </c>
      <c r="M1841" s="13">
        <v>5</v>
      </c>
      <c r="N1841" s="13">
        <f t="shared" si="224"/>
        <v>7.3200462962995516</v>
      </c>
      <c r="O1841" s="13">
        <f t="shared" si="225"/>
        <v>0</v>
      </c>
      <c r="P1841" t="str">
        <f t="shared" si="226"/>
        <v>On Time</v>
      </c>
      <c r="Q1841" s="13">
        <f t="shared" si="227"/>
        <v>0.24083333340240642</v>
      </c>
      <c r="R1841" s="13">
        <f t="shared" si="228"/>
        <v>2.8164814814808778</v>
      </c>
      <c r="S1841" s="13">
        <f t="shared" si="229"/>
        <v>4.4935300925935735</v>
      </c>
      <c r="T1841" t="str">
        <f t="shared" si="230"/>
        <v>On Time/Early</v>
      </c>
      <c r="U1841" t="str">
        <f t="shared" si="231"/>
        <v>Normal</v>
      </c>
      <c r="V1841" t="s">
        <v>102</v>
      </c>
    </row>
    <row r="1842" spans="1:22">
      <c r="A1842" t="s">
        <v>2602</v>
      </c>
      <c r="B1842" s="10">
        <v>43301.682939814818</v>
      </c>
      <c r="C1842" s="10">
        <v>43301.687662037039</v>
      </c>
      <c r="D1842" s="10">
        <v>43304.533333333333</v>
      </c>
      <c r="E1842" s="10">
        <v>43305.696539351855</v>
      </c>
      <c r="F1842" s="10">
        <v>43311</v>
      </c>
      <c r="G1842" t="s">
        <v>16</v>
      </c>
      <c r="H1842" t="s">
        <v>971</v>
      </c>
      <c r="I1842" t="s">
        <v>120</v>
      </c>
      <c r="J1842" s="11">
        <v>1</v>
      </c>
      <c r="K1842" s="12">
        <v>129</v>
      </c>
      <c r="L1842" s="12">
        <v>9.24</v>
      </c>
      <c r="M1842" s="13">
        <v>1</v>
      </c>
      <c r="N1842" s="13">
        <f t="shared" si="224"/>
        <v>4.0135995370364981</v>
      </c>
      <c r="O1842" s="13">
        <f t="shared" si="225"/>
        <v>0</v>
      </c>
      <c r="P1842" t="str">
        <f t="shared" si="226"/>
        <v>On Time</v>
      </c>
      <c r="Q1842" s="13">
        <f t="shared" si="227"/>
        <v>0.1133333332836628</v>
      </c>
      <c r="R1842" s="13">
        <f t="shared" si="228"/>
        <v>2.8456712962943129</v>
      </c>
      <c r="S1842" s="13">
        <f t="shared" si="229"/>
        <v>1.1632060185220325</v>
      </c>
      <c r="T1842" t="str">
        <f t="shared" si="230"/>
        <v>On Time/Early</v>
      </c>
      <c r="U1842" t="str">
        <f t="shared" si="231"/>
        <v>Normal</v>
      </c>
      <c r="V1842" t="s">
        <v>102</v>
      </c>
    </row>
    <row r="1843" spans="1:22">
      <c r="A1843" t="s">
        <v>2603</v>
      </c>
      <c r="B1843" s="10">
        <v>43301.722777777781</v>
      </c>
      <c r="C1843" s="10">
        <v>43301.732777777775</v>
      </c>
      <c r="D1843" s="10">
        <v>43304.597222222219</v>
      </c>
      <c r="E1843" s="10">
        <v>43308.984525462962</v>
      </c>
      <c r="F1843" s="10">
        <v>43321</v>
      </c>
      <c r="G1843" t="s">
        <v>33</v>
      </c>
      <c r="H1843" t="s">
        <v>739</v>
      </c>
      <c r="I1843" t="s">
        <v>2309</v>
      </c>
      <c r="J1843" s="11">
        <v>1</v>
      </c>
      <c r="K1843" s="12">
        <v>459</v>
      </c>
      <c r="L1843" s="12">
        <v>17.510000000000002</v>
      </c>
      <c r="M1843" s="13">
        <v>5</v>
      </c>
      <c r="N1843" s="13">
        <f t="shared" si="224"/>
        <v>7.2617476851810352</v>
      </c>
      <c r="O1843" s="13">
        <f t="shared" si="225"/>
        <v>0</v>
      </c>
      <c r="P1843" t="str">
        <f t="shared" si="226"/>
        <v>On Time</v>
      </c>
      <c r="Q1843" s="13">
        <f t="shared" si="227"/>
        <v>0.23999999987427145</v>
      </c>
      <c r="R1843" s="13">
        <f t="shared" si="228"/>
        <v>2.8644444444435067</v>
      </c>
      <c r="S1843" s="13">
        <f t="shared" si="229"/>
        <v>4.3873032407427672</v>
      </c>
      <c r="T1843" t="str">
        <f t="shared" si="230"/>
        <v>On Time/Early</v>
      </c>
      <c r="U1843" t="str">
        <f t="shared" si="231"/>
        <v>Normal</v>
      </c>
      <c r="V1843" t="s">
        <v>102</v>
      </c>
    </row>
    <row r="1844" spans="1:22">
      <c r="A1844" t="s">
        <v>2604</v>
      </c>
      <c r="B1844" s="10">
        <v>43301.782847222225</v>
      </c>
      <c r="C1844" s="10">
        <v>43301.788437499999</v>
      </c>
      <c r="D1844" s="10">
        <v>43313.606944444444</v>
      </c>
      <c r="E1844" s="10">
        <v>43314.702905092592</v>
      </c>
      <c r="F1844" s="10">
        <v>43318</v>
      </c>
      <c r="G1844" t="s">
        <v>8</v>
      </c>
      <c r="H1844" t="s">
        <v>140</v>
      </c>
      <c r="I1844" t="s">
        <v>162</v>
      </c>
      <c r="J1844" s="11">
        <v>1</v>
      </c>
      <c r="K1844" s="12">
        <v>59.9</v>
      </c>
      <c r="L1844" s="12">
        <v>7.68</v>
      </c>
      <c r="M1844" s="13">
        <v>5</v>
      </c>
      <c r="N1844" s="13">
        <f t="shared" si="224"/>
        <v>12.9200578703676</v>
      </c>
      <c r="O1844" s="13">
        <f t="shared" si="225"/>
        <v>0</v>
      </c>
      <c r="P1844" t="str">
        <f t="shared" si="226"/>
        <v>On Time</v>
      </c>
      <c r="Q1844" s="13">
        <f t="shared" si="227"/>
        <v>0.13416666659759358</v>
      </c>
      <c r="R1844" s="13">
        <f t="shared" si="228"/>
        <v>11.81850694444438</v>
      </c>
      <c r="S1844" s="13">
        <f t="shared" si="229"/>
        <v>1.0959606481483206</v>
      </c>
      <c r="T1844" t="str">
        <f t="shared" si="230"/>
        <v>On Time/Early</v>
      </c>
      <c r="U1844" t="str">
        <f t="shared" si="231"/>
        <v>Normal</v>
      </c>
      <c r="V1844" t="s">
        <v>102</v>
      </c>
    </row>
    <row r="1845" spans="1:22">
      <c r="A1845" t="s">
        <v>2605</v>
      </c>
      <c r="B1845" s="10">
        <v>43302.513194444444</v>
      </c>
      <c r="C1845" s="10">
        <v>43304.480393518519</v>
      </c>
      <c r="D1845" s="10">
        <v>43307.568749999999</v>
      </c>
      <c r="E1845" s="10">
        <v>43313.957604166666</v>
      </c>
      <c r="F1845" s="10">
        <v>43328</v>
      </c>
      <c r="G1845" t="s">
        <v>320</v>
      </c>
      <c r="H1845" t="s">
        <v>321</v>
      </c>
      <c r="I1845" t="s">
        <v>120</v>
      </c>
      <c r="J1845" s="11">
        <v>1</v>
      </c>
      <c r="K1845" s="12">
        <v>28.9</v>
      </c>
      <c r="L1845" s="12">
        <v>15.3</v>
      </c>
      <c r="M1845" s="13">
        <v>3</v>
      </c>
      <c r="N1845" s="13">
        <f t="shared" si="224"/>
        <v>11.44440972222219</v>
      </c>
      <c r="O1845" s="13">
        <f t="shared" si="225"/>
        <v>0</v>
      </c>
      <c r="P1845" t="str">
        <f t="shared" si="226"/>
        <v>On Time</v>
      </c>
      <c r="Q1845" s="13">
        <f t="shared" si="227"/>
        <v>47.212777777807787</v>
      </c>
      <c r="R1845" s="13">
        <f t="shared" si="228"/>
        <v>3.0883564814794227</v>
      </c>
      <c r="S1845" s="13">
        <f t="shared" si="229"/>
        <v>6.3888541666674428</v>
      </c>
      <c r="T1845" t="str">
        <f t="shared" si="230"/>
        <v>On Time/Early</v>
      </c>
      <c r="U1845" t="str">
        <f t="shared" si="231"/>
        <v>Normal</v>
      </c>
      <c r="V1845" t="s">
        <v>102</v>
      </c>
    </row>
    <row r="1846" spans="1:22">
      <c r="A1846" t="s">
        <v>2606</v>
      </c>
      <c r="B1846" s="10">
        <v>43302.620532407411</v>
      </c>
      <c r="C1846" s="10">
        <v>43304.480428240742</v>
      </c>
      <c r="D1846" s="10">
        <v>43305.606249999997</v>
      </c>
      <c r="E1846" s="10">
        <v>43312.028912037036</v>
      </c>
      <c r="F1846" s="10">
        <v>43334</v>
      </c>
      <c r="G1846" t="s">
        <v>36</v>
      </c>
      <c r="H1846" t="s">
        <v>1170</v>
      </c>
      <c r="I1846" t="s">
        <v>221</v>
      </c>
      <c r="J1846" s="11">
        <v>1</v>
      </c>
      <c r="K1846" s="12">
        <v>178.99</v>
      </c>
      <c r="L1846" s="12">
        <v>19.350000000000001</v>
      </c>
      <c r="M1846" s="13">
        <v>5</v>
      </c>
      <c r="N1846" s="13">
        <f t="shared" si="224"/>
        <v>9.408379629625415</v>
      </c>
      <c r="O1846" s="13">
        <f t="shared" si="225"/>
        <v>0</v>
      </c>
      <c r="P1846" t="str">
        <f t="shared" si="226"/>
        <v>On Time</v>
      </c>
      <c r="Q1846" s="13">
        <f t="shared" si="227"/>
        <v>44.637499999953434</v>
      </c>
      <c r="R1846" s="13">
        <f t="shared" si="228"/>
        <v>1.1258217592549045</v>
      </c>
      <c r="S1846" s="13">
        <f t="shared" si="229"/>
        <v>6.4226620370391174</v>
      </c>
      <c r="T1846" t="str">
        <f t="shared" si="230"/>
        <v>On Time/Early</v>
      </c>
      <c r="U1846" t="str">
        <f t="shared" si="231"/>
        <v>Normal</v>
      </c>
      <c r="V1846" t="s">
        <v>102</v>
      </c>
    </row>
    <row r="1847" spans="1:22">
      <c r="A1847" t="s">
        <v>2607</v>
      </c>
      <c r="B1847" s="10">
        <v>43302.710659722223</v>
      </c>
      <c r="C1847" s="10">
        <v>43302.719004629631</v>
      </c>
      <c r="D1847" s="10">
        <v>43305.611111111109</v>
      </c>
      <c r="E1847" s="10">
        <v>43309.544664351852</v>
      </c>
      <c r="F1847" s="10">
        <v>43328</v>
      </c>
      <c r="G1847" t="s">
        <v>8</v>
      </c>
      <c r="H1847" t="s">
        <v>907</v>
      </c>
      <c r="I1847" t="s">
        <v>101</v>
      </c>
      <c r="J1847" s="11">
        <v>1</v>
      </c>
      <c r="K1847" s="12">
        <v>129.9</v>
      </c>
      <c r="L1847" s="12">
        <v>47.21</v>
      </c>
      <c r="M1847" s="13">
        <v>4</v>
      </c>
      <c r="N1847" s="13">
        <f t="shared" si="224"/>
        <v>6.8340046296289074</v>
      </c>
      <c r="O1847" s="13">
        <f t="shared" si="225"/>
        <v>0</v>
      </c>
      <c r="P1847" t="str">
        <f t="shared" si="226"/>
        <v>On Time</v>
      </c>
      <c r="Q1847" s="13">
        <f t="shared" si="227"/>
        <v>0.20027777779614553</v>
      </c>
      <c r="R1847" s="13">
        <f t="shared" si="228"/>
        <v>2.8921064814785495</v>
      </c>
      <c r="S1847" s="13">
        <f t="shared" si="229"/>
        <v>3.9335532407421852</v>
      </c>
      <c r="T1847" t="str">
        <f t="shared" si="230"/>
        <v>On Time/Early</v>
      </c>
      <c r="U1847" t="str">
        <f t="shared" si="231"/>
        <v>Normal</v>
      </c>
      <c r="V1847" t="s">
        <v>102</v>
      </c>
    </row>
    <row r="1848" spans="1:22">
      <c r="A1848" t="s">
        <v>2608</v>
      </c>
      <c r="B1848" s="10">
        <v>43302.791331018518</v>
      </c>
      <c r="C1848" s="10">
        <v>43302.819502314815</v>
      </c>
      <c r="D1848" s="10">
        <v>43304.663888888892</v>
      </c>
      <c r="E1848" s="10">
        <v>43308.851851851854</v>
      </c>
      <c r="F1848" s="10">
        <v>43328</v>
      </c>
      <c r="G1848" t="s">
        <v>8</v>
      </c>
      <c r="H1848" t="s">
        <v>140</v>
      </c>
      <c r="I1848" t="s">
        <v>34</v>
      </c>
      <c r="J1848" s="11">
        <v>1</v>
      </c>
      <c r="K1848" s="12">
        <v>79</v>
      </c>
      <c r="L1848" s="12">
        <v>18.350000000000001</v>
      </c>
      <c r="M1848" s="13">
        <v>3</v>
      </c>
      <c r="N1848" s="13">
        <f t="shared" si="224"/>
        <v>6.0605208333363407</v>
      </c>
      <c r="O1848" s="13">
        <f t="shared" si="225"/>
        <v>0</v>
      </c>
      <c r="P1848" t="str">
        <f t="shared" si="226"/>
        <v>On Time</v>
      </c>
      <c r="Q1848" s="13">
        <f t="shared" si="227"/>
        <v>0.67611111112637445</v>
      </c>
      <c r="R1848" s="13">
        <f t="shared" si="228"/>
        <v>1.8443865740773617</v>
      </c>
      <c r="S1848" s="13">
        <f t="shared" si="229"/>
        <v>4.1879629629620467</v>
      </c>
      <c r="T1848" t="str">
        <f t="shared" si="230"/>
        <v>On Time/Early</v>
      </c>
      <c r="U1848" t="str">
        <f t="shared" si="231"/>
        <v>Normal</v>
      </c>
      <c r="V1848" t="s">
        <v>102</v>
      </c>
    </row>
    <row r="1849" spans="1:22">
      <c r="A1849" t="s">
        <v>2609</v>
      </c>
      <c r="B1849" s="10">
        <v>43302.831307870372</v>
      </c>
      <c r="C1849" s="10">
        <v>43302.840509259258</v>
      </c>
      <c r="D1849" s="10">
        <v>43318.602083333331</v>
      </c>
      <c r="E1849" s="10">
        <v>43319.846365740741</v>
      </c>
      <c r="F1849" s="10">
        <v>43326</v>
      </c>
      <c r="G1849" t="s">
        <v>8</v>
      </c>
      <c r="H1849" t="s">
        <v>161</v>
      </c>
      <c r="I1849" t="s">
        <v>141</v>
      </c>
      <c r="J1849" s="11">
        <v>1</v>
      </c>
      <c r="K1849" s="12">
        <v>228.99</v>
      </c>
      <c r="L1849" s="12">
        <v>10.35</v>
      </c>
      <c r="M1849" s="13">
        <v>5</v>
      </c>
      <c r="N1849" s="13">
        <f t="shared" si="224"/>
        <v>17.015057870368764</v>
      </c>
      <c r="O1849" s="13">
        <f t="shared" si="225"/>
        <v>0</v>
      </c>
      <c r="P1849" t="str">
        <f t="shared" si="226"/>
        <v>On Time</v>
      </c>
      <c r="Q1849" s="13">
        <f t="shared" si="227"/>
        <v>0.22083333326736465</v>
      </c>
      <c r="R1849" s="13">
        <f t="shared" si="228"/>
        <v>15.761574074072996</v>
      </c>
      <c r="S1849" s="13">
        <f t="shared" si="229"/>
        <v>1.2442824074096279</v>
      </c>
      <c r="T1849" t="str">
        <f t="shared" si="230"/>
        <v>On Time/Early</v>
      </c>
      <c r="U1849" t="str">
        <f t="shared" si="231"/>
        <v>Normal</v>
      </c>
      <c r="V1849" t="s">
        <v>102</v>
      </c>
    </row>
    <row r="1850" spans="1:22">
      <c r="A1850" t="s">
        <v>2610</v>
      </c>
      <c r="B1850" s="10">
        <v>43302.903761574074</v>
      </c>
      <c r="C1850" s="10">
        <v>43302.934155092589</v>
      </c>
      <c r="D1850" s="10">
        <v>43304.598611111112</v>
      </c>
      <c r="E1850" s="10">
        <v>43307.743807870371</v>
      </c>
      <c r="F1850" s="10">
        <v>43320</v>
      </c>
      <c r="G1850" t="s">
        <v>8</v>
      </c>
      <c r="H1850" t="s">
        <v>528</v>
      </c>
      <c r="I1850" t="s">
        <v>252</v>
      </c>
      <c r="J1850" s="11">
        <v>1</v>
      </c>
      <c r="K1850" s="12">
        <v>26.9</v>
      </c>
      <c r="L1850" s="12">
        <v>12.85</v>
      </c>
      <c r="M1850" s="13">
        <v>5</v>
      </c>
      <c r="N1850" s="13">
        <f t="shared" si="224"/>
        <v>4.8400462962963502</v>
      </c>
      <c r="O1850" s="13">
        <f t="shared" si="225"/>
        <v>0</v>
      </c>
      <c r="P1850" t="str">
        <f t="shared" si="226"/>
        <v>On Time</v>
      </c>
      <c r="Q1850" s="13">
        <f t="shared" si="227"/>
        <v>0.72944444435415789</v>
      </c>
      <c r="R1850" s="13">
        <f t="shared" si="228"/>
        <v>1.6644560185231967</v>
      </c>
      <c r="S1850" s="13">
        <f t="shared" si="229"/>
        <v>3.1451967592583969</v>
      </c>
      <c r="T1850" t="str">
        <f t="shared" si="230"/>
        <v>On Time/Early</v>
      </c>
      <c r="U1850" t="str">
        <f t="shared" si="231"/>
        <v>Normal</v>
      </c>
      <c r="V1850" t="s">
        <v>102</v>
      </c>
    </row>
    <row r="1851" spans="1:22">
      <c r="A1851" t="s">
        <v>2611</v>
      </c>
      <c r="B1851" s="10">
        <v>43303.483842592592</v>
      </c>
      <c r="C1851" s="10">
        <v>43304.48064814815</v>
      </c>
      <c r="D1851" s="10">
        <v>43305.650694444441</v>
      </c>
      <c r="E1851" s="10">
        <v>43308.624155092592</v>
      </c>
      <c r="F1851" s="10">
        <v>43328</v>
      </c>
      <c r="G1851" t="s">
        <v>8</v>
      </c>
      <c r="H1851" t="s">
        <v>2612</v>
      </c>
      <c r="I1851" t="s">
        <v>101</v>
      </c>
      <c r="J1851" s="11">
        <v>1</v>
      </c>
      <c r="K1851" s="12">
        <v>23.9</v>
      </c>
      <c r="L1851" s="12">
        <v>19.36</v>
      </c>
      <c r="M1851" s="13">
        <v>5</v>
      </c>
      <c r="N1851" s="13">
        <f t="shared" si="224"/>
        <v>5.140312499999709</v>
      </c>
      <c r="O1851" s="13">
        <f t="shared" si="225"/>
        <v>0</v>
      </c>
      <c r="P1851" t="str">
        <f t="shared" si="226"/>
        <v>On Time</v>
      </c>
      <c r="Q1851" s="13">
        <f t="shared" si="227"/>
        <v>23.92333333339775</v>
      </c>
      <c r="R1851" s="13">
        <f t="shared" si="228"/>
        <v>1.1700462962908205</v>
      </c>
      <c r="S1851" s="13">
        <f t="shared" si="229"/>
        <v>2.9734606481506489</v>
      </c>
      <c r="T1851" t="str">
        <f t="shared" si="230"/>
        <v>On Time/Early</v>
      </c>
      <c r="U1851" t="str">
        <f t="shared" si="231"/>
        <v>Normal</v>
      </c>
      <c r="V1851" t="s">
        <v>102</v>
      </c>
    </row>
    <row r="1852" spans="1:22">
      <c r="A1852" t="s">
        <v>2613</v>
      </c>
      <c r="B1852" s="10">
        <v>43303.563368055555</v>
      </c>
      <c r="C1852" s="10">
        <v>43304.480127314811</v>
      </c>
      <c r="D1852" s="10">
        <v>43305.354166666664</v>
      </c>
      <c r="E1852" s="10">
        <v>43314.123356481483</v>
      </c>
      <c r="F1852" s="10">
        <v>43322</v>
      </c>
      <c r="G1852" t="s">
        <v>164</v>
      </c>
      <c r="H1852" t="s">
        <v>986</v>
      </c>
      <c r="I1852" t="s">
        <v>221</v>
      </c>
      <c r="J1852" s="11">
        <v>1</v>
      </c>
      <c r="K1852" s="12">
        <v>148.9</v>
      </c>
      <c r="L1852" s="12">
        <v>16.14</v>
      </c>
      <c r="M1852" s="13">
        <v>5</v>
      </c>
      <c r="N1852" s="13">
        <f t="shared" si="224"/>
        <v>10.559988425928168</v>
      </c>
      <c r="O1852" s="13">
        <f t="shared" si="225"/>
        <v>0</v>
      </c>
      <c r="P1852" t="str">
        <f t="shared" si="226"/>
        <v>On Time</v>
      </c>
      <c r="Q1852" s="13">
        <f t="shared" si="227"/>
        <v>22.002222222159617</v>
      </c>
      <c r="R1852" s="13">
        <f t="shared" si="228"/>
        <v>0.87403935185284354</v>
      </c>
      <c r="S1852" s="13">
        <f t="shared" si="229"/>
        <v>8.7691898148186738</v>
      </c>
      <c r="T1852" t="str">
        <f t="shared" si="230"/>
        <v>On Time/Early</v>
      </c>
      <c r="U1852" t="str">
        <f t="shared" si="231"/>
        <v>Normal</v>
      </c>
      <c r="V1852" t="s">
        <v>102</v>
      </c>
    </row>
    <row r="1853" spans="1:22">
      <c r="A1853" t="s">
        <v>2614</v>
      </c>
      <c r="B1853" s="10">
        <v>43303.659097222226</v>
      </c>
      <c r="C1853" s="10">
        <v>43304.52238425926</v>
      </c>
      <c r="D1853" s="10">
        <v>43305.508333333331</v>
      </c>
      <c r="E1853" s="10">
        <v>43311.63658564815</v>
      </c>
      <c r="F1853" s="10">
        <v>43335</v>
      </c>
      <c r="G1853" t="s">
        <v>16</v>
      </c>
      <c r="H1853" t="s">
        <v>138</v>
      </c>
      <c r="I1853" t="s">
        <v>31</v>
      </c>
      <c r="J1853" s="11">
        <v>1</v>
      </c>
      <c r="K1853" s="12">
        <v>18.79</v>
      </c>
      <c r="L1853" s="12">
        <v>17.059999999999999</v>
      </c>
      <c r="M1853" s="13">
        <v>5</v>
      </c>
      <c r="N1853" s="13">
        <f t="shared" si="224"/>
        <v>7.9774884259240935</v>
      </c>
      <c r="O1853" s="13">
        <f t="shared" si="225"/>
        <v>0</v>
      </c>
      <c r="P1853" t="str">
        <f t="shared" si="226"/>
        <v>On Time</v>
      </c>
      <c r="Q1853" s="13">
        <f t="shared" si="227"/>
        <v>20.718888888834044</v>
      </c>
      <c r="R1853" s="13">
        <f t="shared" si="228"/>
        <v>0.98594907407095889</v>
      </c>
      <c r="S1853" s="13">
        <f t="shared" si="229"/>
        <v>6.1282523148183827</v>
      </c>
      <c r="T1853" t="str">
        <f t="shared" si="230"/>
        <v>On Time/Early</v>
      </c>
      <c r="U1853" t="str">
        <f t="shared" si="231"/>
        <v>Normal</v>
      </c>
      <c r="V1853" t="s">
        <v>102</v>
      </c>
    </row>
    <row r="1854" spans="1:22">
      <c r="A1854" t="s">
        <v>2615</v>
      </c>
      <c r="B1854" s="10">
        <v>43303.713773148149</v>
      </c>
      <c r="C1854" s="10">
        <v>43304.52239583333</v>
      </c>
      <c r="D1854" s="10">
        <v>43304.634027777778</v>
      </c>
      <c r="E1854" s="10">
        <v>43313.793425925927</v>
      </c>
      <c r="F1854" s="10">
        <v>43327</v>
      </c>
      <c r="G1854" t="s">
        <v>192</v>
      </c>
      <c r="H1854" t="s">
        <v>615</v>
      </c>
      <c r="I1854" t="s">
        <v>154</v>
      </c>
      <c r="J1854" s="11">
        <v>1</v>
      </c>
      <c r="K1854" s="12">
        <v>148</v>
      </c>
      <c r="L1854" s="12">
        <v>23.76</v>
      </c>
      <c r="M1854" s="13">
        <v>5</v>
      </c>
      <c r="N1854" s="13">
        <f t="shared" si="224"/>
        <v>10.079652777778392</v>
      </c>
      <c r="O1854" s="13">
        <f t="shared" si="225"/>
        <v>0</v>
      </c>
      <c r="P1854" t="str">
        <f t="shared" si="226"/>
        <v>On Time</v>
      </c>
      <c r="Q1854" s="13">
        <f t="shared" si="227"/>
        <v>19.406944444344845</v>
      </c>
      <c r="R1854" s="13">
        <f t="shared" si="228"/>
        <v>0.11163194444816327</v>
      </c>
      <c r="S1854" s="13">
        <f t="shared" si="229"/>
        <v>9.1593981481491937</v>
      </c>
      <c r="T1854" t="str">
        <f t="shared" si="230"/>
        <v>On Time/Early</v>
      </c>
      <c r="U1854" t="str">
        <f t="shared" si="231"/>
        <v>Normal</v>
      </c>
      <c r="V1854" t="s">
        <v>102</v>
      </c>
    </row>
    <row r="1855" spans="1:22">
      <c r="A1855" t="s">
        <v>2616</v>
      </c>
      <c r="B1855" s="10">
        <v>43304.044027777774</v>
      </c>
      <c r="C1855" s="10">
        <v>43304.56349537037</v>
      </c>
      <c r="D1855" s="10">
        <v>43307.500694444447</v>
      </c>
      <c r="E1855" s="10">
        <v>43311.77065972222</v>
      </c>
      <c r="F1855" s="10">
        <v>43321</v>
      </c>
      <c r="G1855" t="s">
        <v>8</v>
      </c>
      <c r="H1855" t="s">
        <v>1966</v>
      </c>
      <c r="I1855" t="s">
        <v>58</v>
      </c>
      <c r="J1855" s="11">
        <v>1</v>
      </c>
      <c r="K1855" s="12">
        <v>160</v>
      </c>
      <c r="L1855" s="12">
        <v>19.22</v>
      </c>
      <c r="M1855" s="13">
        <v>5</v>
      </c>
      <c r="N1855" s="13">
        <f t="shared" si="224"/>
        <v>7.726631944446126</v>
      </c>
      <c r="O1855" s="13">
        <f t="shared" si="225"/>
        <v>0</v>
      </c>
      <c r="P1855" t="str">
        <f t="shared" si="226"/>
        <v>On Time</v>
      </c>
      <c r="Q1855" s="13">
        <f t="shared" si="227"/>
        <v>12.467222222301643</v>
      </c>
      <c r="R1855" s="13">
        <f t="shared" si="228"/>
        <v>2.9371990740764886</v>
      </c>
      <c r="S1855" s="13">
        <f t="shared" si="229"/>
        <v>4.2699652777737356</v>
      </c>
      <c r="T1855" t="str">
        <f t="shared" si="230"/>
        <v>On Time/Early</v>
      </c>
      <c r="U1855" t="str">
        <f t="shared" si="231"/>
        <v>Normal</v>
      </c>
      <c r="V1855" t="s">
        <v>102</v>
      </c>
    </row>
    <row r="1856" spans="1:22">
      <c r="A1856" t="s">
        <v>2617</v>
      </c>
      <c r="B1856" s="10">
        <v>43304.611087962963</v>
      </c>
      <c r="C1856" s="10">
        <v>43304.66715277778</v>
      </c>
      <c r="D1856" s="10">
        <v>43307.55972222222</v>
      </c>
      <c r="E1856" s="10">
        <v>43315.800266203703</v>
      </c>
      <c r="F1856" s="10">
        <v>43325</v>
      </c>
      <c r="G1856" t="s">
        <v>134</v>
      </c>
      <c r="H1856" t="s">
        <v>799</v>
      </c>
      <c r="I1856" t="s">
        <v>101</v>
      </c>
      <c r="J1856" s="11">
        <v>1</v>
      </c>
      <c r="K1856" s="12">
        <v>42</v>
      </c>
      <c r="L1856" s="12">
        <v>17.22</v>
      </c>
      <c r="M1856" s="13">
        <v>3</v>
      </c>
      <c r="N1856" s="13">
        <f t="shared" si="224"/>
        <v>11.189178240740148</v>
      </c>
      <c r="O1856" s="13">
        <f t="shared" si="225"/>
        <v>0</v>
      </c>
      <c r="P1856" t="str">
        <f t="shared" si="226"/>
        <v>On Time</v>
      </c>
      <c r="Q1856" s="13">
        <f t="shared" si="227"/>
        <v>1.345555555599276</v>
      </c>
      <c r="R1856" s="13">
        <f t="shared" si="228"/>
        <v>2.8925694444405963</v>
      </c>
      <c r="S1856" s="13">
        <f t="shared" si="229"/>
        <v>8.2405439814829151</v>
      </c>
      <c r="T1856" t="str">
        <f t="shared" si="230"/>
        <v>On Time/Early</v>
      </c>
      <c r="U1856" t="str">
        <f t="shared" si="231"/>
        <v>Normal</v>
      </c>
      <c r="V1856" t="s">
        <v>102</v>
      </c>
    </row>
    <row r="1857" spans="1:22">
      <c r="A1857" t="s">
        <v>2618</v>
      </c>
      <c r="B1857" s="10">
        <v>43304.622627314813</v>
      </c>
      <c r="C1857" s="10">
        <v>43304.670312499999</v>
      </c>
      <c r="D1857" s="10">
        <v>43306.25</v>
      </c>
      <c r="E1857" s="10">
        <v>43311.822789351849</v>
      </c>
      <c r="F1857" s="10">
        <v>43332</v>
      </c>
      <c r="G1857" t="s">
        <v>16</v>
      </c>
      <c r="H1857" t="s">
        <v>138</v>
      </c>
      <c r="I1857" t="s">
        <v>112</v>
      </c>
      <c r="J1857" s="11">
        <v>1</v>
      </c>
      <c r="K1857" s="12">
        <v>139.99</v>
      </c>
      <c r="L1857" s="12">
        <v>17.170000000000002</v>
      </c>
      <c r="M1857" s="13">
        <v>5</v>
      </c>
      <c r="N1857" s="13">
        <f t="shared" si="224"/>
        <v>7.200162037035625</v>
      </c>
      <c r="O1857" s="13">
        <f t="shared" si="225"/>
        <v>0</v>
      </c>
      <c r="P1857" t="str">
        <f t="shared" si="226"/>
        <v>On Time</v>
      </c>
      <c r="Q1857" s="13">
        <f t="shared" si="227"/>
        <v>1.1444444444496185</v>
      </c>
      <c r="R1857" s="13">
        <f t="shared" si="228"/>
        <v>1.5796875000014552</v>
      </c>
      <c r="S1857" s="13">
        <f t="shared" si="229"/>
        <v>5.572789351848769</v>
      </c>
      <c r="T1857" t="str">
        <f t="shared" si="230"/>
        <v>On Time/Early</v>
      </c>
      <c r="U1857" t="str">
        <f t="shared" si="231"/>
        <v>Normal</v>
      </c>
      <c r="V1857" t="s">
        <v>102</v>
      </c>
    </row>
    <row r="1858" spans="1:22">
      <c r="A1858" t="s">
        <v>2619</v>
      </c>
      <c r="B1858" s="10">
        <v>43304.629421296297</v>
      </c>
      <c r="C1858" s="10">
        <v>43304.670081018521</v>
      </c>
      <c r="D1858" s="10">
        <v>43305.620138888888</v>
      </c>
      <c r="E1858" s="10">
        <v>43307.077662037038</v>
      </c>
      <c r="F1858" s="10">
        <v>43312</v>
      </c>
      <c r="G1858" t="s">
        <v>8</v>
      </c>
      <c r="H1858" t="s">
        <v>299</v>
      </c>
      <c r="I1858" t="s">
        <v>31</v>
      </c>
      <c r="J1858" s="11">
        <v>1</v>
      </c>
      <c r="K1858" s="12">
        <v>42.9</v>
      </c>
      <c r="L1858" s="12">
        <v>7.56</v>
      </c>
      <c r="M1858" s="13">
        <v>5</v>
      </c>
      <c r="N1858" s="13">
        <f t="shared" ref="N1858:N1921" si="232">IFERROR(E1858-B1858,"")</f>
        <v>2.448240740741312</v>
      </c>
      <c r="O1858" s="13">
        <f t="shared" ref="O1858:O1921" si="233">IFERROR(MAX(0,E1858-F1858),"")</f>
        <v>0</v>
      </c>
      <c r="P1858" t="str">
        <f t="shared" ref="P1858:P1921" si="234">IF(O1858&gt;0,"Delayed","On Time")</f>
        <v>On Time</v>
      </c>
      <c r="Q1858" s="13">
        <f t="shared" ref="Q1858:Q1921" si="235">IFERROR((C1858-B1858)*24,"")</f>
        <v>0.97583333338843659</v>
      </c>
      <c r="R1858" s="13">
        <f t="shared" ref="R1858:R1921" si="236">IFERROR(D1858-C1858,"")</f>
        <v>0.95005787036643596</v>
      </c>
      <c r="S1858" s="13">
        <f t="shared" ref="S1858:S1921" si="237">IFERROR(E1858-D1858,"")</f>
        <v>1.4575231481503579</v>
      </c>
      <c r="T1858" t="str">
        <f t="shared" ref="T1858:T1921" si="238">IF(O1858=0,"On Time/Early",IF(O1858&lt;=3,"1-3 Days Late",IF(O1858&lt;=7,"4-7 Days Late","8+ Days Late")))</f>
        <v>On Time/Early</v>
      </c>
      <c r="U1858" t="str">
        <f t="shared" ref="U1858:U1921" si="239">IF(P1858="Delayed","Needs Review","Normal")</f>
        <v>Normal</v>
      </c>
      <c r="V1858" t="s">
        <v>102</v>
      </c>
    </row>
    <row r="1859" spans="1:22">
      <c r="A1859" t="s">
        <v>2620</v>
      </c>
      <c r="B1859" s="10">
        <v>43304.661990740744</v>
      </c>
      <c r="C1859" s="10">
        <v>43304.698773148149</v>
      </c>
      <c r="D1859" s="10">
        <v>43305.56527777778</v>
      </c>
      <c r="E1859" s="10">
        <v>43306.735358796293</v>
      </c>
      <c r="F1859" s="10">
        <v>43312</v>
      </c>
      <c r="G1859" t="s">
        <v>8</v>
      </c>
      <c r="H1859" t="s">
        <v>1292</v>
      </c>
      <c r="I1859" t="s">
        <v>279</v>
      </c>
      <c r="J1859" s="11">
        <v>1</v>
      </c>
      <c r="K1859" s="12">
        <v>49</v>
      </c>
      <c r="L1859" s="12">
        <v>7.6</v>
      </c>
      <c r="M1859" s="13">
        <v>5</v>
      </c>
      <c r="N1859" s="13">
        <f t="shared" si="232"/>
        <v>2.0733680555495084</v>
      </c>
      <c r="O1859" s="13">
        <f t="shared" si="233"/>
        <v>0</v>
      </c>
      <c r="P1859" t="str">
        <f t="shared" si="234"/>
        <v>On Time</v>
      </c>
      <c r="Q1859" s="13">
        <f t="shared" si="235"/>
        <v>0.88277777773328125</v>
      </c>
      <c r="R1859" s="13">
        <f t="shared" si="236"/>
        <v>0.86650462963007158</v>
      </c>
      <c r="S1859" s="13">
        <f t="shared" si="237"/>
        <v>1.1700810185138835</v>
      </c>
      <c r="T1859" t="str">
        <f t="shared" si="238"/>
        <v>On Time/Early</v>
      </c>
      <c r="U1859" t="str">
        <f t="shared" si="239"/>
        <v>Normal</v>
      </c>
      <c r="V1859" t="s">
        <v>102</v>
      </c>
    </row>
    <row r="1860" spans="1:22">
      <c r="A1860" t="s">
        <v>2621</v>
      </c>
      <c r="B1860" s="10">
        <v>43305.396886574075</v>
      </c>
      <c r="C1860" s="10">
        <v>43305.475092592591</v>
      </c>
      <c r="D1860" s="10">
        <v>43306.57708333333</v>
      </c>
      <c r="E1860" s="10">
        <v>43311.688935185186</v>
      </c>
      <c r="F1860" s="10">
        <v>43325</v>
      </c>
      <c r="G1860" t="s">
        <v>33</v>
      </c>
      <c r="H1860" t="s">
        <v>1765</v>
      </c>
      <c r="I1860" t="s">
        <v>34</v>
      </c>
      <c r="J1860" s="11">
        <v>1</v>
      </c>
      <c r="K1860" s="12">
        <v>48.9</v>
      </c>
      <c r="L1860" s="12">
        <v>19.53</v>
      </c>
      <c r="M1860" s="13">
        <v>5</v>
      </c>
      <c r="N1860" s="13">
        <f t="shared" si="232"/>
        <v>6.2920486111106584</v>
      </c>
      <c r="O1860" s="13">
        <f t="shared" si="233"/>
        <v>0</v>
      </c>
      <c r="P1860" t="str">
        <f t="shared" si="234"/>
        <v>On Time</v>
      </c>
      <c r="Q1860" s="13">
        <f t="shared" si="235"/>
        <v>1.8769444443751127</v>
      </c>
      <c r="R1860" s="13">
        <f t="shared" si="236"/>
        <v>1.1019907407389837</v>
      </c>
      <c r="S1860" s="13">
        <f t="shared" si="237"/>
        <v>5.111851851856045</v>
      </c>
      <c r="T1860" t="str">
        <f t="shared" si="238"/>
        <v>On Time/Early</v>
      </c>
      <c r="U1860" t="str">
        <f t="shared" si="239"/>
        <v>Normal</v>
      </c>
      <c r="V1860" t="s">
        <v>102</v>
      </c>
    </row>
    <row r="1861" spans="1:22">
      <c r="A1861" t="s">
        <v>2622</v>
      </c>
      <c r="B1861" s="10">
        <v>43305.42633101852</v>
      </c>
      <c r="C1861" s="10">
        <v>43305.486851851849</v>
      </c>
      <c r="D1861" s="10">
        <v>43306.458333333336</v>
      </c>
      <c r="E1861" s="10">
        <v>43315.745243055557</v>
      </c>
      <c r="F1861" s="10">
        <v>43328</v>
      </c>
      <c r="G1861" t="s">
        <v>20</v>
      </c>
      <c r="H1861" t="s">
        <v>2557</v>
      </c>
      <c r="I1861" t="s">
        <v>44</v>
      </c>
      <c r="J1861" s="11">
        <v>1</v>
      </c>
      <c r="K1861" s="12">
        <v>93.9</v>
      </c>
      <c r="L1861" s="12">
        <v>22.59</v>
      </c>
      <c r="M1861" s="13">
        <v>4</v>
      </c>
      <c r="N1861" s="13">
        <f t="shared" si="232"/>
        <v>10.31891203703708</v>
      </c>
      <c r="O1861" s="13">
        <f t="shared" si="233"/>
        <v>0</v>
      </c>
      <c r="P1861" t="str">
        <f t="shared" si="234"/>
        <v>On Time</v>
      </c>
      <c r="Q1861" s="13">
        <f t="shared" si="235"/>
        <v>1.4524999998975545</v>
      </c>
      <c r="R1861" s="13">
        <f t="shared" si="236"/>
        <v>0.97148148148698965</v>
      </c>
      <c r="S1861" s="13">
        <f t="shared" si="237"/>
        <v>9.2869097222210257</v>
      </c>
      <c r="T1861" t="str">
        <f t="shared" si="238"/>
        <v>On Time/Early</v>
      </c>
      <c r="U1861" t="str">
        <f t="shared" si="239"/>
        <v>Normal</v>
      </c>
      <c r="V1861" t="s">
        <v>102</v>
      </c>
    </row>
    <row r="1862" spans="1:22">
      <c r="A1862" t="s">
        <v>2623</v>
      </c>
      <c r="B1862" s="10">
        <v>43305.451203703706</v>
      </c>
      <c r="C1862" s="10">
        <v>43306.11414351852</v>
      </c>
      <c r="D1862" s="10">
        <v>43306.67291666667</v>
      </c>
      <c r="E1862" s="10">
        <v>43307.918854166666</v>
      </c>
      <c r="F1862" s="10">
        <v>43313</v>
      </c>
      <c r="G1862" t="s">
        <v>8</v>
      </c>
      <c r="H1862" t="s">
        <v>171</v>
      </c>
      <c r="I1862" t="s">
        <v>44</v>
      </c>
      <c r="J1862" s="11">
        <v>1</v>
      </c>
      <c r="K1862" s="12">
        <v>151.30000000000001</v>
      </c>
      <c r="L1862" s="12">
        <v>12.08</v>
      </c>
      <c r="M1862" s="13">
        <v>5</v>
      </c>
      <c r="N1862" s="13">
        <f t="shared" si="232"/>
        <v>2.4676504629605915</v>
      </c>
      <c r="O1862" s="13">
        <f t="shared" si="233"/>
        <v>0</v>
      </c>
      <c r="P1862" t="str">
        <f t="shared" si="234"/>
        <v>On Time</v>
      </c>
      <c r="Q1862" s="13">
        <f t="shared" si="235"/>
        <v>15.910555555543397</v>
      </c>
      <c r="R1862" s="13">
        <f t="shared" si="236"/>
        <v>0.55877314815006685</v>
      </c>
      <c r="S1862" s="13">
        <f t="shared" si="237"/>
        <v>1.2459374999962165</v>
      </c>
      <c r="T1862" t="str">
        <f t="shared" si="238"/>
        <v>On Time/Early</v>
      </c>
      <c r="U1862" t="str">
        <f t="shared" si="239"/>
        <v>Normal</v>
      </c>
      <c r="V1862" t="s">
        <v>102</v>
      </c>
    </row>
    <row r="1863" spans="1:22">
      <c r="A1863" t="s">
        <v>2624</v>
      </c>
      <c r="B1863" s="10">
        <v>43305.907280092593</v>
      </c>
      <c r="C1863" s="10">
        <v>43305.919652777775</v>
      </c>
      <c r="D1863" s="10">
        <v>43311.595138888886</v>
      </c>
      <c r="E1863" s="10">
        <v>43319.695613425924</v>
      </c>
      <c r="F1863" s="10">
        <v>43334</v>
      </c>
      <c r="G1863" t="s">
        <v>23</v>
      </c>
      <c r="H1863" t="s">
        <v>2625</v>
      </c>
      <c r="I1863" t="s">
        <v>34</v>
      </c>
      <c r="J1863" s="11">
        <v>1</v>
      </c>
      <c r="K1863" s="12">
        <v>799.9</v>
      </c>
      <c r="L1863" s="12">
        <v>72.739999999999995</v>
      </c>
      <c r="M1863" s="13">
        <v>5</v>
      </c>
      <c r="N1863" s="13">
        <f t="shared" si="232"/>
        <v>13.788333333330229</v>
      </c>
      <c r="O1863" s="13">
        <f t="shared" si="233"/>
        <v>0</v>
      </c>
      <c r="P1863" t="str">
        <f t="shared" si="234"/>
        <v>On Time</v>
      </c>
      <c r="Q1863" s="13">
        <f t="shared" si="235"/>
        <v>0.29694444435881451</v>
      </c>
      <c r="R1863" s="13">
        <f t="shared" si="236"/>
        <v>5.6754861111112405</v>
      </c>
      <c r="S1863" s="13">
        <f t="shared" si="237"/>
        <v>8.1004745370373712</v>
      </c>
      <c r="T1863" t="str">
        <f t="shared" si="238"/>
        <v>On Time/Early</v>
      </c>
      <c r="U1863" t="str">
        <f t="shared" si="239"/>
        <v>Normal</v>
      </c>
      <c r="V1863" t="s">
        <v>102</v>
      </c>
    </row>
    <row r="1864" spans="1:22">
      <c r="A1864" t="s">
        <v>2626</v>
      </c>
      <c r="B1864" s="10">
        <v>43306.372546296298</v>
      </c>
      <c r="C1864" s="10">
        <v>43306.937743055554</v>
      </c>
      <c r="D1864" s="10">
        <v>43327.65347222222</v>
      </c>
      <c r="E1864" s="10">
        <v>43336.874328703707</v>
      </c>
      <c r="F1864" s="10">
        <v>43348</v>
      </c>
      <c r="G1864" t="s">
        <v>16</v>
      </c>
      <c r="H1864" t="s">
        <v>138</v>
      </c>
      <c r="I1864" t="s">
        <v>37</v>
      </c>
      <c r="J1864" s="11">
        <v>2</v>
      </c>
      <c r="K1864" s="12">
        <v>279.95999999999998</v>
      </c>
      <c r="L1864" s="12">
        <v>72.42</v>
      </c>
      <c r="M1864" s="13">
        <v>1</v>
      </c>
      <c r="N1864" s="13">
        <f t="shared" si="232"/>
        <v>30.501782407409337</v>
      </c>
      <c r="O1864" s="13">
        <f t="shared" si="233"/>
        <v>0</v>
      </c>
      <c r="P1864" t="str">
        <f t="shared" si="234"/>
        <v>On Time</v>
      </c>
      <c r="Q1864" s="13">
        <f t="shared" si="235"/>
        <v>13.564722222159617</v>
      </c>
      <c r="R1864" s="13">
        <f t="shared" si="236"/>
        <v>20.715729166666279</v>
      </c>
      <c r="S1864" s="13">
        <f t="shared" si="237"/>
        <v>9.2208564814864076</v>
      </c>
      <c r="T1864" t="str">
        <f t="shared" si="238"/>
        <v>On Time/Early</v>
      </c>
      <c r="U1864" t="str">
        <f t="shared" si="239"/>
        <v>Normal</v>
      </c>
      <c r="V1864" t="s">
        <v>102</v>
      </c>
    </row>
    <row r="1865" spans="1:22">
      <c r="A1865" t="s">
        <v>2627</v>
      </c>
      <c r="B1865" s="10">
        <v>43306.415185185186</v>
      </c>
      <c r="C1865" s="10">
        <v>43306.423807870371</v>
      </c>
      <c r="D1865" s="10">
        <v>43306.47152777778</v>
      </c>
      <c r="E1865" s="10">
        <v>43314.478229166663</v>
      </c>
      <c r="F1865" s="10">
        <v>43327</v>
      </c>
      <c r="G1865" t="s">
        <v>134</v>
      </c>
      <c r="H1865" t="s">
        <v>1976</v>
      </c>
      <c r="I1865" t="s">
        <v>143</v>
      </c>
      <c r="J1865" s="11">
        <v>2</v>
      </c>
      <c r="K1865" s="12">
        <v>88</v>
      </c>
      <c r="L1865" s="12">
        <v>44.48</v>
      </c>
      <c r="M1865" s="13">
        <v>2</v>
      </c>
      <c r="N1865" s="13">
        <f t="shared" si="232"/>
        <v>8.0630439814776764</v>
      </c>
      <c r="O1865" s="13">
        <f t="shared" si="233"/>
        <v>0</v>
      </c>
      <c r="P1865" t="str">
        <f t="shared" si="234"/>
        <v>On Time</v>
      </c>
      <c r="Q1865" s="13">
        <f t="shared" si="235"/>
        <v>0.20694444444961846</v>
      </c>
      <c r="R1865" s="13">
        <f t="shared" si="236"/>
        <v>4.7719907408463769E-2</v>
      </c>
      <c r="S1865" s="13">
        <f t="shared" si="237"/>
        <v>8.0067013888838119</v>
      </c>
      <c r="T1865" t="str">
        <f t="shared" si="238"/>
        <v>On Time/Early</v>
      </c>
      <c r="U1865" t="str">
        <f t="shared" si="239"/>
        <v>Normal</v>
      </c>
      <c r="V1865" t="s">
        <v>102</v>
      </c>
    </row>
    <row r="1866" spans="1:22">
      <c r="A1866" t="s">
        <v>2628</v>
      </c>
      <c r="B1866" s="10">
        <v>43306.571909722225</v>
      </c>
      <c r="C1866" s="10">
        <v>43306.586574074077</v>
      </c>
      <c r="D1866" s="10">
        <v>43307.482638888891</v>
      </c>
      <c r="E1866" s="10">
        <v>43309.78392361111</v>
      </c>
      <c r="F1866" s="10">
        <v>43318</v>
      </c>
      <c r="G1866" t="s">
        <v>8</v>
      </c>
      <c r="H1866" t="s">
        <v>588</v>
      </c>
      <c r="I1866" t="s">
        <v>136</v>
      </c>
      <c r="J1866" s="11">
        <v>1</v>
      </c>
      <c r="K1866" s="12">
        <v>99.9</v>
      </c>
      <c r="L1866" s="12">
        <v>9.4499999999999993</v>
      </c>
      <c r="M1866" s="13">
        <v>5</v>
      </c>
      <c r="N1866" s="13">
        <f t="shared" si="232"/>
        <v>3.2120138888858492</v>
      </c>
      <c r="O1866" s="13">
        <f t="shared" si="233"/>
        <v>0</v>
      </c>
      <c r="P1866" t="str">
        <f t="shared" si="234"/>
        <v>On Time</v>
      </c>
      <c r="Q1866" s="13">
        <f t="shared" si="235"/>
        <v>0.35194444446824491</v>
      </c>
      <c r="R1866" s="13">
        <f t="shared" si="236"/>
        <v>0.89606481481314404</v>
      </c>
      <c r="S1866" s="13">
        <f t="shared" si="237"/>
        <v>2.3012847222198616</v>
      </c>
      <c r="T1866" t="str">
        <f t="shared" si="238"/>
        <v>On Time/Early</v>
      </c>
      <c r="U1866" t="str">
        <f t="shared" si="239"/>
        <v>Normal</v>
      </c>
      <c r="V1866" t="s">
        <v>102</v>
      </c>
    </row>
    <row r="1867" spans="1:22">
      <c r="A1867" t="s">
        <v>2629</v>
      </c>
      <c r="B1867" s="10">
        <v>43306.730254629627</v>
      </c>
      <c r="C1867" s="10">
        <v>43306.739745370367</v>
      </c>
      <c r="D1867" s="10">
        <v>43307.645833333336</v>
      </c>
      <c r="E1867" s="10">
        <v>43311.778645833336</v>
      </c>
      <c r="F1867" s="10">
        <v>43320</v>
      </c>
      <c r="G1867" t="s">
        <v>8</v>
      </c>
      <c r="H1867" t="s">
        <v>1483</v>
      </c>
      <c r="I1867" t="s">
        <v>128</v>
      </c>
      <c r="J1867" s="11">
        <v>1</v>
      </c>
      <c r="K1867" s="12">
        <v>49.9</v>
      </c>
      <c r="L1867" s="12">
        <v>20.99</v>
      </c>
      <c r="M1867" s="13">
        <v>3</v>
      </c>
      <c r="N1867" s="13">
        <f t="shared" si="232"/>
        <v>5.0483912037088885</v>
      </c>
      <c r="O1867" s="13">
        <f t="shared" si="233"/>
        <v>0</v>
      </c>
      <c r="P1867" t="str">
        <f t="shared" si="234"/>
        <v>On Time</v>
      </c>
      <c r="Q1867" s="13">
        <f t="shared" si="235"/>
        <v>0.22777777776354924</v>
      </c>
      <c r="R1867" s="13">
        <f t="shared" si="236"/>
        <v>0.90608796296874061</v>
      </c>
      <c r="S1867" s="13">
        <f t="shared" si="237"/>
        <v>4.1328125</v>
      </c>
      <c r="T1867" t="str">
        <f t="shared" si="238"/>
        <v>On Time/Early</v>
      </c>
      <c r="U1867" t="str">
        <f t="shared" si="239"/>
        <v>Normal</v>
      </c>
      <c r="V1867" t="s">
        <v>102</v>
      </c>
    </row>
    <row r="1868" spans="1:22">
      <c r="A1868" t="s">
        <v>2630</v>
      </c>
      <c r="B1868" s="10">
        <v>43306.884189814817</v>
      </c>
      <c r="C1868" s="10">
        <v>43306.892488425925</v>
      </c>
      <c r="D1868" s="10">
        <v>43308.6</v>
      </c>
      <c r="E1868" s="10">
        <v>43314.950636574074</v>
      </c>
      <c r="F1868" s="10">
        <v>43333</v>
      </c>
      <c r="G1868" t="s">
        <v>36</v>
      </c>
      <c r="H1868" t="s">
        <v>467</v>
      </c>
      <c r="I1868" t="s">
        <v>58</v>
      </c>
      <c r="J1868" s="11">
        <v>2</v>
      </c>
      <c r="K1868" s="12">
        <v>319.8</v>
      </c>
      <c r="L1868" s="12">
        <v>38.44</v>
      </c>
      <c r="M1868" s="13">
        <v>4</v>
      </c>
      <c r="N1868" s="13">
        <f t="shared" si="232"/>
        <v>8.0664467592578148</v>
      </c>
      <c r="O1868" s="13">
        <f t="shared" si="233"/>
        <v>0</v>
      </c>
      <c r="P1868" t="str">
        <f t="shared" si="234"/>
        <v>On Time</v>
      </c>
      <c r="Q1868" s="13">
        <f t="shared" si="235"/>
        <v>0.19916666659992188</v>
      </c>
      <c r="R1868" s="13">
        <f t="shared" si="236"/>
        <v>1.7075115740735782</v>
      </c>
      <c r="S1868" s="13">
        <f t="shared" si="237"/>
        <v>6.3506365740759065</v>
      </c>
      <c r="T1868" t="str">
        <f t="shared" si="238"/>
        <v>On Time/Early</v>
      </c>
      <c r="U1868" t="str">
        <f t="shared" si="239"/>
        <v>Normal</v>
      </c>
      <c r="V1868" t="s">
        <v>102</v>
      </c>
    </row>
    <row r="1869" spans="1:22">
      <c r="A1869" t="s">
        <v>2631</v>
      </c>
      <c r="B1869" s="10">
        <v>43307.381064814814</v>
      </c>
      <c r="C1869" s="10">
        <v>43308.100300925929</v>
      </c>
      <c r="D1869" s="10">
        <v>43308.651388888888</v>
      </c>
      <c r="E1869" s="10">
        <v>43313.93372685185</v>
      </c>
      <c r="F1869" s="10">
        <v>43322</v>
      </c>
      <c r="G1869" t="s">
        <v>8</v>
      </c>
      <c r="H1869" t="s">
        <v>2632</v>
      </c>
      <c r="I1869" t="s">
        <v>154</v>
      </c>
      <c r="J1869" s="11">
        <v>1</v>
      </c>
      <c r="K1869" s="12">
        <v>71.599999999999994</v>
      </c>
      <c r="L1869" s="12">
        <v>14.81</v>
      </c>
      <c r="M1869" s="13">
        <v>4</v>
      </c>
      <c r="N1869" s="13">
        <f t="shared" si="232"/>
        <v>6.5526620370364981</v>
      </c>
      <c r="O1869" s="13">
        <f t="shared" si="233"/>
        <v>0</v>
      </c>
      <c r="P1869" t="str">
        <f t="shared" si="234"/>
        <v>On Time</v>
      </c>
      <c r="Q1869" s="13">
        <f t="shared" si="235"/>
        <v>17.261666666774545</v>
      </c>
      <c r="R1869" s="13">
        <f t="shared" si="236"/>
        <v>0.55108796295826323</v>
      </c>
      <c r="S1869" s="13">
        <f t="shared" si="237"/>
        <v>5.2823379629626288</v>
      </c>
      <c r="T1869" t="str">
        <f t="shared" si="238"/>
        <v>On Time/Early</v>
      </c>
      <c r="U1869" t="str">
        <f t="shared" si="239"/>
        <v>Normal</v>
      </c>
      <c r="V1869" t="s">
        <v>102</v>
      </c>
    </row>
    <row r="1870" spans="1:22">
      <c r="A1870" t="s">
        <v>2633</v>
      </c>
      <c r="B1870" s="10">
        <v>43307.835949074077</v>
      </c>
      <c r="C1870" s="10">
        <v>43307.843969907408</v>
      </c>
      <c r="D1870" s="10">
        <v>43308.615972222222</v>
      </c>
      <c r="E1870" s="10">
        <v>43313.840011574073</v>
      </c>
      <c r="F1870" s="10">
        <v>43322</v>
      </c>
      <c r="G1870" t="s">
        <v>8</v>
      </c>
      <c r="H1870" t="s">
        <v>2250</v>
      </c>
      <c r="I1870" t="s">
        <v>180</v>
      </c>
      <c r="J1870" s="11">
        <v>1</v>
      </c>
      <c r="K1870" s="12">
        <v>199.9</v>
      </c>
      <c r="L1870" s="12">
        <v>18.53</v>
      </c>
      <c r="M1870" s="13">
        <v>1</v>
      </c>
      <c r="N1870" s="13">
        <f t="shared" si="232"/>
        <v>6.0040624999965075</v>
      </c>
      <c r="O1870" s="13">
        <f t="shared" si="233"/>
        <v>0</v>
      </c>
      <c r="P1870" t="str">
        <f t="shared" si="234"/>
        <v>On Time</v>
      </c>
      <c r="Q1870" s="13">
        <f t="shared" si="235"/>
        <v>0.19249999994644895</v>
      </c>
      <c r="R1870" s="13">
        <f t="shared" si="236"/>
        <v>0.77200231481401715</v>
      </c>
      <c r="S1870" s="13">
        <f t="shared" si="237"/>
        <v>5.2240393518513883</v>
      </c>
      <c r="T1870" t="str">
        <f t="shared" si="238"/>
        <v>On Time/Early</v>
      </c>
      <c r="U1870" t="str">
        <f t="shared" si="239"/>
        <v>Normal</v>
      </c>
      <c r="V1870" t="s">
        <v>102</v>
      </c>
    </row>
    <row r="1871" spans="1:22">
      <c r="A1871" t="s">
        <v>2634</v>
      </c>
      <c r="B1871" s="10">
        <v>43307.927094907405</v>
      </c>
      <c r="C1871" s="10">
        <v>43307.93414351852</v>
      </c>
      <c r="D1871" s="10">
        <v>43308.821527777778</v>
      </c>
      <c r="E1871" s="10">
        <v>43309.478194444448</v>
      </c>
      <c r="F1871" s="10">
        <v>43315</v>
      </c>
      <c r="G1871" t="s">
        <v>8</v>
      </c>
      <c r="H1871" t="s">
        <v>140</v>
      </c>
      <c r="I1871" t="s">
        <v>128</v>
      </c>
      <c r="J1871" s="11">
        <v>1</v>
      </c>
      <c r="K1871" s="12">
        <v>119</v>
      </c>
      <c r="L1871" s="12">
        <v>13.13</v>
      </c>
      <c r="M1871" s="13">
        <v>5</v>
      </c>
      <c r="N1871" s="13">
        <f t="shared" si="232"/>
        <v>1.5510995370423188</v>
      </c>
      <c r="O1871" s="13">
        <f t="shared" si="233"/>
        <v>0</v>
      </c>
      <c r="P1871" t="str">
        <f t="shared" si="234"/>
        <v>On Time</v>
      </c>
      <c r="Q1871" s="13">
        <f t="shared" si="235"/>
        <v>0.16916666674660519</v>
      </c>
      <c r="R1871" s="13">
        <f t="shared" si="236"/>
        <v>0.88738425925839692</v>
      </c>
      <c r="S1871" s="13">
        <f t="shared" si="237"/>
        <v>0.65666666666948004</v>
      </c>
      <c r="T1871" t="str">
        <f t="shared" si="238"/>
        <v>On Time/Early</v>
      </c>
      <c r="U1871" t="str">
        <f t="shared" si="239"/>
        <v>Normal</v>
      </c>
      <c r="V1871" t="s">
        <v>102</v>
      </c>
    </row>
    <row r="1872" spans="1:22">
      <c r="A1872" t="s">
        <v>2635</v>
      </c>
      <c r="B1872" s="10">
        <v>43308.391423611109</v>
      </c>
      <c r="C1872" s="10">
        <v>43308.427256944444</v>
      </c>
      <c r="D1872" s="10">
        <v>43311.543055555558</v>
      </c>
      <c r="E1872" s="10">
        <v>43318.692199074074</v>
      </c>
      <c r="F1872" s="10">
        <v>43322</v>
      </c>
      <c r="G1872" t="s">
        <v>8</v>
      </c>
      <c r="H1872" t="s">
        <v>140</v>
      </c>
      <c r="I1872" t="s">
        <v>58</v>
      </c>
      <c r="J1872" s="11">
        <v>1</v>
      </c>
      <c r="K1872" s="12">
        <v>34.5</v>
      </c>
      <c r="L1872" s="12">
        <v>12.9</v>
      </c>
      <c r="M1872" s="13">
        <v>5</v>
      </c>
      <c r="N1872" s="13">
        <f t="shared" si="232"/>
        <v>10.300775462965248</v>
      </c>
      <c r="O1872" s="13">
        <f t="shared" si="233"/>
        <v>0</v>
      </c>
      <c r="P1872" t="str">
        <f t="shared" si="234"/>
        <v>On Time</v>
      </c>
      <c r="Q1872" s="13">
        <f t="shared" si="235"/>
        <v>0.86000000004423782</v>
      </c>
      <c r="R1872" s="13">
        <f t="shared" si="236"/>
        <v>3.1157986111138598</v>
      </c>
      <c r="S1872" s="13">
        <f t="shared" si="237"/>
        <v>7.1491435185162118</v>
      </c>
      <c r="T1872" t="str">
        <f t="shared" si="238"/>
        <v>On Time/Early</v>
      </c>
      <c r="U1872" t="str">
        <f t="shared" si="239"/>
        <v>Normal</v>
      </c>
      <c r="V1872" t="s">
        <v>102</v>
      </c>
    </row>
    <row r="1873" spans="1:22">
      <c r="A1873" t="s">
        <v>2636</v>
      </c>
      <c r="B1873" s="10">
        <v>43308.561608796299</v>
      </c>
      <c r="C1873" s="10">
        <v>43309.11824074074</v>
      </c>
      <c r="D1873" s="10">
        <v>43311.51666666667</v>
      </c>
      <c r="E1873" s="10">
        <v>43314.831655092596</v>
      </c>
      <c r="F1873" s="10">
        <v>43325</v>
      </c>
      <c r="G1873" t="s">
        <v>8</v>
      </c>
      <c r="H1873" t="s">
        <v>140</v>
      </c>
      <c r="I1873" t="s">
        <v>9</v>
      </c>
      <c r="J1873" s="11">
        <v>1</v>
      </c>
      <c r="K1873" s="12">
        <v>56.9</v>
      </c>
      <c r="L1873" s="12">
        <v>13.06</v>
      </c>
      <c r="M1873" s="13">
        <v>5</v>
      </c>
      <c r="N1873" s="13">
        <f t="shared" si="232"/>
        <v>6.2700462962966412</v>
      </c>
      <c r="O1873" s="13">
        <f t="shared" si="233"/>
        <v>0</v>
      </c>
      <c r="P1873" t="str">
        <f t="shared" si="234"/>
        <v>On Time</v>
      </c>
      <c r="Q1873" s="13">
        <f t="shared" si="235"/>
        <v>13.359166666574311</v>
      </c>
      <c r="R1873" s="13">
        <f t="shared" si="236"/>
        <v>2.3984259259304963</v>
      </c>
      <c r="S1873" s="13">
        <f t="shared" si="237"/>
        <v>3.3149884259255487</v>
      </c>
      <c r="T1873" t="str">
        <f t="shared" si="238"/>
        <v>On Time/Early</v>
      </c>
      <c r="U1873" t="str">
        <f t="shared" si="239"/>
        <v>Normal</v>
      </c>
      <c r="V1873" t="s">
        <v>102</v>
      </c>
    </row>
    <row r="1874" spans="1:22">
      <c r="A1874" t="s">
        <v>2637</v>
      </c>
      <c r="B1874" s="10">
        <v>43308.750347222223</v>
      </c>
      <c r="C1874" s="10">
        <v>43308.76090277778</v>
      </c>
      <c r="D1874" s="10">
        <v>43311.466666666667</v>
      </c>
      <c r="E1874" s="10">
        <v>43320.92114583333</v>
      </c>
      <c r="F1874" s="10">
        <v>43340</v>
      </c>
      <c r="G1874" t="s">
        <v>50</v>
      </c>
      <c r="H1874" t="s">
        <v>414</v>
      </c>
      <c r="I1874" t="s">
        <v>58</v>
      </c>
      <c r="J1874" s="11">
        <v>1</v>
      </c>
      <c r="K1874" s="12">
        <v>57.7</v>
      </c>
      <c r="L1874" s="12">
        <v>22.68</v>
      </c>
      <c r="M1874" s="13">
        <v>4</v>
      </c>
      <c r="N1874" s="13">
        <f t="shared" si="232"/>
        <v>12.170798611106875</v>
      </c>
      <c r="O1874" s="13">
        <f t="shared" si="233"/>
        <v>0</v>
      </c>
      <c r="P1874" t="str">
        <f t="shared" si="234"/>
        <v>On Time</v>
      </c>
      <c r="Q1874" s="13">
        <f t="shared" si="235"/>
        <v>0.2533333333558403</v>
      </c>
      <c r="R1874" s="13">
        <f t="shared" si="236"/>
        <v>2.7057638888873043</v>
      </c>
      <c r="S1874" s="13">
        <f t="shared" si="237"/>
        <v>9.4544791666630772</v>
      </c>
      <c r="T1874" t="str">
        <f t="shared" si="238"/>
        <v>On Time/Early</v>
      </c>
      <c r="U1874" t="str">
        <f t="shared" si="239"/>
        <v>Normal</v>
      </c>
      <c r="V1874" t="s">
        <v>102</v>
      </c>
    </row>
    <row r="1875" spans="1:22">
      <c r="A1875" t="s">
        <v>2638</v>
      </c>
      <c r="B1875" s="10">
        <v>43308.922222222223</v>
      </c>
      <c r="C1875" s="10">
        <v>43308.933622685188</v>
      </c>
      <c r="D1875" s="10">
        <v>43313.643750000003</v>
      </c>
      <c r="E1875" s="10">
        <v>43319.978425925925</v>
      </c>
      <c r="F1875" s="10">
        <v>43322</v>
      </c>
      <c r="G1875" t="s">
        <v>8</v>
      </c>
      <c r="H1875" t="s">
        <v>2639</v>
      </c>
      <c r="I1875" t="s">
        <v>623</v>
      </c>
      <c r="J1875" s="11">
        <v>1</v>
      </c>
      <c r="K1875" s="12">
        <v>55.8</v>
      </c>
      <c r="L1875" s="12">
        <v>22.21</v>
      </c>
      <c r="M1875" s="13">
        <v>5</v>
      </c>
      <c r="N1875" s="13">
        <f t="shared" si="232"/>
        <v>11.056203703701613</v>
      </c>
      <c r="O1875" s="13">
        <f t="shared" si="233"/>
        <v>0</v>
      </c>
      <c r="P1875" t="str">
        <f t="shared" si="234"/>
        <v>On Time</v>
      </c>
      <c r="Q1875" s="13">
        <f t="shared" si="235"/>
        <v>0.27361111115897074</v>
      </c>
      <c r="R1875" s="13">
        <f t="shared" si="236"/>
        <v>4.7101273148145992</v>
      </c>
      <c r="S1875" s="13">
        <f t="shared" si="237"/>
        <v>6.3346759259220562</v>
      </c>
      <c r="T1875" t="str">
        <f t="shared" si="238"/>
        <v>On Time/Early</v>
      </c>
      <c r="U1875" t="str">
        <f t="shared" si="239"/>
        <v>Normal</v>
      </c>
      <c r="V1875" t="s">
        <v>102</v>
      </c>
    </row>
    <row r="1876" spans="1:22">
      <c r="A1876" t="s">
        <v>2640</v>
      </c>
      <c r="B1876" s="10">
        <v>43309.548888888887</v>
      </c>
      <c r="C1876" s="10">
        <v>43309.572627314818</v>
      </c>
      <c r="D1876" s="10">
        <v>43311.531944444447</v>
      </c>
      <c r="E1876" s="10">
        <v>43314.761689814812</v>
      </c>
      <c r="F1876" s="10">
        <v>43327</v>
      </c>
      <c r="G1876" t="s">
        <v>20</v>
      </c>
      <c r="H1876" t="s">
        <v>127</v>
      </c>
      <c r="I1876" t="s">
        <v>180</v>
      </c>
      <c r="J1876" s="11">
        <v>1</v>
      </c>
      <c r="K1876" s="12">
        <v>105.99</v>
      </c>
      <c r="L1876" s="12">
        <v>18.84</v>
      </c>
      <c r="M1876" s="13">
        <v>1</v>
      </c>
      <c r="N1876" s="13">
        <f t="shared" si="232"/>
        <v>5.2128009259249666</v>
      </c>
      <c r="O1876" s="13">
        <f t="shared" si="233"/>
        <v>0</v>
      </c>
      <c r="P1876" t="str">
        <f t="shared" si="234"/>
        <v>On Time</v>
      </c>
      <c r="Q1876" s="13">
        <f t="shared" si="235"/>
        <v>0.56972222233889624</v>
      </c>
      <c r="R1876" s="13">
        <f t="shared" si="236"/>
        <v>1.9593171296291985</v>
      </c>
      <c r="S1876" s="13">
        <f t="shared" si="237"/>
        <v>3.2297453703649808</v>
      </c>
      <c r="T1876" t="str">
        <f t="shared" si="238"/>
        <v>On Time/Early</v>
      </c>
      <c r="U1876" t="str">
        <f t="shared" si="239"/>
        <v>Normal</v>
      </c>
      <c r="V1876" t="s">
        <v>102</v>
      </c>
    </row>
    <row r="1877" spans="1:22">
      <c r="A1877" t="s">
        <v>2641</v>
      </c>
      <c r="B1877" s="10">
        <v>43309.550937499997</v>
      </c>
      <c r="C1877" s="10">
        <v>43311.771793981483</v>
      </c>
      <c r="D1877" s="10">
        <v>43312.552777777775</v>
      </c>
      <c r="E1877" s="10">
        <v>43315.799942129626</v>
      </c>
      <c r="F1877" s="10">
        <v>43335</v>
      </c>
      <c r="G1877" t="s">
        <v>16</v>
      </c>
      <c r="H1877" t="s">
        <v>559</v>
      </c>
      <c r="I1877" t="s">
        <v>185</v>
      </c>
      <c r="J1877" s="11">
        <v>1</v>
      </c>
      <c r="K1877" s="12">
        <v>30.99</v>
      </c>
      <c r="L1877" s="12">
        <v>18.32</v>
      </c>
      <c r="M1877" s="13">
        <v>5</v>
      </c>
      <c r="N1877" s="13">
        <f t="shared" si="232"/>
        <v>6.2490046296297805</v>
      </c>
      <c r="O1877" s="13">
        <f t="shared" si="233"/>
        <v>0</v>
      </c>
      <c r="P1877" t="str">
        <f t="shared" si="234"/>
        <v>On Time</v>
      </c>
      <c r="Q1877" s="13">
        <f t="shared" si="235"/>
        <v>53.300555555673782</v>
      </c>
      <c r="R1877" s="13">
        <f t="shared" si="236"/>
        <v>0.78098379629227566</v>
      </c>
      <c r="S1877" s="13">
        <f t="shared" si="237"/>
        <v>3.2471643518510973</v>
      </c>
      <c r="T1877" t="str">
        <f t="shared" si="238"/>
        <v>On Time/Early</v>
      </c>
      <c r="U1877" t="str">
        <f t="shared" si="239"/>
        <v>Normal</v>
      </c>
      <c r="V1877" t="s">
        <v>102</v>
      </c>
    </row>
    <row r="1878" spans="1:22">
      <c r="A1878" t="s">
        <v>2642</v>
      </c>
      <c r="B1878" s="10">
        <v>43309.703414351854</v>
      </c>
      <c r="C1878" s="10">
        <v>43312.160000000003</v>
      </c>
      <c r="D1878" s="10">
        <v>43313.667361111111</v>
      </c>
      <c r="E1878" s="10">
        <v>43318.781087962961</v>
      </c>
      <c r="F1878" s="10">
        <v>43320</v>
      </c>
      <c r="G1878" t="s">
        <v>8</v>
      </c>
      <c r="H1878" t="s">
        <v>212</v>
      </c>
      <c r="I1878" t="s">
        <v>185</v>
      </c>
      <c r="J1878" s="11">
        <v>1</v>
      </c>
      <c r="K1878" s="12">
        <v>24.99</v>
      </c>
      <c r="L1878" s="12">
        <v>12.84</v>
      </c>
      <c r="M1878" s="13">
        <v>5</v>
      </c>
      <c r="N1878" s="13">
        <f t="shared" si="232"/>
        <v>9.077673611107457</v>
      </c>
      <c r="O1878" s="13">
        <f t="shared" si="233"/>
        <v>0</v>
      </c>
      <c r="P1878" t="str">
        <f t="shared" si="234"/>
        <v>On Time</v>
      </c>
      <c r="Q1878" s="13">
        <f t="shared" si="235"/>
        <v>58.958055555587634</v>
      </c>
      <c r="R1878" s="13">
        <f t="shared" si="236"/>
        <v>1.507361111107457</v>
      </c>
      <c r="S1878" s="13">
        <f t="shared" si="237"/>
        <v>5.1137268518505152</v>
      </c>
      <c r="T1878" t="str">
        <f t="shared" si="238"/>
        <v>On Time/Early</v>
      </c>
      <c r="U1878" t="str">
        <f t="shared" si="239"/>
        <v>Normal</v>
      </c>
      <c r="V1878" t="s">
        <v>102</v>
      </c>
    </row>
    <row r="1879" spans="1:22">
      <c r="A1879" t="s">
        <v>2643</v>
      </c>
      <c r="B1879" s="10">
        <v>43310.555358796293</v>
      </c>
      <c r="C1879" s="10">
        <v>43311.813680555555</v>
      </c>
      <c r="D1879" s="10">
        <v>43312.604166666664</v>
      </c>
      <c r="E1879" s="10">
        <v>43321.818043981482</v>
      </c>
      <c r="F1879" s="10">
        <v>43339</v>
      </c>
      <c r="G1879" t="s">
        <v>50</v>
      </c>
      <c r="H1879" t="s">
        <v>414</v>
      </c>
      <c r="I1879" t="s">
        <v>143</v>
      </c>
      <c r="J1879" s="11">
        <v>1</v>
      </c>
      <c r="K1879" s="12">
        <v>49.99</v>
      </c>
      <c r="L1879" s="12">
        <v>19.260000000000002</v>
      </c>
      <c r="M1879" s="13">
        <v>5</v>
      </c>
      <c r="N1879" s="13">
        <f t="shared" si="232"/>
        <v>11.262685185189184</v>
      </c>
      <c r="O1879" s="13">
        <f t="shared" si="233"/>
        <v>0</v>
      </c>
      <c r="P1879" t="str">
        <f t="shared" si="234"/>
        <v>On Time</v>
      </c>
      <c r="Q1879" s="13">
        <f t="shared" si="235"/>
        <v>30.199722222285345</v>
      </c>
      <c r="R1879" s="13">
        <f t="shared" si="236"/>
        <v>0.79048611110920319</v>
      </c>
      <c r="S1879" s="13">
        <f t="shared" si="237"/>
        <v>9.2138773148180917</v>
      </c>
      <c r="T1879" t="str">
        <f t="shared" si="238"/>
        <v>On Time/Early</v>
      </c>
      <c r="U1879" t="str">
        <f t="shared" si="239"/>
        <v>Normal</v>
      </c>
      <c r="V1879" t="s">
        <v>102</v>
      </c>
    </row>
    <row r="1880" spans="1:22">
      <c r="A1880" t="s">
        <v>2644</v>
      </c>
      <c r="B1880" s="10">
        <v>43310.717245370368</v>
      </c>
      <c r="C1880" s="10">
        <v>43312.159826388888</v>
      </c>
      <c r="D1880" s="10">
        <v>43313.538194444445</v>
      </c>
      <c r="E1880" s="10">
        <v>43320.90185185185</v>
      </c>
      <c r="F1880" s="10">
        <v>43356</v>
      </c>
      <c r="G1880" t="s">
        <v>16</v>
      </c>
      <c r="H1880" t="s">
        <v>2645</v>
      </c>
      <c r="I1880" t="s">
        <v>101</v>
      </c>
      <c r="J1880" s="11">
        <v>2</v>
      </c>
      <c r="K1880" s="12">
        <v>190</v>
      </c>
      <c r="L1880" s="12">
        <v>20</v>
      </c>
      <c r="M1880" s="13">
        <v>2</v>
      </c>
      <c r="N1880" s="13">
        <f t="shared" si="232"/>
        <v>10.184606481481751</v>
      </c>
      <c r="O1880" s="13">
        <f t="shared" si="233"/>
        <v>0</v>
      </c>
      <c r="P1880" t="str">
        <f t="shared" si="234"/>
        <v>On Time</v>
      </c>
      <c r="Q1880" s="13">
        <f t="shared" si="235"/>
        <v>34.621944444486871</v>
      </c>
      <c r="R1880" s="13">
        <f t="shared" si="236"/>
        <v>1.3783680555570754</v>
      </c>
      <c r="S1880" s="13">
        <f t="shared" si="237"/>
        <v>7.3636574074043892</v>
      </c>
      <c r="T1880" t="str">
        <f t="shared" si="238"/>
        <v>On Time/Early</v>
      </c>
      <c r="U1880" t="str">
        <f t="shared" si="239"/>
        <v>Normal</v>
      </c>
      <c r="V1880" t="s">
        <v>102</v>
      </c>
    </row>
    <row r="1881" spans="1:22">
      <c r="A1881" t="s">
        <v>2646</v>
      </c>
      <c r="B1881" s="10">
        <v>43311.44153935185</v>
      </c>
      <c r="C1881" s="10">
        <v>43311.480104166665</v>
      </c>
      <c r="D1881" s="10">
        <v>43312.62777777778</v>
      </c>
      <c r="E1881" s="10">
        <v>43313.679849537039</v>
      </c>
      <c r="F1881" s="10">
        <v>43318</v>
      </c>
      <c r="G1881" t="s">
        <v>8</v>
      </c>
      <c r="H1881" t="s">
        <v>309</v>
      </c>
      <c r="I1881" t="s">
        <v>141</v>
      </c>
      <c r="J1881" s="11">
        <v>1</v>
      </c>
      <c r="K1881" s="12">
        <v>21.1</v>
      </c>
      <c r="L1881" s="12">
        <v>7.41</v>
      </c>
      <c r="M1881" s="13">
        <v>4</v>
      </c>
      <c r="N1881" s="13">
        <f t="shared" si="232"/>
        <v>2.2383101851883112</v>
      </c>
      <c r="O1881" s="13">
        <f t="shared" si="233"/>
        <v>0</v>
      </c>
      <c r="P1881" t="str">
        <f t="shared" si="234"/>
        <v>On Time</v>
      </c>
      <c r="Q1881" s="13">
        <f t="shared" si="235"/>
        <v>0.92555555555736646</v>
      </c>
      <c r="R1881" s="13">
        <f t="shared" si="236"/>
        <v>1.1476736111144419</v>
      </c>
      <c r="S1881" s="13">
        <f t="shared" si="237"/>
        <v>1.052071759258979</v>
      </c>
      <c r="T1881" t="str">
        <f t="shared" si="238"/>
        <v>On Time/Early</v>
      </c>
      <c r="U1881" t="str">
        <f t="shared" si="239"/>
        <v>Normal</v>
      </c>
      <c r="V1881" t="s">
        <v>102</v>
      </c>
    </row>
    <row r="1882" spans="1:22">
      <c r="A1882" t="s">
        <v>2647</v>
      </c>
      <c r="B1882" s="10">
        <v>43311.518460648149</v>
      </c>
      <c r="C1882" s="10">
        <v>43311.531423611108</v>
      </c>
      <c r="D1882" s="10">
        <v>43311.556944444441</v>
      </c>
      <c r="E1882" s="10">
        <v>43318.878703703704</v>
      </c>
      <c r="F1882" s="10">
        <v>43326</v>
      </c>
      <c r="G1882" t="s">
        <v>8</v>
      </c>
      <c r="H1882" t="s">
        <v>140</v>
      </c>
      <c r="I1882" t="s">
        <v>141</v>
      </c>
      <c r="J1882" s="11">
        <v>1</v>
      </c>
      <c r="K1882" s="12">
        <v>179</v>
      </c>
      <c r="L1882" s="12">
        <v>27.91</v>
      </c>
      <c r="M1882" s="13">
        <v>5</v>
      </c>
      <c r="N1882" s="13">
        <f t="shared" si="232"/>
        <v>7.3602430555547471</v>
      </c>
      <c r="O1882" s="13">
        <f t="shared" si="233"/>
        <v>0</v>
      </c>
      <c r="P1882" t="str">
        <f t="shared" si="234"/>
        <v>On Time</v>
      </c>
      <c r="Q1882" s="13">
        <f t="shared" si="235"/>
        <v>0.31111111101927236</v>
      </c>
      <c r="R1882" s="13">
        <f t="shared" si="236"/>
        <v>2.5520833332848269E-2</v>
      </c>
      <c r="S1882" s="13">
        <f t="shared" si="237"/>
        <v>7.3217592592627625</v>
      </c>
      <c r="T1882" t="str">
        <f t="shared" si="238"/>
        <v>On Time/Early</v>
      </c>
      <c r="U1882" t="str">
        <f t="shared" si="239"/>
        <v>Normal</v>
      </c>
      <c r="V1882" t="s">
        <v>102</v>
      </c>
    </row>
    <row r="1883" spans="1:22">
      <c r="A1883" t="s">
        <v>2648</v>
      </c>
      <c r="B1883" s="10">
        <v>43311.626539351855</v>
      </c>
      <c r="C1883" s="10">
        <v>43313.113993055558</v>
      </c>
      <c r="D1883" s="10">
        <v>43319.416666666664</v>
      </c>
      <c r="E1883" s="10">
        <v>43325.95034722222</v>
      </c>
      <c r="F1883" s="10">
        <v>43334</v>
      </c>
      <c r="G1883" t="s">
        <v>16</v>
      </c>
      <c r="H1883" t="s">
        <v>138</v>
      </c>
      <c r="I1883" t="s">
        <v>180</v>
      </c>
      <c r="J1883" s="11">
        <v>1</v>
      </c>
      <c r="K1883" s="12">
        <v>29.9</v>
      </c>
      <c r="L1883" s="12">
        <v>17.14</v>
      </c>
      <c r="M1883" s="13">
        <v>4</v>
      </c>
      <c r="N1883" s="13">
        <f t="shared" si="232"/>
        <v>14.323807870365272</v>
      </c>
      <c r="O1883" s="13">
        <f t="shared" si="233"/>
        <v>0</v>
      </c>
      <c r="P1883" t="str">
        <f t="shared" si="234"/>
        <v>On Time</v>
      </c>
      <c r="Q1883" s="13">
        <f t="shared" si="235"/>
        <v>35.698888888873626</v>
      </c>
      <c r="R1883" s="13">
        <f t="shared" si="236"/>
        <v>6.3026736111060018</v>
      </c>
      <c r="S1883" s="13">
        <f t="shared" si="237"/>
        <v>6.5336805555562023</v>
      </c>
      <c r="T1883" t="str">
        <f t="shared" si="238"/>
        <v>On Time/Early</v>
      </c>
      <c r="U1883" t="str">
        <f t="shared" si="239"/>
        <v>Normal</v>
      </c>
      <c r="V1883" t="s">
        <v>102</v>
      </c>
    </row>
    <row r="1884" spans="1:22">
      <c r="A1884" t="s">
        <v>2649</v>
      </c>
      <c r="B1884" s="10">
        <v>43311.76363425926</v>
      </c>
      <c r="C1884" s="10">
        <v>43311.813657407409</v>
      </c>
      <c r="D1884" s="10">
        <v>43312.414583333331</v>
      </c>
      <c r="E1884" s="10">
        <v>43314.886516203704</v>
      </c>
      <c r="F1884" s="10">
        <v>43321</v>
      </c>
      <c r="G1884" t="s">
        <v>8</v>
      </c>
      <c r="H1884" t="s">
        <v>309</v>
      </c>
      <c r="I1884" t="s">
        <v>34</v>
      </c>
      <c r="J1884" s="11">
        <v>1</v>
      </c>
      <c r="K1884" s="12">
        <v>36.75</v>
      </c>
      <c r="L1884" s="12">
        <v>12.92</v>
      </c>
      <c r="M1884" s="13">
        <v>5</v>
      </c>
      <c r="N1884" s="13">
        <f t="shared" si="232"/>
        <v>3.1228819444440887</v>
      </c>
      <c r="O1884" s="13">
        <f t="shared" si="233"/>
        <v>0</v>
      </c>
      <c r="P1884" t="str">
        <f t="shared" si="234"/>
        <v>On Time</v>
      </c>
      <c r="Q1884" s="13">
        <f t="shared" si="235"/>
        <v>1.2005555555806495</v>
      </c>
      <c r="R1884" s="13">
        <f t="shared" si="236"/>
        <v>0.60092592592263827</v>
      </c>
      <c r="S1884" s="13">
        <f t="shared" si="237"/>
        <v>2.4719328703722567</v>
      </c>
      <c r="T1884" t="str">
        <f t="shared" si="238"/>
        <v>On Time/Early</v>
      </c>
      <c r="U1884" t="str">
        <f t="shared" si="239"/>
        <v>Normal</v>
      </c>
      <c r="V1884" t="s">
        <v>102</v>
      </c>
    </row>
    <row r="1885" spans="1:22">
      <c r="A1885" t="s">
        <v>2650</v>
      </c>
      <c r="B1885" s="10">
        <v>43311.788969907408</v>
      </c>
      <c r="C1885" s="10">
        <v>43311.847500000003</v>
      </c>
      <c r="D1885" s="10">
        <v>43312.672222222223</v>
      </c>
      <c r="E1885" s="10">
        <v>43319.692303240743</v>
      </c>
      <c r="F1885" s="10">
        <v>43339</v>
      </c>
      <c r="G1885" t="s">
        <v>8</v>
      </c>
      <c r="H1885" t="s">
        <v>2009</v>
      </c>
      <c r="I1885" t="s">
        <v>101</v>
      </c>
      <c r="J1885" s="11">
        <v>1</v>
      </c>
      <c r="K1885" s="12">
        <v>99</v>
      </c>
      <c r="L1885" s="12">
        <v>46.99</v>
      </c>
      <c r="M1885" s="13">
        <v>5</v>
      </c>
      <c r="N1885" s="13">
        <f t="shared" si="232"/>
        <v>7.9033333333354676</v>
      </c>
      <c r="O1885" s="13">
        <f t="shared" si="233"/>
        <v>0</v>
      </c>
      <c r="P1885" t="str">
        <f t="shared" si="234"/>
        <v>On Time</v>
      </c>
      <c r="Q1885" s="13">
        <f t="shared" si="235"/>
        <v>1.4047222223016433</v>
      </c>
      <c r="R1885" s="13">
        <f t="shared" si="236"/>
        <v>0.82472222221986158</v>
      </c>
      <c r="S1885" s="13">
        <f t="shared" si="237"/>
        <v>7.0200810185197042</v>
      </c>
      <c r="T1885" t="str">
        <f t="shared" si="238"/>
        <v>On Time/Early</v>
      </c>
      <c r="U1885" t="str">
        <f t="shared" si="239"/>
        <v>Normal</v>
      </c>
      <c r="V1885" t="s">
        <v>102</v>
      </c>
    </row>
    <row r="1886" spans="1:22">
      <c r="A1886" t="s">
        <v>2651</v>
      </c>
      <c r="B1886" s="10">
        <v>43311.926550925928</v>
      </c>
      <c r="C1886" s="10">
        <v>43311.958402777775</v>
      </c>
      <c r="D1886" s="10">
        <v>43315.685416666667</v>
      </c>
      <c r="E1886" s="10">
        <v>43320.695983796293</v>
      </c>
      <c r="F1886" s="10">
        <v>43333</v>
      </c>
      <c r="G1886" t="s">
        <v>16</v>
      </c>
      <c r="H1886" t="s">
        <v>138</v>
      </c>
      <c r="I1886" t="s">
        <v>368</v>
      </c>
      <c r="J1886" s="11">
        <v>1</v>
      </c>
      <c r="K1886" s="12">
        <v>63</v>
      </c>
      <c r="L1886" s="12">
        <v>15.54</v>
      </c>
      <c r="M1886" s="13">
        <v>3</v>
      </c>
      <c r="N1886" s="13">
        <f t="shared" si="232"/>
        <v>8.7694328703655628</v>
      </c>
      <c r="O1886" s="13">
        <f t="shared" si="233"/>
        <v>0</v>
      </c>
      <c r="P1886" t="str">
        <f t="shared" si="234"/>
        <v>On Time</v>
      </c>
      <c r="Q1886" s="13">
        <f t="shared" si="235"/>
        <v>0.76444444432854652</v>
      </c>
      <c r="R1886" s="13">
        <f t="shared" si="236"/>
        <v>3.727013888892543</v>
      </c>
      <c r="S1886" s="13">
        <f t="shared" si="237"/>
        <v>5.010567129625997</v>
      </c>
      <c r="T1886" t="str">
        <f t="shared" si="238"/>
        <v>On Time/Early</v>
      </c>
      <c r="U1886" t="str">
        <f t="shared" si="239"/>
        <v>Normal</v>
      </c>
      <c r="V1886" t="s">
        <v>102</v>
      </c>
    </row>
    <row r="1887" spans="1:22">
      <c r="A1887" t="s">
        <v>2652</v>
      </c>
      <c r="B1887" s="10">
        <v>43312.432071759256</v>
      </c>
      <c r="C1887" s="10">
        <v>43312.458460648151</v>
      </c>
      <c r="D1887" s="10">
        <v>43314.347222222219</v>
      </c>
      <c r="E1887" s="10">
        <v>43318.660254629627</v>
      </c>
      <c r="F1887" s="10">
        <v>43325</v>
      </c>
      <c r="G1887" t="s">
        <v>16</v>
      </c>
      <c r="H1887" t="s">
        <v>138</v>
      </c>
      <c r="I1887" t="s">
        <v>58</v>
      </c>
      <c r="J1887" s="11">
        <v>1</v>
      </c>
      <c r="K1887" s="12">
        <v>29.9</v>
      </c>
      <c r="L1887" s="12">
        <v>18.309999999999999</v>
      </c>
      <c r="M1887" s="13">
        <v>4</v>
      </c>
      <c r="N1887" s="13">
        <f t="shared" si="232"/>
        <v>6.2281828703708015</v>
      </c>
      <c r="O1887" s="13">
        <f t="shared" si="233"/>
        <v>0</v>
      </c>
      <c r="P1887" t="str">
        <f t="shared" si="234"/>
        <v>On Time</v>
      </c>
      <c r="Q1887" s="13">
        <f t="shared" si="235"/>
        <v>0.63333333347691223</v>
      </c>
      <c r="R1887" s="13">
        <f t="shared" si="236"/>
        <v>1.8887615740677575</v>
      </c>
      <c r="S1887" s="13">
        <f t="shared" si="237"/>
        <v>4.3130324074081727</v>
      </c>
      <c r="T1887" t="str">
        <f t="shared" si="238"/>
        <v>On Time/Early</v>
      </c>
      <c r="U1887" t="str">
        <f t="shared" si="239"/>
        <v>Normal</v>
      </c>
      <c r="V1887" t="s">
        <v>102</v>
      </c>
    </row>
    <row r="1888" spans="1:22">
      <c r="A1888" t="s">
        <v>2653</v>
      </c>
      <c r="B1888" s="10">
        <v>43312.491527777776</v>
      </c>
      <c r="C1888" s="10">
        <v>43314.211909722224</v>
      </c>
      <c r="D1888" s="10">
        <v>43314.793749999997</v>
      </c>
      <c r="E1888" s="10">
        <v>43315.966724537036</v>
      </c>
      <c r="F1888" s="10">
        <v>43325</v>
      </c>
      <c r="G1888" t="s">
        <v>8</v>
      </c>
      <c r="H1888" t="s">
        <v>309</v>
      </c>
      <c r="I1888" t="s">
        <v>37</v>
      </c>
      <c r="J1888" s="11">
        <v>1</v>
      </c>
      <c r="K1888" s="12">
        <v>219.9</v>
      </c>
      <c r="L1888" s="12">
        <v>33.33</v>
      </c>
      <c r="M1888" s="13">
        <v>5</v>
      </c>
      <c r="N1888" s="13">
        <f t="shared" si="232"/>
        <v>3.4751967592601432</v>
      </c>
      <c r="O1888" s="13">
        <f t="shared" si="233"/>
        <v>0</v>
      </c>
      <c r="P1888" t="str">
        <f t="shared" si="234"/>
        <v>On Time</v>
      </c>
      <c r="Q1888" s="13">
        <f t="shared" si="235"/>
        <v>41.289166666741949</v>
      </c>
      <c r="R1888" s="13">
        <f t="shared" si="236"/>
        <v>0.5818402777731535</v>
      </c>
      <c r="S1888" s="13">
        <f t="shared" si="237"/>
        <v>1.1729745370394085</v>
      </c>
      <c r="T1888" t="str">
        <f t="shared" si="238"/>
        <v>On Time/Early</v>
      </c>
      <c r="U1888" t="str">
        <f t="shared" si="239"/>
        <v>Normal</v>
      </c>
      <c r="V1888" t="s">
        <v>102</v>
      </c>
    </row>
    <row r="1889" spans="1:22">
      <c r="A1889" t="s">
        <v>2654</v>
      </c>
      <c r="B1889" s="10">
        <v>43312.560671296298</v>
      </c>
      <c r="C1889" s="10">
        <v>43314.229722222219</v>
      </c>
      <c r="D1889" s="10">
        <v>43318.617361111108</v>
      </c>
      <c r="E1889" s="10">
        <v>43321.840081018519</v>
      </c>
      <c r="F1889" s="10">
        <v>43321</v>
      </c>
      <c r="G1889" t="s">
        <v>8</v>
      </c>
      <c r="H1889" t="s">
        <v>140</v>
      </c>
      <c r="I1889" t="s">
        <v>185</v>
      </c>
      <c r="J1889" s="11">
        <v>1</v>
      </c>
      <c r="K1889" s="12">
        <v>115.35</v>
      </c>
      <c r="L1889" s="12">
        <v>15.12</v>
      </c>
      <c r="M1889" s="13">
        <v>5</v>
      </c>
      <c r="N1889" s="13">
        <f t="shared" si="232"/>
        <v>9.2794097222213168</v>
      </c>
      <c r="O1889" s="13">
        <f t="shared" si="233"/>
        <v>0.84008101851941319</v>
      </c>
      <c r="P1889" t="str">
        <f t="shared" si="234"/>
        <v>Delayed</v>
      </c>
      <c r="Q1889" s="13">
        <f t="shared" si="235"/>
        <v>40.057222222094424</v>
      </c>
      <c r="R1889" s="13">
        <f t="shared" si="236"/>
        <v>4.3876388888893416</v>
      </c>
      <c r="S1889" s="13">
        <f t="shared" si="237"/>
        <v>3.2227199074113742</v>
      </c>
      <c r="T1889" t="str">
        <f t="shared" si="238"/>
        <v>1-3 Days Late</v>
      </c>
      <c r="U1889" t="str">
        <f t="shared" si="239"/>
        <v>Needs Review</v>
      </c>
      <c r="V1889" t="s">
        <v>102</v>
      </c>
    </row>
    <row r="1890" spans="1:22">
      <c r="A1890" t="s">
        <v>2655</v>
      </c>
      <c r="B1890" s="10">
        <v>43312.597766203704</v>
      </c>
      <c r="C1890" s="10">
        <v>43312.646979166668</v>
      </c>
      <c r="D1890" s="10">
        <v>43329.630555555559</v>
      </c>
      <c r="E1890" s="10">
        <v>43334.78230324074</v>
      </c>
      <c r="F1890" s="10">
        <v>43343</v>
      </c>
      <c r="G1890" t="s">
        <v>16</v>
      </c>
      <c r="H1890" t="s">
        <v>138</v>
      </c>
      <c r="I1890" t="s">
        <v>37</v>
      </c>
      <c r="J1890" s="11">
        <v>4</v>
      </c>
      <c r="K1890" s="12">
        <v>599.76</v>
      </c>
      <c r="L1890" s="12">
        <v>162.63999999999999</v>
      </c>
      <c r="M1890" s="13">
        <v>5</v>
      </c>
      <c r="N1890" s="13">
        <f t="shared" si="232"/>
        <v>22.184537037035625</v>
      </c>
      <c r="O1890" s="13">
        <f t="shared" si="233"/>
        <v>0</v>
      </c>
      <c r="P1890" t="str">
        <f t="shared" si="234"/>
        <v>On Time</v>
      </c>
      <c r="Q1890" s="13">
        <f t="shared" si="235"/>
        <v>1.1811111111310311</v>
      </c>
      <c r="R1890" s="13">
        <f t="shared" si="236"/>
        <v>16.983576388891379</v>
      </c>
      <c r="S1890" s="13">
        <f t="shared" si="237"/>
        <v>5.1517476851804531</v>
      </c>
      <c r="T1890" t="str">
        <f t="shared" si="238"/>
        <v>On Time/Early</v>
      </c>
      <c r="U1890" t="str">
        <f t="shared" si="239"/>
        <v>Normal</v>
      </c>
      <c r="V1890" t="s">
        <v>102</v>
      </c>
    </row>
    <row r="1891" spans="1:22">
      <c r="A1891" t="s">
        <v>2656</v>
      </c>
      <c r="B1891" s="10">
        <v>43312.783842592595</v>
      </c>
      <c r="C1891" s="10">
        <v>43314.21193287037</v>
      </c>
      <c r="D1891" s="10">
        <v>43315.684027777781</v>
      </c>
      <c r="E1891" s="10">
        <v>43321.647430555553</v>
      </c>
      <c r="F1891" s="10">
        <v>43339</v>
      </c>
      <c r="G1891" t="s">
        <v>134</v>
      </c>
      <c r="H1891" t="s">
        <v>135</v>
      </c>
      <c r="I1891" t="s">
        <v>141</v>
      </c>
      <c r="J1891" s="11">
        <v>3</v>
      </c>
      <c r="K1891" s="12">
        <v>89.97</v>
      </c>
      <c r="L1891" s="12">
        <v>66.42</v>
      </c>
      <c r="M1891" s="13">
        <v>5</v>
      </c>
      <c r="N1891" s="13">
        <f t="shared" si="232"/>
        <v>8.8635879629582632</v>
      </c>
      <c r="O1891" s="13">
        <f t="shared" si="233"/>
        <v>0</v>
      </c>
      <c r="P1891" t="str">
        <f t="shared" si="234"/>
        <v>On Time</v>
      </c>
      <c r="Q1891" s="13">
        <f t="shared" si="235"/>
        <v>34.274166666611563</v>
      </c>
      <c r="R1891" s="13">
        <f t="shared" si="236"/>
        <v>1.4720949074107921</v>
      </c>
      <c r="S1891" s="13">
        <f t="shared" si="237"/>
        <v>5.9634027777719893</v>
      </c>
      <c r="T1891" t="str">
        <f t="shared" si="238"/>
        <v>On Time/Early</v>
      </c>
      <c r="U1891" t="str">
        <f t="shared" si="239"/>
        <v>Normal</v>
      </c>
      <c r="V1891" t="s">
        <v>102</v>
      </c>
    </row>
    <row r="1892" spans="1:22">
      <c r="A1892" t="s">
        <v>2657</v>
      </c>
      <c r="B1892" s="10">
        <v>43312.874074074076</v>
      </c>
      <c r="C1892" s="10">
        <v>43312.896840277775</v>
      </c>
      <c r="D1892" s="10">
        <v>43313.651388888888</v>
      </c>
      <c r="E1892" s="10">
        <v>43314.996365740742</v>
      </c>
      <c r="F1892" s="10">
        <v>43319</v>
      </c>
      <c r="G1892" t="s">
        <v>8</v>
      </c>
      <c r="H1892" t="s">
        <v>907</v>
      </c>
      <c r="I1892" t="s">
        <v>143</v>
      </c>
      <c r="J1892" s="11">
        <v>1</v>
      </c>
      <c r="K1892" s="12">
        <v>24.87</v>
      </c>
      <c r="L1892" s="12">
        <v>7.91</v>
      </c>
      <c r="M1892" s="13">
        <v>5</v>
      </c>
      <c r="N1892" s="13">
        <f t="shared" si="232"/>
        <v>2.1222916666665697</v>
      </c>
      <c r="O1892" s="13">
        <f t="shared" si="233"/>
        <v>0</v>
      </c>
      <c r="P1892" t="str">
        <f t="shared" si="234"/>
        <v>On Time</v>
      </c>
      <c r="Q1892" s="13">
        <f t="shared" si="235"/>
        <v>0.54638888878980651</v>
      </c>
      <c r="R1892" s="13">
        <f t="shared" si="236"/>
        <v>0.75454861111211358</v>
      </c>
      <c r="S1892" s="13">
        <f t="shared" si="237"/>
        <v>1.3449768518548808</v>
      </c>
      <c r="T1892" t="str">
        <f t="shared" si="238"/>
        <v>On Time/Early</v>
      </c>
      <c r="U1892" t="str">
        <f t="shared" si="239"/>
        <v>Normal</v>
      </c>
      <c r="V1892" t="s">
        <v>102</v>
      </c>
    </row>
    <row r="1893" spans="1:22">
      <c r="A1893" t="s">
        <v>2658</v>
      </c>
      <c r="B1893" s="10">
        <v>43312.971724537034</v>
      </c>
      <c r="C1893" s="10">
        <v>43314.225856481484</v>
      </c>
      <c r="D1893" s="10">
        <v>43318.611805555556</v>
      </c>
      <c r="E1893" s="10">
        <v>43325.56585648148</v>
      </c>
      <c r="F1893" s="10">
        <v>43332</v>
      </c>
      <c r="G1893" t="s">
        <v>30</v>
      </c>
      <c r="H1893" t="s">
        <v>549</v>
      </c>
      <c r="I1893" t="s">
        <v>101</v>
      </c>
      <c r="J1893" s="11">
        <v>1</v>
      </c>
      <c r="K1893" s="12">
        <v>59.9</v>
      </c>
      <c r="L1893" s="12">
        <v>16.61</v>
      </c>
      <c r="M1893" s="13">
        <v>1</v>
      </c>
      <c r="N1893" s="13">
        <f t="shared" si="232"/>
        <v>12.594131944446417</v>
      </c>
      <c r="O1893" s="13">
        <f t="shared" si="233"/>
        <v>0</v>
      </c>
      <c r="P1893" t="str">
        <f t="shared" si="234"/>
        <v>On Time</v>
      </c>
      <c r="Q1893" s="13">
        <f t="shared" si="235"/>
        <v>30.099166666797828</v>
      </c>
      <c r="R1893" s="13">
        <f t="shared" si="236"/>
        <v>4.3859490740724141</v>
      </c>
      <c r="S1893" s="13">
        <f t="shared" si="237"/>
        <v>6.9540509259240935</v>
      </c>
      <c r="T1893" t="str">
        <f t="shared" si="238"/>
        <v>On Time/Early</v>
      </c>
      <c r="U1893" t="str">
        <f t="shared" si="239"/>
        <v>Normal</v>
      </c>
      <c r="V1893" t="s">
        <v>102</v>
      </c>
    </row>
    <row r="1894" spans="1:22">
      <c r="A1894" t="s">
        <v>2659</v>
      </c>
      <c r="B1894" s="10">
        <v>43313.446840277778</v>
      </c>
      <c r="C1894" s="10">
        <v>43314.128680555557</v>
      </c>
      <c r="D1894" s="10">
        <v>43315.674305555556</v>
      </c>
      <c r="E1894" s="10">
        <v>43319.904722222222</v>
      </c>
      <c r="F1894" s="10">
        <v>43325</v>
      </c>
      <c r="G1894" t="s">
        <v>8</v>
      </c>
      <c r="H1894" t="s">
        <v>140</v>
      </c>
      <c r="I1894" t="s">
        <v>368</v>
      </c>
      <c r="J1894" s="11">
        <v>1</v>
      </c>
      <c r="K1894" s="12">
        <v>129.9</v>
      </c>
      <c r="L1894" s="12">
        <v>27.89</v>
      </c>
      <c r="M1894" s="13">
        <v>4</v>
      </c>
      <c r="N1894" s="13">
        <f t="shared" si="232"/>
        <v>6.4578819444432156</v>
      </c>
      <c r="O1894" s="13">
        <f t="shared" si="233"/>
        <v>0</v>
      </c>
      <c r="P1894" t="str">
        <f t="shared" si="234"/>
        <v>On Time</v>
      </c>
      <c r="Q1894" s="13">
        <f t="shared" si="235"/>
        <v>16.364166666695382</v>
      </c>
      <c r="R1894" s="13">
        <f t="shared" si="236"/>
        <v>1.5456249999988358</v>
      </c>
      <c r="S1894" s="13">
        <f t="shared" si="237"/>
        <v>4.2304166666654055</v>
      </c>
      <c r="T1894" t="str">
        <f t="shared" si="238"/>
        <v>On Time/Early</v>
      </c>
      <c r="U1894" t="str">
        <f t="shared" si="239"/>
        <v>Normal</v>
      </c>
      <c r="V1894" t="s">
        <v>102</v>
      </c>
    </row>
    <row r="1895" spans="1:22">
      <c r="A1895" t="s">
        <v>2660</v>
      </c>
      <c r="B1895" s="10">
        <v>43313.598935185182</v>
      </c>
      <c r="C1895" s="10">
        <v>43313.607719907406</v>
      </c>
      <c r="D1895" s="10">
        <v>43315.636111111111</v>
      </c>
      <c r="E1895" s="10">
        <v>43320.911006944443</v>
      </c>
      <c r="F1895" s="10">
        <v>43333</v>
      </c>
      <c r="G1895" t="s">
        <v>320</v>
      </c>
      <c r="H1895" t="s">
        <v>321</v>
      </c>
      <c r="I1895" t="s">
        <v>154</v>
      </c>
      <c r="J1895" s="11">
        <v>1</v>
      </c>
      <c r="K1895" s="12">
        <v>319</v>
      </c>
      <c r="L1895" s="12">
        <v>24.51</v>
      </c>
      <c r="M1895" s="13">
        <v>5</v>
      </c>
      <c r="N1895" s="13">
        <f t="shared" si="232"/>
        <v>7.3120717592610163</v>
      </c>
      <c r="O1895" s="13">
        <f t="shared" si="233"/>
        <v>0</v>
      </c>
      <c r="P1895" t="str">
        <f t="shared" si="234"/>
        <v>On Time</v>
      </c>
      <c r="Q1895" s="13">
        <f t="shared" si="235"/>
        <v>0.21083333337446675</v>
      </c>
      <c r="R1895" s="13">
        <f t="shared" si="236"/>
        <v>2.028391203704814</v>
      </c>
      <c r="S1895" s="13">
        <f t="shared" si="237"/>
        <v>5.2748958333322662</v>
      </c>
      <c r="T1895" t="str">
        <f t="shared" si="238"/>
        <v>On Time/Early</v>
      </c>
      <c r="U1895" t="str">
        <f t="shared" si="239"/>
        <v>Normal</v>
      </c>
      <c r="V1895" t="s">
        <v>102</v>
      </c>
    </row>
    <row r="1896" spans="1:22">
      <c r="A1896" t="s">
        <v>2661</v>
      </c>
      <c r="B1896" s="10">
        <v>43313.66909722222</v>
      </c>
      <c r="C1896" s="10">
        <v>43313.711967592593</v>
      </c>
      <c r="D1896" s="10">
        <v>43314.629861111112</v>
      </c>
      <c r="E1896" s="10">
        <v>43318.672696759262</v>
      </c>
      <c r="F1896" s="10">
        <v>43327</v>
      </c>
      <c r="G1896" t="s">
        <v>16</v>
      </c>
      <c r="H1896" t="s">
        <v>138</v>
      </c>
      <c r="I1896" t="s">
        <v>58</v>
      </c>
      <c r="J1896" s="11">
        <v>1</v>
      </c>
      <c r="K1896" s="12">
        <v>99.9</v>
      </c>
      <c r="L1896" s="12">
        <v>19.89</v>
      </c>
      <c r="M1896" s="13">
        <v>4</v>
      </c>
      <c r="N1896" s="13">
        <f t="shared" si="232"/>
        <v>5.0035995370417368</v>
      </c>
      <c r="O1896" s="13">
        <f t="shared" si="233"/>
        <v>0</v>
      </c>
      <c r="P1896" t="str">
        <f t="shared" si="234"/>
        <v>On Time</v>
      </c>
      <c r="Q1896" s="13">
        <f t="shared" si="235"/>
        <v>1.0288888889481314</v>
      </c>
      <c r="R1896" s="13">
        <f t="shared" si="236"/>
        <v>0.91789351851912215</v>
      </c>
      <c r="S1896" s="13">
        <f t="shared" si="237"/>
        <v>4.0428356481497758</v>
      </c>
      <c r="T1896" t="str">
        <f t="shared" si="238"/>
        <v>On Time/Early</v>
      </c>
      <c r="U1896" t="str">
        <f t="shared" si="239"/>
        <v>Normal</v>
      </c>
      <c r="V1896" t="s">
        <v>102</v>
      </c>
    </row>
    <row r="1897" spans="1:22">
      <c r="A1897" t="s">
        <v>2662</v>
      </c>
      <c r="B1897" s="10">
        <v>43313.68650462963</v>
      </c>
      <c r="C1897" s="10">
        <v>43313.697314814817</v>
      </c>
      <c r="D1897" s="10">
        <v>43318.509722222225</v>
      </c>
      <c r="E1897" s="10">
        <v>43322.676712962966</v>
      </c>
      <c r="F1897" s="10">
        <v>43326</v>
      </c>
      <c r="G1897" t="s">
        <v>20</v>
      </c>
      <c r="H1897" t="s">
        <v>2663</v>
      </c>
      <c r="I1897" t="s">
        <v>141</v>
      </c>
      <c r="J1897" s="11">
        <v>1</v>
      </c>
      <c r="K1897" s="12">
        <v>42.9</v>
      </c>
      <c r="L1897" s="12">
        <v>18.399999999999999</v>
      </c>
      <c r="M1897" s="13">
        <v>5</v>
      </c>
      <c r="N1897" s="13">
        <f t="shared" si="232"/>
        <v>8.9902083333363407</v>
      </c>
      <c r="O1897" s="13">
        <f t="shared" si="233"/>
        <v>0</v>
      </c>
      <c r="P1897" t="str">
        <f t="shared" si="234"/>
        <v>On Time</v>
      </c>
      <c r="Q1897" s="13">
        <f t="shared" si="235"/>
        <v>0.25944444449851289</v>
      </c>
      <c r="R1897" s="13">
        <f t="shared" si="236"/>
        <v>4.8124074074075907</v>
      </c>
      <c r="S1897" s="13">
        <f t="shared" si="237"/>
        <v>4.166990740741312</v>
      </c>
      <c r="T1897" t="str">
        <f t="shared" si="238"/>
        <v>On Time/Early</v>
      </c>
      <c r="U1897" t="str">
        <f t="shared" si="239"/>
        <v>Normal</v>
      </c>
      <c r="V1897" t="s">
        <v>102</v>
      </c>
    </row>
    <row r="1898" spans="1:22">
      <c r="A1898" t="s">
        <v>2664</v>
      </c>
      <c r="B1898" s="10">
        <v>43313.881041666667</v>
      </c>
      <c r="C1898" s="10">
        <v>43314.877939814818</v>
      </c>
      <c r="D1898" s="10">
        <v>43318.647222222222</v>
      </c>
      <c r="E1898" s="10">
        <v>43320.765486111108</v>
      </c>
      <c r="F1898" s="10">
        <v>43320</v>
      </c>
      <c r="G1898" t="s">
        <v>8</v>
      </c>
      <c r="H1898" t="s">
        <v>140</v>
      </c>
      <c r="I1898" t="s">
        <v>51</v>
      </c>
      <c r="J1898" s="11">
        <v>1</v>
      </c>
      <c r="K1898" s="12">
        <v>320</v>
      </c>
      <c r="L1898" s="12">
        <v>45.38</v>
      </c>
      <c r="M1898" s="13">
        <v>5</v>
      </c>
      <c r="N1898" s="13">
        <f t="shared" si="232"/>
        <v>6.8844444444403052</v>
      </c>
      <c r="O1898" s="13">
        <f t="shared" si="233"/>
        <v>0.765486111107748</v>
      </c>
      <c r="P1898" t="str">
        <f t="shared" si="234"/>
        <v>Delayed</v>
      </c>
      <c r="Q1898" s="13">
        <f t="shared" si="235"/>
        <v>23.925555555615574</v>
      </c>
      <c r="R1898" s="13">
        <f t="shared" si="236"/>
        <v>3.7692824074038072</v>
      </c>
      <c r="S1898" s="13">
        <f t="shared" si="237"/>
        <v>2.1182638888858492</v>
      </c>
      <c r="T1898" t="str">
        <f t="shared" si="238"/>
        <v>1-3 Days Late</v>
      </c>
      <c r="U1898" t="str">
        <f t="shared" si="239"/>
        <v>Needs Review</v>
      </c>
      <c r="V1898" t="s">
        <v>102</v>
      </c>
    </row>
    <row r="1899" spans="1:22">
      <c r="A1899" t="s">
        <v>2665</v>
      </c>
      <c r="B1899" s="10">
        <v>43313.882881944446</v>
      </c>
      <c r="C1899" s="10">
        <v>43314.87877314815</v>
      </c>
      <c r="D1899" s="10">
        <v>43315.611805555556</v>
      </c>
      <c r="E1899" s="10">
        <v>43321.901979166665</v>
      </c>
      <c r="F1899" s="10">
        <v>43334</v>
      </c>
      <c r="G1899" t="s">
        <v>110</v>
      </c>
      <c r="H1899" t="s">
        <v>111</v>
      </c>
      <c r="I1899" t="s">
        <v>1299</v>
      </c>
      <c r="J1899" s="11">
        <v>2</v>
      </c>
      <c r="K1899" s="12">
        <v>284.89999999999998</v>
      </c>
      <c r="L1899" s="12">
        <v>99.18</v>
      </c>
      <c r="M1899" s="13">
        <v>1</v>
      </c>
      <c r="N1899" s="13">
        <f t="shared" si="232"/>
        <v>8.0190972222189885</v>
      </c>
      <c r="O1899" s="13">
        <f t="shared" si="233"/>
        <v>0</v>
      </c>
      <c r="P1899" t="str">
        <f t="shared" si="234"/>
        <v>On Time</v>
      </c>
      <c r="Q1899" s="13">
        <f t="shared" si="235"/>
        <v>23.901388888887595</v>
      </c>
      <c r="R1899" s="13">
        <f t="shared" si="236"/>
        <v>0.7330324074064265</v>
      </c>
      <c r="S1899" s="13">
        <f t="shared" si="237"/>
        <v>6.2901736111089122</v>
      </c>
      <c r="T1899" t="str">
        <f t="shared" si="238"/>
        <v>On Time/Early</v>
      </c>
      <c r="U1899" t="str">
        <f t="shared" si="239"/>
        <v>Normal</v>
      </c>
      <c r="V1899" t="s">
        <v>102</v>
      </c>
    </row>
    <row r="1900" spans="1:22">
      <c r="A1900" t="s">
        <v>2666</v>
      </c>
      <c r="B1900" s="10">
        <v>43313.955601851849</v>
      </c>
      <c r="C1900" s="10">
        <v>43315.107881944445</v>
      </c>
      <c r="D1900" s="10">
        <v>43315.552777777775</v>
      </c>
      <c r="E1900" s="10">
        <v>43323.896689814814</v>
      </c>
      <c r="F1900" s="10">
        <v>43318</v>
      </c>
      <c r="G1900" t="s">
        <v>8</v>
      </c>
      <c r="H1900" t="s">
        <v>140</v>
      </c>
      <c r="I1900" t="s">
        <v>44</v>
      </c>
      <c r="J1900" s="11">
        <v>1</v>
      </c>
      <c r="K1900" s="12">
        <v>150</v>
      </c>
      <c r="L1900" s="12">
        <v>17.32</v>
      </c>
      <c r="M1900" s="13">
        <v>5</v>
      </c>
      <c r="N1900" s="13">
        <f t="shared" si="232"/>
        <v>9.9410879629649571</v>
      </c>
      <c r="O1900" s="13">
        <f t="shared" si="233"/>
        <v>5.8966898148137261</v>
      </c>
      <c r="P1900" t="str">
        <f t="shared" si="234"/>
        <v>Delayed</v>
      </c>
      <c r="Q1900" s="13">
        <f t="shared" si="235"/>
        <v>27.654722222301643</v>
      </c>
      <c r="R1900" s="13">
        <f t="shared" si="236"/>
        <v>0.44489583333051996</v>
      </c>
      <c r="S1900" s="13">
        <f t="shared" si="237"/>
        <v>8.3439120370385353</v>
      </c>
      <c r="T1900" t="str">
        <f t="shared" si="238"/>
        <v>4-7 Days Late</v>
      </c>
      <c r="U1900" t="str">
        <f t="shared" si="239"/>
        <v>Needs Review</v>
      </c>
      <c r="V1900" t="s">
        <v>102</v>
      </c>
    </row>
    <row r="1901" spans="1:22">
      <c r="A1901" t="s">
        <v>2667</v>
      </c>
      <c r="B1901" s="10">
        <v>43314.504270833335</v>
      </c>
      <c r="C1901" s="10">
        <v>43314.544641203705</v>
      </c>
      <c r="D1901" s="10">
        <v>43315.636805555558</v>
      </c>
      <c r="E1901" s="10">
        <v>43320.522488425922</v>
      </c>
      <c r="F1901" s="10">
        <v>43334</v>
      </c>
      <c r="G1901" t="s">
        <v>33</v>
      </c>
      <c r="H1901" t="s">
        <v>356</v>
      </c>
      <c r="I1901" t="s">
        <v>154</v>
      </c>
      <c r="J1901" s="11">
        <v>1</v>
      </c>
      <c r="K1901" s="12">
        <v>735</v>
      </c>
      <c r="L1901" s="12">
        <v>22.95</v>
      </c>
      <c r="M1901" s="13">
        <v>5</v>
      </c>
      <c r="N1901" s="13">
        <f t="shared" si="232"/>
        <v>6.0182175925874617</v>
      </c>
      <c r="O1901" s="13">
        <f t="shared" si="233"/>
        <v>0</v>
      </c>
      <c r="P1901" t="str">
        <f t="shared" si="234"/>
        <v>On Time</v>
      </c>
      <c r="Q1901" s="13">
        <f t="shared" si="235"/>
        <v>0.968888888892252</v>
      </c>
      <c r="R1901" s="13">
        <f t="shared" si="236"/>
        <v>1.0921643518522615</v>
      </c>
      <c r="S1901" s="13">
        <f t="shared" si="237"/>
        <v>4.8856828703646897</v>
      </c>
      <c r="T1901" t="str">
        <f t="shared" si="238"/>
        <v>On Time/Early</v>
      </c>
      <c r="U1901" t="str">
        <f t="shared" si="239"/>
        <v>Normal</v>
      </c>
      <c r="V1901" t="s">
        <v>102</v>
      </c>
    </row>
    <row r="1902" spans="1:22">
      <c r="A1902" t="s">
        <v>2668</v>
      </c>
      <c r="B1902" s="10">
        <v>43314.51390046296</v>
      </c>
      <c r="C1902" s="10">
        <v>43314.552291666667</v>
      </c>
      <c r="D1902" s="10">
        <v>43321.613888888889</v>
      </c>
      <c r="E1902" s="10">
        <v>43328.919953703706</v>
      </c>
      <c r="F1902" s="10">
        <v>43348</v>
      </c>
      <c r="G1902" t="s">
        <v>206</v>
      </c>
      <c r="H1902" t="s">
        <v>207</v>
      </c>
      <c r="I1902" t="s">
        <v>120</v>
      </c>
      <c r="J1902" s="11">
        <v>1</v>
      </c>
      <c r="K1902" s="12">
        <v>239.9</v>
      </c>
      <c r="L1902" s="12">
        <v>28.96</v>
      </c>
      <c r="M1902" s="13">
        <v>5</v>
      </c>
      <c r="N1902" s="13">
        <f t="shared" si="232"/>
        <v>14.406053240745678</v>
      </c>
      <c r="O1902" s="13">
        <f t="shared" si="233"/>
        <v>0</v>
      </c>
      <c r="P1902" t="str">
        <f t="shared" si="234"/>
        <v>On Time</v>
      </c>
      <c r="Q1902" s="13">
        <f t="shared" si="235"/>
        <v>0.9213888889644295</v>
      </c>
      <c r="R1902" s="13">
        <f t="shared" si="236"/>
        <v>7.0615972222221899</v>
      </c>
      <c r="S1902" s="13">
        <f t="shared" si="237"/>
        <v>7.3060648148166365</v>
      </c>
      <c r="T1902" t="str">
        <f t="shared" si="238"/>
        <v>On Time/Early</v>
      </c>
      <c r="U1902" t="str">
        <f t="shared" si="239"/>
        <v>Normal</v>
      </c>
      <c r="V1902" t="s">
        <v>102</v>
      </c>
    </row>
    <row r="1903" spans="1:22">
      <c r="A1903" t="s">
        <v>2669</v>
      </c>
      <c r="B1903" s="10">
        <v>43314.658125000002</v>
      </c>
      <c r="C1903" s="10">
        <v>43314.669594907406</v>
      </c>
      <c r="D1903" s="10">
        <v>43321.578472222223</v>
      </c>
      <c r="E1903" s="10">
        <v>43326.689189814817</v>
      </c>
      <c r="F1903" s="10">
        <v>43335</v>
      </c>
      <c r="G1903" t="s">
        <v>20</v>
      </c>
      <c r="H1903" t="s">
        <v>2670</v>
      </c>
      <c r="I1903" t="s">
        <v>118</v>
      </c>
      <c r="J1903" s="11">
        <v>1</v>
      </c>
      <c r="K1903" s="12">
        <v>259.99</v>
      </c>
      <c r="L1903" s="12">
        <v>19.920000000000002</v>
      </c>
      <c r="M1903" s="13">
        <v>5</v>
      </c>
      <c r="N1903" s="13">
        <f t="shared" si="232"/>
        <v>12.031064814815181</v>
      </c>
      <c r="O1903" s="13">
        <f t="shared" si="233"/>
        <v>0</v>
      </c>
      <c r="P1903" t="str">
        <f t="shared" si="234"/>
        <v>On Time</v>
      </c>
      <c r="Q1903" s="13">
        <f t="shared" si="235"/>
        <v>0.27527777769137174</v>
      </c>
      <c r="R1903" s="13">
        <f t="shared" si="236"/>
        <v>6.9088773148178007</v>
      </c>
      <c r="S1903" s="13">
        <f t="shared" si="237"/>
        <v>5.1107175925935735</v>
      </c>
      <c r="T1903" t="str">
        <f t="shared" si="238"/>
        <v>On Time/Early</v>
      </c>
      <c r="U1903" t="str">
        <f t="shared" si="239"/>
        <v>Normal</v>
      </c>
      <c r="V1903" t="s">
        <v>102</v>
      </c>
    </row>
    <row r="1904" spans="1:22">
      <c r="A1904" t="s">
        <v>2671</v>
      </c>
      <c r="B1904" s="10">
        <v>43314.745682870373</v>
      </c>
      <c r="C1904" s="10">
        <v>43314.753831018519</v>
      </c>
      <c r="D1904" s="10">
        <v>43315.417361111111</v>
      </c>
      <c r="E1904" s="10">
        <v>43329.747511574074</v>
      </c>
      <c r="F1904" s="10">
        <v>43342</v>
      </c>
      <c r="G1904" t="s">
        <v>192</v>
      </c>
      <c r="H1904" t="s">
        <v>2672</v>
      </c>
      <c r="I1904" t="s">
        <v>101</v>
      </c>
      <c r="J1904" s="11">
        <v>2</v>
      </c>
      <c r="K1904" s="12">
        <v>586</v>
      </c>
      <c r="L1904" s="12">
        <v>88.92</v>
      </c>
      <c r="M1904" s="13">
        <v>1</v>
      </c>
      <c r="N1904" s="13">
        <f t="shared" si="232"/>
        <v>15.001828703701904</v>
      </c>
      <c r="O1904" s="13">
        <f t="shared" si="233"/>
        <v>0</v>
      </c>
      <c r="P1904" t="str">
        <f t="shared" si="234"/>
        <v>On Time</v>
      </c>
      <c r="Q1904" s="13">
        <f t="shared" si="235"/>
        <v>0.19555555551778525</v>
      </c>
      <c r="R1904" s="13">
        <f t="shared" si="236"/>
        <v>0.66353009259182727</v>
      </c>
      <c r="S1904" s="13">
        <f t="shared" si="237"/>
        <v>14.330150462963502</v>
      </c>
      <c r="T1904" t="str">
        <f t="shared" si="238"/>
        <v>On Time/Early</v>
      </c>
      <c r="U1904" t="str">
        <f t="shared" si="239"/>
        <v>Normal</v>
      </c>
      <c r="V1904" t="s">
        <v>102</v>
      </c>
    </row>
    <row r="1905" spans="1:22">
      <c r="A1905" t="s">
        <v>2673</v>
      </c>
      <c r="B1905" s="10">
        <v>43314.823576388888</v>
      </c>
      <c r="C1905" s="10">
        <v>43314.836041666669</v>
      </c>
      <c r="D1905" s="10">
        <v>43315.438194444447</v>
      </c>
      <c r="E1905" s="10">
        <v>43321.00880787037</v>
      </c>
      <c r="F1905" s="10">
        <v>43326</v>
      </c>
      <c r="G1905" t="s">
        <v>20</v>
      </c>
      <c r="H1905" t="s">
        <v>2674</v>
      </c>
      <c r="I1905" t="s">
        <v>221</v>
      </c>
      <c r="J1905" s="11">
        <v>1</v>
      </c>
      <c r="K1905" s="12">
        <v>49</v>
      </c>
      <c r="L1905" s="12">
        <v>18.440000000000001</v>
      </c>
      <c r="M1905" s="13">
        <v>3</v>
      </c>
      <c r="N1905" s="13">
        <f t="shared" si="232"/>
        <v>6.185231481482333</v>
      </c>
      <c r="O1905" s="13">
        <f t="shared" si="233"/>
        <v>0</v>
      </c>
      <c r="P1905" t="str">
        <f t="shared" si="234"/>
        <v>On Time</v>
      </c>
      <c r="Q1905" s="13">
        <f t="shared" si="235"/>
        <v>0.2991666667512618</v>
      </c>
      <c r="R1905" s="13">
        <f t="shared" si="236"/>
        <v>0.60215277777751908</v>
      </c>
      <c r="S1905" s="13">
        <f t="shared" si="237"/>
        <v>5.5706134259235114</v>
      </c>
      <c r="T1905" t="str">
        <f t="shared" si="238"/>
        <v>On Time/Early</v>
      </c>
      <c r="U1905" t="str">
        <f t="shared" si="239"/>
        <v>Normal</v>
      </c>
      <c r="V1905" t="s">
        <v>102</v>
      </c>
    </row>
    <row r="1906" spans="1:22">
      <c r="A1906" t="s">
        <v>2675</v>
      </c>
      <c r="B1906" s="10">
        <v>43314.829456018517</v>
      </c>
      <c r="C1906" s="10">
        <v>43316.183310185188</v>
      </c>
      <c r="D1906" s="10">
        <v>43318.5625</v>
      </c>
      <c r="E1906" s="10">
        <v>43321.853043981479</v>
      </c>
      <c r="F1906" s="10">
        <v>43329</v>
      </c>
      <c r="G1906" t="s">
        <v>8</v>
      </c>
      <c r="H1906" t="s">
        <v>1851</v>
      </c>
      <c r="I1906" t="s">
        <v>180</v>
      </c>
      <c r="J1906" s="11">
        <v>1</v>
      </c>
      <c r="K1906" s="12">
        <v>59</v>
      </c>
      <c r="L1906" s="12">
        <v>18.510000000000002</v>
      </c>
      <c r="M1906" s="13">
        <v>5</v>
      </c>
      <c r="N1906" s="13">
        <f t="shared" si="232"/>
        <v>7.0235879629617557</v>
      </c>
      <c r="O1906" s="13">
        <f t="shared" si="233"/>
        <v>0</v>
      </c>
      <c r="P1906" t="str">
        <f t="shared" si="234"/>
        <v>On Time</v>
      </c>
      <c r="Q1906" s="13">
        <f t="shared" si="235"/>
        <v>32.49250000010943</v>
      </c>
      <c r="R1906" s="13">
        <f t="shared" si="236"/>
        <v>2.3791898148119799</v>
      </c>
      <c r="S1906" s="13">
        <f t="shared" si="237"/>
        <v>3.2905439814785495</v>
      </c>
      <c r="T1906" t="str">
        <f t="shared" si="238"/>
        <v>On Time/Early</v>
      </c>
      <c r="U1906" t="str">
        <f t="shared" si="239"/>
        <v>Normal</v>
      </c>
      <c r="V1906" t="s">
        <v>102</v>
      </c>
    </row>
    <row r="1907" spans="1:22">
      <c r="A1907" t="s">
        <v>2676</v>
      </c>
      <c r="B1907" s="10">
        <v>43314.9219212963</v>
      </c>
      <c r="C1907" s="10">
        <v>43316.503680555557</v>
      </c>
      <c r="D1907" s="10">
        <v>43318.463194444441</v>
      </c>
      <c r="E1907" s="10">
        <v>43321.831655092596</v>
      </c>
      <c r="F1907" s="10">
        <v>43325</v>
      </c>
      <c r="G1907" t="s">
        <v>36</v>
      </c>
      <c r="H1907" t="s">
        <v>467</v>
      </c>
      <c r="I1907" t="s">
        <v>221</v>
      </c>
      <c r="J1907" s="11">
        <v>1</v>
      </c>
      <c r="K1907" s="12">
        <v>49</v>
      </c>
      <c r="L1907" s="12">
        <v>15.44</v>
      </c>
      <c r="M1907" s="13">
        <v>1</v>
      </c>
      <c r="N1907" s="13">
        <f t="shared" si="232"/>
        <v>6.9097337962957681</v>
      </c>
      <c r="O1907" s="13">
        <f t="shared" si="233"/>
        <v>0</v>
      </c>
      <c r="P1907" t="str">
        <f t="shared" si="234"/>
        <v>On Time</v>
      </c>
      <c r="Q1907" s="13">
        <f t="shared" si="235"/>
        <v>37.962222222180571</v>
      </c>
      <c r="R1907" s="13">
        <f t="shared" si="236"/>
        <v>1.9595138888835208</v>
      </c>
      <c r="S1907" s="13">
        <f t="shared" si="237"/>
        <v>3.3684606481547235</v>
      </c>
      <c r="T1907" t="str">
        <f t="shared" si="238"/>
        <v>On Time/Early</v>
      </c>
      <c r="U1907" t="str">
        <f t="shared" si="239"/>
        <v>Normal</v>
      </c>
      <c r="V1907" t="s">
        <v>102</v>
      </c>
    </row>
    <row r="1908" spans="1:22">
      <c r="A1908" t="s">
        <v>2677</v>
      </c>
      <c r="B1908" s="10">
        <v>43315.469108796293</v>
      </c>
      <c r="C1908" s="10">
        <v>43315.475810185184</v>
      </c>
      <c r="D1908" s="10">
        <v>43315.54583333333</v>
      </c>
      <c r="E1908" s="10">
        <v>43321.658819444441</v>
      </c>
      <c r="F1908" s="10">
        <v>43333</v>
      </c>
      <c r="G1908" t="s">
        <v>20</v>
      </c>
      <c r="H1908" t="s">
        <v>231</v>
      </c>
      <c r="I1908" t="s">
        <v>623</v>
      </c>
      <c r="J1908" s="11">
        <v>1</v>
      </c>
      <c r="K1908" s="12">
        <v>81</v>
      </c>
      <c r="L1908" s="12">
        <v>23.37</v>
      </c>
      <c r="M1908" s="13">
        <v>5</v>
      </c>
      <c r="N1908" s="13">
        <f t="shared" si="232"/>
        <v>6.1897106481483206</v>
      </c>
      <c r="O1908" s="13">
        <f t="shared" si="233"/>
        <v>0</v>
      </c>
      <c r="P1908" t="str">
        <f t="shared" si="234"/>
        <v>On Time</v>
      </c>
      <c r="Q1908" s="13">
        <f t="shared" si="235"/>
        <v>0.16083333338610828</v>
      </c>
      <c r="R1908" s="13">
        <f t="shared" si="236"/>
        <v>7.0023148145992309E-2</v>
      </c>
      <c r="S1908" s="13">
        <f t="shared" si="237"/>
        <v>6.1129861111112405</v>
      </c>
      <c r="T1908" t="str">
        <f t="shared" si="238"/>
        <v>On Time/Early</v>
      </c>
      <c r="U1908" t="str">
        <f t="shared" si="239"/>
        <v>Normal</v>
      </c>
      <c r="V1908" t="s">
        <v>102</v>
      </c>
    </row>
    <row r="1909" spans="1:22">
      <c r="A1909" t="s">
        <v>2678</v>
      </c>
      <c r="B1909" s="10">
        <v>43315.555335648147</v>
      </c>
      <c r="C1909" s="10">
        <v>43316.212106481478</v>
      </c>
      <c r="D1909" s="10">
        <v>43325.315972222219</v>
      </c>
      <c r="E1909" s="10">
        <v>43326.740636574075</v>
      </c>
      <c r="F1909" s="10">
        <v>43329</v>
      </c>
      <c r="G1909" t="s">
        <v>8</v>
      </c>
      <c r="H1909" t="s">
        <v>430</v>
      </c>
      <c r="I1909" t="s">
        <v>753</v>
      </c>
      <c r="J1909" s="11">
        <v>2</v>
      </c>
      <c r="K1909" s="12">
        <v>119.8</v>
      </c>
      <c r="L1909" s="12">
        <v>18.34</v>
      </c>
      <c r="M1909" s="13">
        <v>1</v>
      </c>
      <c r="N1909" s="13">
        <f t="shared" si="232"/>
        <v>11.185300925928459</v>
      </c>
      <c r="O1909" s="13">
        <f t="shared" si="233"/>
        <v>0</v>
      </c>
      <c r="P1909" t="str">
        <f t="shared" si="234"/>
        <v>On Time</v>
      </c>
      <c r="Q1909" s="13">
        <f t="shared" si="235"/>
        <v>15.762499999953434</v>
      </c>
      <c r="R1909" s="13">
        <f t="shared" si="236"/>
        <v>9.10386574074073</v>
      </c>
      <c r="S1909" s="13">
        <f t="shared" si="237"/>
        <v>1.424664351856336</v>
      </c>
      <c r="T1909" t="str">
        <f t="shared" si="238"/>
        <v>On Time/Early</v>
      </c>
      <c r="U1909" t="str">
        <f t="shared" si="239"/>
        <v>Normal</v>
      </c>
      <c r="V1909" t="s">
        <v>102</v>
      </c>
    </row>
    <row r="1910" spans="1:22">
      <c r="A1910" t="s">
        <v>2679</v>
      </c>
      <c r="B1910" s="10">
        <v>43315.703148148146</v>
      </c>
      <c r="C1910" s="10">
        <v>43318.566076388888</v>
      </c>
      <c r="D1910" s="10">
        <v>43325.396527777775</v>
      </c>
      <c r="E1910" s="10">
        <v>43335.775439814817</v>
      </c>
      <c r="F1910" s="10">
        <v>43342</v>
      </c>
      <c r="G1910" t="s">
        <v>23</v>
      </c>
      <c r="H1910" t="s">
        <v>275</v>
      </c>
      <c r="I1910" t="s">
        <v>143</v>
      </c>
      <c r="J1910" s="11">
        <v>1</v>
      </c>
      <c r="K1910" s="12">
        <v>92.99</v>
      </c>
      <c r="L1910" s="12">
        <v>22.58</v>
      </c>
      <c r="M1910" s="13">
        <v>5</v>
      </c>
      <c r="N1910" s="13">
        <f t="shared" si="232"/>
        <v>20.072291666670935</v>
      </c>
      <c r="O1910" s="13">
        <f t="shared" si="233"/>
        <v>0</v>
      </c>
      <c r="P1910" t="str">
        <f t="shared" si="234"/>
        <v>On Time</v>
      </c>
      <c r="Q1910" s="13">
        <f t="shared" si="235"/>
        <v>68.710277777805459</v>
      </c>
      <c r="R1910" s="13">
        <f t="shared" si="236"/>
        <v>6.8304513888870133</v>
      </c>
      <c r="S1910" s="13">
        <f t="shared" si="237"/>
        <v>10.378912037042028</v>
      </c>
      <c r="T1910" t="str">
        <f t="shared" si="238"/>
        <v>On Time/Early</v>
      </c>
      <c r="U1910" t="str">
        <f t="shared" si="239"/>
        <v>Normal</v>
      </c>
      <c r="V1910" t="s">
        <v>102</v>
      </c>
    </row>
    <row r="1911" spans="1:22">
      <c r="A1911" t="s">
        <v>2680</v>
      </c>
      <c r="B1911" s="10">
        <v>43315.720520833333</v>
      </c>
      <c r="C1911" s="10">
        <v>43315.750069444446</v>
      </c>
      <c r="D1911" s="10">
        <v>43318.597916666666</v>
      </c>
      <c r="E1911" s="10">
        <v>43321.63795138889</v>
      </c>
      <c r="F1911" s="10">
        <v>43325</v>
      </c>
      <c r="G1911" t="s">
        <v>8</v>
      </c>
      <c r="H1911" t="s">
        <v>140</v>
      </c>
      <c r="I1911" t="s">
        <v>180</v>
      </c>
      <c r="J1911" s="11">
        <v>1</v>
      </c>
      <c r="K1911" s="12">
        <v>59</v>
      </c>
      <c r="L1911" s="12">
        <v>14.72</v>
      </c>
      <c r="M1911" s="13">
        <v>5</v>
      </c>
      <c r="N1911" s="13">
        <f t="shared" si="232"/>
        <v>5.9174305555570754</v>
      </c>
      <c r="O1911" s="13">
        <f t="shared" si="233"/>
        <v>0</v>
      </c>
      <c r="P1911" t="str">
        <f t="shared" si="234"/>
        <v>On Time</v>
      </c>
      <c r="Q1911" s="13">
        <f t="shared" si="235"/>
        <v>0.70916666672565043</v>
      </c>
      <c r="R1911" s="13">
        <f t="shared" si="236"/>
        <v>2.8478472222195705</v>
      </c>
      <c r="S1911" s="13">
        <f t="shared" si="237"/>
        <v>3.0400347222239361</v>
      </c>
      <c r="T1911" t="str">
        <f t="shared" si="238"/>
        <v>On Time/Early</v>
      </c>
      <c r="U1911" t="str">
        <f t="shared" si="239"/>
        <v>Normal</v>
      </c>
      <c r="V1911" t="s">
        <v>102</v>
      </c>
    </row>
    <row r="1912" spans="1:22">
      <c r="A1912" t="s">
        <v>2681</v>
      </c>
      <c r="B1912" s="10">
        <v>43315.753900462965</v>
      </c>
      <c r="C1912" s="10">
        <v>43315.77789351852</v>
      </c>
      <c r="D1912" s="10">
        <v>43318.51666666667</v>
      </c>
      <c r="E1912" s="10">
        <v>43336.786585648151</v>
      </c>
      <c r="F1912" s="10">
        <v>43342</v>
      </c>
      <c r="G1912" t="s">
        <v>218</v>
      </c>
      <c r="H1912" t="s">
        <v>2682</v>
      </c>
      <c r="I1912" t="s">
        <v>221</v>
      </c>
      <c r="J1912" s="11">
        <v>1</v>
      </c>
      <c r="K1912" s="12">
        <v>102.9</v>
      </c>
      <c r="L1912" s="12">
        <v>51.44</v>
      </c>
      <c r="M1912" s="13">
        <v>5</v>
      </c>
      <c r="N1912" s="13">
        <f t="shared" si="232"/>
        <v>21.032685185185983</v>
      </c>
      <c r="O1912" s="13">
        <f t="shared" si="233"/>
        <v>0</v>
      </c>
      <c r="P1912" t="str">
        <f t="shared" si="234"/>
        <v>On Time</v>
      </c>
      <c r="Q1912" s="13">
        <f t="shared" si="235"/>
        <v>0.57583333330694586</v>
      </c>
      <c r="R1912" s="13">
        <f t="shared" si="236"/>
        <v>2.7387731481503579</v>
      </c>
      <c r="S1912" s="13">
        <f t="shared" si="237"/>
        <v>18.269918981481169</v>
      </c>
      <c r="T1912" t="str">
        <f t="shared" si="238"/>
        <v>On Time/Early</v>
      </c>
      <c r="U1912" t="str">
        <f t="shared" si="239"/>
        <v>Normal</v>
      </c>
      <c r="V1912" t="s">
        <v>102</v>
      </c>
    </row>
    <row r="1913" spans="1:22">
      <c r="A1913" t="s">
        <v>2683</v>
      </c>
      <c r="B1913" s="10">
        <v>43315.907025462962</v>
      </c>
      <c r="C1913" s="10">
        <v>43319.188344907408</v>
      </c>
      <c r="D1913" s="10">
        <v>43320.679166666669</v>
      </c>
      <c r="E1913" s="10">
        <v>43326.806712962964</v>
      </c>
      <c r="F1913" s="10">
        <v>43332</v>
      </c>
      <c r="G1913" t="s">
        <v>8</v>
      </c>
      <c r="H1913" t="s">
        <v>980</v>
      </c>
      <c r="I1913" t="s">
        <v>118</v>
      </c>
      <c r="J1913" s="11">
        <v>1</v>
      </c>
      <c r="K1913" s="12">
        <v>27.99</v>
      </c>
      <c r="L1913" s="12">
        <v>12.86</v>
      </c>
      <c r="M1913" s="13">
        <v>5</v>
      </c>
      <c r="N1913" s="13">
        <f t="shared" si="232"/>
        <v>10.899687500001164</v>
      </c>
      <c r="O1913" s="13">
        <f t="shared" si="233"/>
        <v>0</v>
      </c>
      <c r="P1913" t="str">
        <f t="shared" si="234"/>
        <v>On Time</v>
      </c>
      <c r="Q1913" s="13">
        <f t="shared" si="235"/>
        <v>78.751666666707024</v>
      </c>
      <c r="R1913" s="13">
        <f t="shared" si="236"/>
        <v>1.4908217592601432</v>
      </c>
      <c r="S1913" s="13">
        <f t="shared" si="237"/>
        <v>6.127546296294895</v>
      </c>
      <c r="T1913" t="str">
        <f t="shared" si="238"/>
        <v>On Time/Early</v>
      </c>
      <c r="U1913" t="str">
        <f t="shared" si="239"/>
        <v>Normal</v>
      </c>
      <c r="V1913" t="s">
        <v>102</v>
      </c>
    </row>
    <row r="1914" spans="1:22">
      <c r="A1914" t="s">
        <v>2684</v>
      </c>
      <c r="B1914" s="10">
        <v>43316.601006944446</v>
      </c>
      <c r="C1914" s="10">
        <v>43316.607858796298</v>
      </c>
      <c r="D1914" s="10">
        <v>43320.408333333333</v>
      </c>
      <c r="E1914" s="10">
        <v>43325.665150462963</v>
      </c>
      <c r="F1914" s="10">
        <v>43327</v>
      </c>
      <c r="G1914" t="s">
        <v>20</v>
      </c>
      <c r="H1914" t="s">
        <v>1922</v>
      </c>
      <c r="I1914" t="s">
        <v>180</v>
      </c>
      <c r="J1914" s="11">
        <v>1</v>
      </c>
      <c r="K1914" s="12">
        <v>39.99</v>
      </c>
      <c r="L1914" s="12">
        <v>19.47</v>
      </c>
      <c r="M1914" s="13"/>
      <c r="N1914" s="13">
        <f t="shared" si="232"/>
        <v>9.0641435185170849</v>
      </c>
      <c r="O1914" s="13">
        <f t="shared" si="233"/>
        <v>0</v>
      </c>
      <c r="P1914" t="str">
        <f t="shared" si="234"/>
        <v>On Time</v>
      </c>
      <c r="Q1914" s="13">
        <f t="shared" si="235"/>
        <v>0.16444444446824491</v>
      </c>
      <c r="R1914" s="13">
        <f t="shared" si="236"/>
        <v>3.8004745370344608</v>
      </c>
      <c r="S1914" s="13">
        <f t="shared" si="237"/>
        <v>5.2568171296297805</v>
      </c>
      <c r="T1914" t="str">
        <f t="shared" si="238"/>
        <v>On Time/Early</v>
      </c>
      <c r="U1914" t="str">
        <f t="shared" si="239"/>
        <v>Normal</v>
      </c>
      <c r="V1914" t="s">
        <v>102</v>
      </c>
    </row>
    <row r="1915" spans="1:22">
      <c r="A1915" t="s">
        <v>2685</v>
      </c>
      <c r="B1915" s="10">
        <v>43316.617858796293</v>
      </c>
      <c r="C1915" s="10">
        <v>43318.621770833335</v>
      </c>
      <c r="D1915" s="10">
        <v>43318.621527777781</v>
      </c>
      <c r="E1915" s="10">
        <v>43321.995486111111</v>
      </c>
      <c r="F1915" s="10">
        <v>43328</v>
      </c>
      <c r="G1915" t="s">
        <v>8</v>
      </c>
      <c r="H1915" t="s">
        <v>140</v>
      </c>
      <c r="I1915" t="s">
        <v>136</v>
      </c>
      <c r="J1915" s="11">
        <v>1</v>
      </c>
      <c r="K1915" s="12">
        <v>129.99</v>
      </c>
      <c r="L1915" s="12">
        <v>18.71</v>
      </c>
      <c r="M1915" s="13">
        <v>5</v>
      </c>
      <c r="N1915" s="13">
        <f t="shared" si="232"/>
        <v>5.3776273148178007</v>
      </c>
      <c r="O1915" s="13">
        <f t="shared" si="233"/>
        <v>0</v>
      </c>
      <c r="P1915" t="str">
        <f t="shared" si="234"/>
        <v>On Time</v>
      </c>
      <c r="Q1915" s="13">
        <f t="shared" si="235"/>
        <v>48.093888889008667</v>
      </c>
      <c r="R1915" s="13">
        <f t="shared" si="236"/>
        <v>-2.4305555416503921E-4</v>
      </c>
      <c r="S1915" s="13">
        <f t="shared" si="237"/>
        <v>3.3739583333299379</v>
      </c>
      <c r="T1915" t="str">
        <f t="shared" si="238"/>
        <v>On Time/Early</v>
      </c>
      <c r="U1915" t="str">
        <f t="shared" si="239"/>
        <v>Normal</v>
      </c>
      <c r="V1915" t="s">
        <v>102</v>
      </c>
    </row>
    <row r="1916" spans="1:22">
      <c r="A1916" t="s">
        <v>2686</v>
      </c>
      <c r="B1916" s="10">
        <v>43316.693530092591</v>
      </c>
      <c r="C1916" s="10">
        <v>43319.184201388889</v>
      </c>
      <c r="D1916" s="10">
        <v>43322.504861111112</v>
      </c>
      <c r="E1916" s="10">
        <v>43327.006099537037</v>
      </c>
      <c r="F1916" s="10">
        <v>43332</v>
      </c>
      <c r="G1916" t="s">
        <v>33</v>
      </c>
      <c r="H1916" t="s">
        <v>689</v>
      </c>
      <c r="I1916" t="s">
        <v>1137</v>
      </c>
      <c r="J1916" s="11">
        <v>1</v>
      </c>
      <c r="K1916" s="12">
        <v>199</v>
      </c>
      <c r="L1916" s="12">
        <v>24.61</v>
      </c>
      <c r="M1916" s="13">
        <v>5</v>
      </c>
      <c r="N1916" s="13">
        <f t="shared" si="232"/>
        <v>10.312569444446126</v>
      </c>
      <c r="O1916" s="13">
        <f t="shared" si="233"/>
        <v>0</v>
      </c>
      <c r="P1916" t="str">
        <f t="shared" si="234"/>
        <v>On Time</v>
      </c>
      <c r="Q1916" s="13">
        <f t="shared" si="235"/>
        <v>59.776111111161299</v>
      </c>
      <c r="R1916" s="13">
        <f t="shared" si="236"/>
        <v>3.320659722223354</v>
      </c>
      <c r="S1916" s="13">
        <f t="shared" si="237"/>
        <v>4.5012384259243845</v>
      </c>
      <c r="T1916" t="str">
        <f t="shared" si="238"/>
        <v>On Time/Early</v>
      </c>
      <c r="U1916" t="str">
        <f t="shared" si="239"/>
        <v>Normal</v>
      </c>
      <c r="V1916" t="s">
        <v>102</v>
      </c>
    </row>
    <row r="1917" spans="1:22">
      <c r="A1917" t="s">
        <v>2687</v>
      </c>
      <c r="B1917" s="10">
        <v>43316.855891203704</v>
      </c>
      <c r="C1917" s="10">
        <v>43319.205127314817</v>
      </c>
      <c r="D1917" s="10">
        <v>43319.609027777777</v>
      </c>
      <c r="E1917" s="10">
        <v>43321.943437499998</v>
      </c>
      <c r="F1917" s="10">
        <v>43325</v>
      </c>
      <c r="G1917" t="s">
        <v>20</v>
      </c>
      <c r="H1917" t="s">
        <v>104</v>
      </c>
      <c r="I1917" t="s">
        <v>154</v>
      </c>
      <c r="J1917" s="11">
        <v>1</v>
      </c>
      <c r="K1917" s="12">
        <v>94.9</v>
      </c>
      <c r="L1917" s="12">
        <v>14.96</v>
      </c>
      <c r="M1917" s="13">
        <v>5</v>
      </c>
      <c r="N1917" s="13">
        <f t="shared" si="232"/>
        <v>5.0875462962940219</v>
      </c>
      <c r="O1917" s="13">
        <f t="shared" si="233"/>
        <v>0</v>
      </c>
      <c r="P1917" t="str">
        <f t="shared" si="234"/>
        <v>On Time</v>
      </c>
      <c r="Q1917" s="13">
        <f t="shared" si="235"/>
        <v>56.381666666711681</v>
      </c>
      <c r="R1917" s="13">
        <f t="shared" si="236"/>
        <v>0.40390046295942739</v>
      </c>
      <c r="S1917" s="13">
        <f t="shared" si="237"/>
        <v>2.3344097222216078</v>
      </c>
      <c r="T1917" t="str">
        <f t="shared" si="238"/>
        <v>On Time/Early</v>
      </c>
      <c r="U1917" t="str">
        <f t="shared" si="239"/>
        <v>Normal</v>
      </c>
      <c r="V1917" t="s">
        <v>102</v>
      </c>
    </row>
    <row r="1918" spans="1:22">
      <c r="A1918" t="s">
        <v>2688</v>
      </c>
      <c r="B1918" s="10">
        <v>43316.866851851853</v>
      </c>
      <c r="C1918" s="10">
        <v>43316.877858796295</v>
      </c>
      <c r="D1918" s="10">
        <v>43319.620138888888</v>
      </c>
      <c r="E1918" s="10">
        <v>43322.695740740739</v>
      </c>
      <c r="F1918" s="10">
        <v>43339</v>
      </c>
      <c r="G1918" t="s">
        <v>8</v>
      </c>
      <c r="H1918" t="s">
        <v>767</v>
      </c>
      <c r="I1918" t="s">
        <v>58</v>
      </c>
      <c r="J1918" s="11">
        <v>1</v>
      </c>
      <c r="K1918" s="12">
        <v>14.49</v>
      </c>
      <c r="L1918" s="12">
        <v>12.79</v>
      </c>
      <c r="M1918" s="13">
        <v>4</v>
      </c>
      <c r="N1918" s="13">
        <f t="shared" si="232"/>
        <v>5.8288888888855581</v>
      </c>
      <c r="O1918" s="13">
        <f t="shared" si="233"/>
        <v>0</v>
      </c>
      <c r="P1918" t="str">
        <f t="shared" si="234"/>
        <v>On Time</v>
      </c>
      <c r="Q1918" s="13">
        <f t="shared" si="235"/>
        <v>0.26416666660225019</v>
      </c>
      <c r="R1918" s="13">
        <f t="shared" si="236"/>
        <v>2.7422800925924093</v>
      </c>
      <c r="S1918" s="13">
        <f t="shared" si="237"/>
        <v>3.0756018518513883</v>
      </c>
      <c r="T1918" t="str">
        <f t="shared" si="238"/>
        <v>On Time/Early</v>
      </c>
      <c r="U1918" t="str">
        <f t="shared" si="239"/>
        <v>Normal</v>
      </c>
      <c r="V1918" t="s">
        <v>102</v>
      </c>
    </row>
    <row r="1919" spans="1:22">
      <c r="A1919" t="s">
        <v>2689</v>
      </c>
      <c r="B1919" s="10">
        <v>43316.899189814816</v>
      </c>
      <c r="C1919" s="10">
        <v>43316.906388888892</v>
      </c>
      <c r="D1919" s="10">
        <v>43318.618055555555</v>
      </c>
      <c r="E1919" s="10">
        <v>43320.726064814815</v>
      </c>
      <c r="F1919" s="10">
        <v>43328</v>
      </c>
      <c r="G1919" t="s">
        <v>8</v>
      </c>
      <c r="H1919" t="s">
        <v>2690</v>
      </c>
      <c r="I1919" t="s">
        <v>143</v>
      </c>
      <c r="J1919" s="11">
        <v>1</v>
      </c>
      <c r="K1919" s="12">
        <v>116.9</v>
      </c>
      <c r="L1919" s="12">
        <v>18.920000000000002</v>
      </c>
      <c r="M1919" s="13">
        <v>5</v>
      </c>
      <c r="N1919" s="13">
        <f t="shared" si="232"/>
        <v>3.8268749999988358</v>
      </c>
      <c r="O1919" s="13">
        <f t="shared" si="233"/>
        <v>0</v>
      </c>
      <c r="P1919" t="str">
        <f t="shared" si="234"/>
        <v>On Time</v>
      </c>
      <c r="Q1919" s="13">
        <f t="shared" si="235"/>
        <v>0.17277777782874182</v>
      </c>
      <c r="R1919" s="13">
        <f t="shared" si="236"/>
        <v>1.7116666666624951</v>
      </c>
      <c r="S1919" s="13">
        <f t="shared" si="237"/>
        <v>2.1080092592601432</v>
      </c>
      <c r="T1919" t="str">
        <f t="shared" si="238"/>
        <v>On Time/Early</v>
      </c>
      <c r="U1919" t="str">
        <f t="shared" si="239"/>
        <v>Normal</v>
      </c>
      <c r="V1919" t="s">
        <v>102</v>
      </c>
    </row>
    <row r="1920" spans="1:22">
      <c r="A1920" t="s">
        <v>2691</v>
      </c>
      <c r="B1920" s="10">
        <v>43317.014444444445</v>
      </c>
      <c r="C1920" s="10">
        <v>43317.024548611109</v>
      </c>
      <c r="D1920" s="10">
        <v>43318.400000000001</v>
      </c>
      <c r="E1920" s="10">
        <v>43322.733703703707</v>
      </c>
      <c r="F1920" s="10">
        <v>43329</v>
      </c>
      <c r="G1920" t="s">
        <v>16</v>
      </c>
      <c r="H1920" t="s">
        <v>138</v>
      </c>
      <c r="I1920" t="s">
        <v>34</v>
      </c>
      <c r="J1920" s="11">
        <v>1</v>
      </c>
      <c r="K1920" s="12">
        <v>229</v>
      </c>
      <c r="L1920" s="12">
        <v>16.7</v>
      </c>
      <c r="M1920" s="13">
        <v>5</v>
      </c>
      <c r="N1920" s="13">
        <f t="shared" si="232"/>
        <v>5.7192592592618894</v>
      </c>
      <c r="O1920" s="13">
        <f t="shared" si="233"/>
        <v>0</v>
      </c>
      <c r="P1920" t="str">
        <f t="shared" si="234"/>
        <v>On Time</v>
      </c>
      <c r="Q1920" s="13">
        <f t="shared" si="235"/>
        <v>0.24249999993480742</v>
      </c>
      <c r="R1920" s="13">
        <f t="shared" si="236"/>
        <v>1.375451388892543</v>
      </c>
      <c r="S1920" s="13">
        <f t="shared" si="237"/>
        <v>4.333703703705396</v>
      </c>
      <c r="T1920" t="str">
        <f t="shared" si="238"/>
        <v>On Time/Early</v>
      </c>
      <c r="U1920" t="str">
        <f t="shared" si="239"/>
        <v>Normal</v>
      </c>
      <c r="V1920" t="s">
        <v>102</v>
      </c>
    </row>
    <row r="1921" spans="1:22">
      <c r="A1921" t="s">
        <v>2692</v>
      </c>
      <c r="B1921" s="10">
        <v>43317.711296296293</v>
      </c>
      <c r="C1921" s="10">
        <v>43317.718912037039</v>
      </c>
      <c r="D1921" s="10">
        <v>43321.581250000003</v>
      </c>
      <c r="E1921" s="10">
        <v>43329.030949074076</v>
      </c>
      <c r="F1921" s="10">
        <v>43329</v>
      </c>
      <c r="G1921" t="s">
        <v>8</v>
      </c>
      <c r="H1921" t="s">
        <v>309</v>
      </c>
      <c r="I1921" t="s">
        <v>141</v>
      </c>
      <c r="J1921" s="11">
        <v>1</v>
      </c>
      <c r="K1921" s="12">
        <v>129</v>
      </c>
      <c r="L1921" s="12">
        <v>67.489999999999995</v>
      </c>
      <c r="M1921" s="13">
        <v>3</v>
      </c>
      <c r="N1921" s="13">
        <f t="shared" si="232"/>
        <v>11.319652777783631</v>
      </c>
      <c r="O1921" s="13">
        <f t="shared" si="233"/>
        <v>3.0949074076488614E-2</v>
      </c>
      <c r="P1921" t="str">
        <f t="shared" si="234"/>
        <v>Delayed</v>
      </c>
      <c r="Q1921" s="13">
        <f t="shared" si="235"/>
        <v>0.18277777789626271</v>
      </c>
      <c r="R1921" s="13">
        <f t="shared" si="236"/>
        <v>3.862337962964375</v>
      </c>
      <c r="S1921" s="13">
        <f t="shared" si="237"/>
        <v>7.4496990740735782</v>
      </c>
      <c r="T1921" t="str">
        <f t="shared" si="238"/>
        <v>1-3 Days Late</v>
      </c>
      <c r="U1921" t="str">
        <f t="shared" si="239"/>
        <v>Needs Review</v>
      </c>
      <c r="V1921" t="s">
        <v>102</v>
      </c>
    </row>
    <row r="1922" spans="1:22">
      <c r="A1922" t="s">
        <v>2693</v>
      </c>
      <c r="B1922" s="10">
        <v>43317.988958333335</v>
      </c>
      <c r="C1922" s="10">
        <v>43319.187731481485</v>
      </c>
      <c r="D1922" s="10">
        <v>43327.236805555556</v>
      </c>
      <c r="E1922" s="10">
        <v>43328.758587962962</v>
      </c>
      <c r="F1922" s="10">
        <v>43326</v>
      </c>
      <c r="G1922" t="s">
        <v>8</v>
      </c>
      <c r="H1922" t="s">
        <v>140</v>
      </c>
      <c r="I1922" t="s">
        <v>180</v>
      </c>
      <c r="J1922" s="11">
        <v>1</v>
      </c>
      <c r="K1922" s="12">
        <v>179.9</v>
      </c>
      <c r="L1922" s="12">
        <v>13.56</v>
      </c>
      <c r="M1922" s="13">
        <v>5</v>
      </c>
      <c r="N1922" s="13">
        <f t="shared" ref="N1922:N1985" si="240">IFERROR(E1922-B1922,"")</f>
        <v>10.769629629627161</v>
      </c>
      <c r="O1922" s="13">
        <f t="shared" ref="O1922:O1985" si="241">IFERROR(MAX(0,E1922-F1922),"")</f>
        <v>2.7585879629623378</v>
      </c>
      <c r="P1922" t="str">
        <f t="shared" ref="P1922:P1985" si="242">IF(O1922&gt;0,"Delayed","On Time")</f>
        <v>Delayed</v>
      </c>
      <c r="Q1922" s="13">
        <f t="shared" ref="Q1922:Q1985" si="243">IFERROR((C1922-B1922)*24,"")</f>
        <v>28.770555555587634</v>
      </c>
      <c r="R1922" s="13">
        <f t="shared" ref="R1922:R1985" si="244">IFERROR(D1922-C1922,"")</f>
        <v>8.049074074071541</v>
      </c>
      <c r="S1922" s="13">
        <f t="shared" ref="S1922:S1985" si="245">IFERROR(E1922-D1922,"")</f>
        <v>1.5217824074061355</v>
      </c>
      <c r="T1922" t="str">
        <f t="shared" ref="T1922:T1985" si="246">IF(O1922=0,"On Time/Early",IF(O1922&lt;=3,"1-3 Days Late",IF(O1922&lt;=7,"4-7 Days Late","8+ Days Late")))</f>
        <v>1-3 Days Late</v>
      </c>
      <c r="U1922" t="str">
        <f t="shared" ref="U1922:U1985" si="247">IF(P1922="Delayed","Needs Review","Normal")</f>
        <v>Needs Review</v>
      </c>
      <c r="V1922" t="s">
        <v>102</v>
      </c>
    </row>
    <row r="1923" spans="1:22">
      <c r="A1923" t="s">
        <v>2694</v>
      </c>
      <c r="B1923" s="10">
        <v>43318.540243055555</v>
      </c>
      <c r="C1923" s="10">
        <v>43318.548750000002</v>
      </c>
      <c r="D1923" s="10">
        <v>43319.411805555559</v>
      </c>
      <c r="E1923" s="10">
        <v>43322.688101851854</v>
      </c>
      <c r="F1923" s="10">
        <v>43327</v>
      </c>
      <c r="G1923" t="s">
        <v>16</v>
      </c>
      <c r="H1923" t="s">
        <v>138</v>
      </c>
      <c r="I1923" t="s">
        <v>115</v>
      </c>
      <c r="J1923" s="11">
        <v>3</v>
      </c>
      <c r="K1923" s="12">
        <v>245.7</v>
      </c>
      <c r="L1923" s="12">
        <v>50.28</v>
      </c>
      <c r="M1923" s="13">
        <v>5</v>
      </c>
      <c r="N1923" s="13">
        <f t="shared" si="240"/>
        <v>4.1478587962992606</v>
      </c>
      <c r="O1923" s="13">
        <f t="shared" si="241"/>
        <v>0</v>
      </c>
      <c r="P1923" t="str">
        <f t="shared" si="242"/>
        <v>On Time</v>
      </c>
      <c r="Q1923" s="13">
        <f t="shared" si="243"/>
        <v>0.20416666672099382</v>
      </c>
      <c r="R1923" s="13">
        <f t="shared" si="244"/>
        <v>0.86305555555736646</v>
      </c>
      <c r="S1923" s="13">
        <f t="shared" si="245"/>
        <v>3.276296296295186</v>
      </c>
      <c r="T1923" t="str">
        <f t="shared" si="246"/>
        <v>On Time/Early</v>
      </c>
      <c r="U1923" t="str">
        <f t="shared" si="247"/>
        <v>Normal</v>
      </c>
      <c r="V1923" t="s">
        <v>102</v>
      </c>
    </row>
    <row r="1924" spans="1:22">
      <c r="A1924" t="s">
        <v>2695</v>
      </c>
      <c r="B1924" s="10">
        <v>43318.574108796296</v>
      </c>
      <c r="C1924" s="10">
        <v>43319.170300925929</v>
      </c>
      <c r="D1924" s="10">
        <v>43320.625694444447</v>
      </c>
      <c r="E1924" s="10">
        <v>43325.768460648149</v>
      </c>
      <c r="F1924" s="10">
        <v>43329</v>
      </c>
      <c r="G1924" t="s">
        <v>57</v>
      </c>
      <c r="H1924" t="s">
        <v>254</v>
      </c>
      <c r="I1924" t="s">
        <v>118</v>
      </c>
      <c r="J1924" s="11">
        <v>1</v>
      </c>
      <c r="K1924" s="12">
        <v>219</v>
      </c>
      <c r="L1924" s="12">
        <v>18.46</v>
      </c>
      <c r="M1924" s="13">
        <v>3</v>
      </c>
      <c r="N1924" s="13">
        <f t="shared" si="240"/>
        <v>7.1943518518528435</v>
      </c>
      <c r="O1924" s="13">
        <f t="shared" si="241"/>
        <v>0</v>
      </c>
      <c r="P1924" t="str">
        <f t="shared" si="242"/>
        <v>On Time</v>
      </c>
      <c r="Q1924" s="13">
        <f t="shared" si="243"/>
        <v>14.308611111191567</v>
      </c>
      <c r="R1924" s="13">
        <f t="shared" si="244"/>
        <v>1.455393518517667</v>
      </c>
      <c r="S1924" s="13">
        <f t="shared" si="245"/>
        <v>5.1427662037021946</v>
      </c>
      <c r="T1924" t="str">
        <f t="shared" si="246"/>
        <v>On Time/Early</v>
      </c>
      <c r="U1924" t="str">
        <f t="shared" si="247"/>
        <v>Normal</v>
      </c>
      <c r="V1924" t="s">
        <v>102</v>
      </c>
    </row>
    <row r="1925" spans="1:22">
      <c r="A1925" t="s">
        <v>2696</v>
      </c>
      <c r="B1925" s="10">
        <v>43318.825370370374</v>
      </c>
      <c r="C1925" s="10">
        <v>43318.83662037037</v>
      </c>
      <c r="D1925" s="10">
        <v>43322.604861111111</v>
      </c>
      <c r="E1925" s="10">
        <v>43325.8203125</v>
      </c>
      <c r="F1925" s="10">
        <v>43329</v>
      </c>
      <c r="G1925" t="s">
        <v>36</v>
      </c>
      <c r="H1925" t="s">
        <v>864</v>
      </c>
      <c r="I1925" t="s">
        <v>101</v>
      </c>
      <c r="J1925" s="11">
        <v>2</v>
      </c>
      <c r="K1925" s="12">
        <v>139.99</v>
      </c>
      <c r="L1925" s="12">
        <v>36.6</v>
      </c>
      <c r="M1925" s="13">
        <v>4</v>
      </c>
      <c r="N1925" s="13">
        <f t="shared" si="240"/>
        <v>6.994942129625997</v>
      </c>
      <c r="O1925" s="13">
        <f t="shared" si="241"/>
        <v>0</v>
      </c>
      <c r="P1925" t="str">
        <f t="shared" si="242"/>
        <v>On Time</v>
      </c>
      <c r="Q1925" s="13">
        <f t="shared" si="243"/>
        <v>0.26999999990221113</v>
      </c>
      <c r="R1925" s="13">
        <f t="shared" si="244"/>
        <v>3.768240740741021</v>
      </c>
      <c r="S1925" s="13">
        <f t="shared" si="245"/>
        <v>3.2154513888890506</v>
      </c>
      <c r="T1925" t="str">
        <f t="shared" si="246"/>
        <v>On Time/Early</v>
      </c>
      <c r="U1925" t="str">
        <f t="shared" si="247"/>
        <v>Normal</v>
      </c>
      <c r="V1925" t="s">
        <v>102</v>
      </c>
    </row>
    <row r="1926" spans="1:22">
      <c r="A1926" t="s">
        <v>2697</v>
      </c>
      <c r="B1926" s="10">
        <v>43318.941238425927</v>
      </c>
      <c r="C1926" s="10">
        <v>43318.948101851849</v>
      </c>
      <c r="D1926" s="10">
        <v>43322.368750000001</v>
      </c>
      <c r="E1926" s="10">
        <v>43332.790972222225</v>
      </c>
      <c r="F1926" s="10">
        <v>43343</v>
      </c>
      <c r="G1926" t="s">
        <v>30</v>
      </c>
      <c r="H1926" t="s">
        <v>329</v>
      </c>
      <c r="I1926" t="s">
        <v>51</v>
      </c>
      <c r="J1926" s="11">
        <v>1</v>
      </c>
      <c r="K1926" s="12">
        <v>228</v>
      </c>
      <c r="L1926" s="12">
        <v>49.97</v>
      </c>
      <c r="M1926" s="13">
        <v>4</v>
      </c>
      <c r="N1926" s="13">
        <f t="shared" si="240"/>
        <v>13.849733796298096</v>
      </c>
      <c r="O1926" s="13">
        <f t="shared" si="241"/>
        <v>0</v>
      </c>
      <c r="P1926" t="str">
        <f t="shared" si="242"/>
        <v>On Time</v>
      </c>
      <c r="Q1926" s="13">
        <f t="shared" si="243"/>
        <v>0.16472222213633358</v>
      </c>
      <c r="R1926" s="13">
        <f t="shared" si="244"/>
        <v>3.4206481481523952</v>
      </c>
      <c r="S1926" s="13">
        <f t="shared" si="245"/>
        <v>10.422222222223354</v>
      </c>
      <c r="T1926" t="str">
        <f t="shared" si="246"/>
        <v>On Time/Early</v>
      </c>
      <c r="U1926" t="str">
        <f t="shared" si="247"/>
        <v>Normal</v>
      </c>
      <c r="V1926" t="s">
        <v>102</v>
      </c>
    </row>
    <row r="1927" spans="1:22">
      <c r="A1927" t="s">
        <v>2698</v>
      </c>
      <c r="B1927" s="10">
        <v>43319.561284722222</v>
      </c>
      <c r="C1927" s="10">
        <v>43319.573310185187</v>
      </c>
      <c r="D1927" s="10">
        <v>43320.669444444444</v>
      </c>
      <c r="E1927" s="10">
        <v>43324.731041666666</v>
      </c>
      <c r="F1927" s="10">
        <v>43322</v>
      </c>
      <c r="G1927" t="s">
        <v>8</v>
      </c>
      <c r="H1927" t="s">
        <v>140</v>
      </c>
      <c r="I1927" t="s">
        <v>221</v>
      </c>
      <c r="J1927" s="11">
        <v>1</v>
      </c>
      <c r="K1927" s="12">
        <v>189</v>
      </c>
      <c r="L1927" s="12">
        <v>8.58</v>
      </c>
      <c r="M1927" s="13">
        <v>4</v>
      </c>
      <c r="N1927" s="13">
        <f t="shared" si="240"/>
        <v>5.1697569444440887</v>
      </c>
      <c r="O1927" s="13">
        <f t="shared" si="241"/>
        <v>2.7310416666659876</v>
      </c>
      <c r="P1927" t="str">
        <f t="shared" si="242"/>
        <v>Delayed</v>
      </c>
      <c r="Q1927" s="13">
        <f t="shared" si="243"/>
        <v>0.28861111117294058</v>
      </c>
      <c r="R1927" s="13">
        <f t="shared" si="244"/>
        <v>1.0961342592563597</v>
      </c>
      <c r="S1927" s="13">
        <f t="shared" si="245"/>
        <v>4.0615972222221899</v>
      </c>
      <c r="T1927" t="str">
        <f t="shared" si="246"/>
        <v>1-3 Days Late</v>
      </c>
      <c r="U1927" t="str">
        <f t="shared" si="247"/>
        <v>Needs Review</v>
      </c>
      <c r="V1927" t="s">
        <v>102</v>
      </c>
    </row>
    <row r="1928" spans="1:22">
      <c r="A1928" t="s">
        <v>2699</v>
      </c>
      <c r="B1928" s="10">
        <v>43319.806712962964</v>
      </c>
      <c r="C1928" s="10">
        <v>43320.350659722222</v>
      </c>
      <c r="D1928" s="10">
        <v>43321.640972222223</v>
      </c>
      <c r="E1928" s="10">
        <v>43329.813877314817</v>
      </c>
      <c r="F1928" s="10">
        <v>43334</v>
      </c>
      <c r="G1928" t="s">
        <v>8</v>
      </c>
      <c r="H1928" t="s">
        <v>2700</v>
      </c>
      <c r="I1928" t="s">
        <v>185</v>
      </c>
      <c r="J1928" s="11">
        <v>1</v>
      </c>
      <c r="K1928" s="12">
        <v>101.62</v>
      </c>
      <c r="L1928" s="12">
        <v>41.69</v>
      </c>
      <c r="M1928" s="13">
        <v>4</v>
      </c>
      <c r="N1928" s="13">
        <f t="shared" si="240"/>
        <v>10.007164351853135</v>
      </c>
      <c r="O1928" s="13">
        <f t="shared" si="241"/>
        <v>0</v>
      </c>
      <c r="P1928" t="str">
        <f t="shared" si="242"/>
        <v>On Time</v>
      </c>
      <c r="Q1928" s="13">
        <f t="shared" si="243"/>
        <v>13.054722222208511</v>
      </c>
      <c r="R1928" s="13">
        <f t="shared" si="244"/>
        <v>1.2903125000011642</v>
      </c>
      <c r="S1928" s="13">
        <f t="shared" si="245"/>
        <v>8.1729050925932825</v>
      </c>
      <c r="T1928" t="str">
        <f t="shared" si="246"/>
        <v>On Time/Early</v>
      </c>
      <c r="U1928" t="str">
        <f t="shared" si="247"/>
        <v>Normal</v>
      </c>
      <c r="V1928" t="s">
        <v>102</v>
      </c>
    </row>
    <row r="1929" spans="1:22">
      <c r="A1929" t="s">
        <v>2701</v>
      </c>
      <c r="B1929" s="10">
        <v>43319.985509259262</v>
      </c>
      <c r="C1929" s="10">
        <v>43319.993263888886</v>
      </c>
      <c r="D1929" s="10">
        <v>43320.619444444441</v>
      </c>
      <c r="E1929" s="10">
        <v>43325.817916666667</v>
      </c>
      <c r="F1929" s="10">
        <v>43328</v>
      </c>
      <c r="G1929" t="s">
        <v>16</v>
      </c>
      <c r="H1929" t="s">
        <v>138</v>
      </c>
      <c r="I1929" t="s">
        <v>143</v>
      </c>
      <c r="J1929" s="11">
        <v>1</v>
      </c>
      <c r="K1929" s="12">
        <v>164.5</v>
      </c>
      <c r="L1929" s="12">
        <v>16.25</v>
      </c>
      <c r="M1929" s="13">
        <v>5</v>
      </c>
      <c r="N1929" s="13">
        <f t="shared" si="240"/>
        <v>5.8324074074043892</v>
      </c>
      <c r="O1929" s="13">
        <f t="shared" si="241"/>
        <v>0</v>
      </c>
      <c r="P1929" t="str">
        <f t="shared" si="242"/>
        <v>On Time</v>
      </c>
      <c r="Q1929" s="13">
        <f t="shared" si="243"/>
        <v>0.1861111109610647</v>
      </c>
      <c r="R1929" s="13">
        <f t="shared" si="244"/>
        <v>0.62618055555503815</v>
      </c>
      <c r="S1929" s="13">
        <f t="shared" si="245"/>
        <v>5.1984722222259734</v>
      </c>
      <c r="T1929" t="str">
        <f t="shared" si="246"/>
        <v>On Time/Early</v>
      </c>
      <c r="U1929" t="str">
        <f t="shared" si="247"/>
        <v>Normal</v>
      </c>
      <c r="V1929" t="s">
        <v>102</v>
      </c>
    </row>
    <row r="1930" spans="1:22">
      <c r="A1930" t="s">
        <v>2702</v>
      </c>
      <c r="B1930" s="10">
        <v>43320.531631944446</v>
      </c>
      <c r="C1930" s="10">
        <v>43320.54519675926</v>
      </c>
      <c r="D1930" s="10">
        <v>43320.584722222222</v>
      </c>
      <c r="E1930" s="10">
        <v>43322.652013888888</v>
      </c>
      <c r="F1930" s="10">
        <v>43329</v>
      </c>
      <c r="G1930" t="s">
        <v>20</v>
      </c>
      <c r="H1930" t="s">
        <v>190</v>
      </c>
      <c r="I1930" t="s">
        <v>58</v>
      </c>
      <c r="J1930" s="11">
        <v>1</v>
      </c>
      <c r="K1930" s="12">
        <v>84.65</v>
      </c>
      <c r="L1930" s="12">
        <v>13.8</v>
      </c>
      <c r="M1930" s="13">
        <v>5</v>
      </c>
      <c r="N1930" s="13">
        <f t="shared" si="240"/>
        <v>2.1203819444417604</v>
      </c>
      <c r="O1930" s="13">
        <f t="shared" si="241"/>
        <v>0</v>
      </c>
      <c r="P1930" t="str">
        <f t="shared" si="242"/>
        <v>On Time</v>
      </c>
      <c r="Q1930" s="13">
        <f t="shared" si="243"/>
        <v>0.32555555552244186</v>
      </c>
      <c r="R1930" s="13">
        <f t="shared" si="244"/>
        <v>3.9525462962046731E-2</v>
      </c>
      <c r="S1930" s="13">
        <f t="shared" si="245"/>
        <v>2.0672916666662786</v>
      </c>
      <c r="T1930" t="str">
        <f t="shared" si="246"/>
        <v>On Time/Early</v>
      </c>
      <c r="U1930" t="str">
        <f t="shared" si="247"/>
        <v>Normal</v>
      </c>
      <c r="V1930" t="s">
        <v>102</v>
      </c>
    </row>
    <row r="1931" spans="1:22">
      <c r="A1931" t="s">
        <v>2703</v>
      </c>
      <c r="B1931" s="10">
        <v>43320.767928240741</v>
      </c>
      <c r="C1931" s="10">
        <v>43320.77447916667</v>
      </c>
      <c r="D1931" s="10">
        <v>43321.563888888886</v>
      </c>
      <c r="E1931" s="10">
        <v>43322.923171296294</v>
      </c>
      <c r="F1931" s="10">
        <v>43325</v>
      </c>
      <c r="G1931" t="s">
        <v>8</v>
      </c>
      <c r="H1931" t="s">
        <v>225</v>
      </c>
      <c r="I1931" t="s">
        <v>221</v>
      </c>
      <c r="J1931" s="11">
        <v>1</v>
      </c>
      <c r="K1931" s="12">
        <v>29</v>
      </c>
      <c r="L1931" s="12">
        <v>7.46</v>
      </c>
      <c r="M1931" s="13">
        <v>4</v>
      </c>
      <c r="N1931" s="13">
        <f t="shared" si="240"/>
        <v>2.1552430555530009</v>
      </c>
      <c r="O1931" s="13">
        <f t="shared" si="241"/>
        <v>0</v>
      </c>
      <c r="P1931" t="str">
        <f t="shared" si="242"/>
        <v>On Time</v>
      </c>
      <c r="Q1931" s="13">
        <f t="shared" si="243"/>
        <v>0.15722222230397165</v>
      </c>
      <c r="R1931" s="13">
        <f t="shared" si="244"/>
        <v>0.78940972221607808</v>
      </c>
      <c r="S1931" s="13">
        <f t="shared" si="245"/>
        <v>1.3592824074075907</v>
      </c>
      <c r="T1931" t="str">
        <f t="shared" si="246"/>
        <v>On Time/Early</v>
      </c>
      <c r="U1931" t="str">
        <f t="shared" si="247"/>
        <v>Normal</v>
      </c>
      <c r="V1931" t="s">
        <v>102</v>
      </c>
    </row>
    <row r="1932" spans="1:22">
      <c r="A1932" t="s">
        <v>2704</v>
      </c>
      <c r="B1932" s="10">
        <v>43320.776354166665</v>
      </c>
      <c r="C1932" s="10">
        <v>43321.774513888886</v>
      </c>
      <c r="D1932" s="10">
        <v>43322.598611111112</v>
      </c>
      <c r="E1932" s="10">
        <v>43328.72552083333</v>
      </c>
      <c r="F1932" s="10">
        <v>43336</v>
      </c>
      <c r="G1932" t="s">
        <v>110</v>
      </c>
      <c r="H1932" t="s">
        <v>2705</v>
      </c>
      <c r="I1932" t="s">
        <v>24</v>
      </c>
      <c r="J1932" s="11">
        <v>1</v>
      </c>
      <c r="K1932" s="12">
        <v>86</v>
      </c>
      <c r="L1932" s="12">
        <v>15.7</v>
      </c>
      <c r="M1932" s="13">
        <v>5</v>
      </c>
      <c r="N1932" s="13">
        <f t="shared" si="240"/>
        <v>7.9491666666654055</v>
      </c>
      <c r="O1932" s="13">
        <f t="shared" si="241"/>
        <v>0</v>
      </c>
      <c r="P1932" t="str">
        <f t="shared" si="242"/>
        <v>On Time</v>
      </c>
      <c r="Q1932" s="13">
        <f t="shared" si="243"/>
        <v>23.955833333311602</v>
      </c>
      <c r="R1932" s="13">
        <f t="shared" si="244"/>
        <v>0.82409722222655546</v>
      </c>
      <c r="S1932" s="13">
        <f t="shared" si="245"/>
        <v>6.1269097222175333</v>
      </c>
      <c r="T1932" t="str">
        <f t="shared" si="246"/>
        <v>On Time/Early</v>
      </c>
      <c r="U1932" t="str">
        <f t="shared" si="247"/>
        <v>Normal</v>
      </c>
      <c r="V1932" t="s">
        <v>102</v>
      </c>
    </row>
    <row r="1933" spans="1:22">
      <c r="A1933" t="s">
        <v>2706</v>
      </c>
      <c r="B1933" s="10">
        <v>43320.786608796298</v>
      </c>
      <c r="C1933" s="10">
        <v>43320.795254629629</v>
      </c>
      <c r="D1933" s="10">
        <v>43326.627083333333</v>
      </c>
      <c r="E1933" s="10">
        <v>43332.57203703704</v>
      </c>
      <c r="F1933" s="10">
        <v>43363</v>
      </c>
      <c r="G1933" t="s">
        <v>30</v>
      </c>
      <c r="H1933" t="s">
        <v>365</v>
      </c>
      <c r="I1933" t="s">
        <v>101</v>
      </c>
      <c r="J1933" s="11">
        <v>2</v>
      </c>
      <c r="K1933" s="12">
        <v>450</v>
      </c>
      <c r="L1933" s="12">
        <v>40</v>
      </c>
      <c r="M1933" s="13">
        <v>4</v>
      </c>
      <c r="N1933" s="13">
        <f t="shared" si="240"/>
        <v>11.785428240742476</v>
      </c>
      <c r="O1933" s="13">
        <f t="shared" si="241"/>
        <v>0</v>
      </c>
      <c r="P1933" t="str">
        <f t="shared" si="242"/>
        <v>On Time</v>
      </c>
      <c r="Q1933" s="13">
        <f t="shared" si="243"/>
        <v>0.20749999996041879</v>
      </c>
      <c r="R1933" s="13">
        <f t="shared" si="244"/>
        <v>5.8318287037036498</v>
      </c>
      <c r="S1933" s="13">
        <f t="shared" si="245"/>
        <v>5.9449537037071423</v>
      </c>
      <c r="T1933" t="str">
        <f t="shared" si="246"/>
        <v>On Time/Early</v>
      </c>
      <c r="U1933" t="str">
        <f t="shared" si="247"/>
        <v>Normal</v>
      </c>
      <c r="V1933" t="s">
        <v>102</v>
      </c>
    </row>
    <row r="1934" spans="1:22">
      <c r="A1934" t="s">
        <v>2707</v>
      </c>
      <c r="B1934" s="10">
        <v>43320.838449074072</v>
      </c>
      <c r="C1934" s="10">
        <v>43321.427314814813</v>
      </c>
      <c r="D1934" s="10">
        <v>43321.672222222223</v>
      </c>
      <c r="E1934" s="10">
        <v>43328.540879629632</v>
      </c>
      <c r="F1934" s="10">
        <v>43339</v>
      </c>
      <c r="G1934" t="s">
        <v>110</v>
      </c>
      <c r="H1934" t="s">
        <v>2708</v>
      </c>
      <c r="I1934" t="s">
        <v>58</v>
      </c>
      <c r="J1934" s="11">
        <v>1</v>
      </c>
      <c r="K1934" s="12">
        <v>89.9</v>
      </c>
      <c r="L1934" s="12">
        <v>57.4</v>
      </c>
      <c r="M1934" s="13">
        <v>5</v>
      </c>
      <c r="N1934" s="13">
        <f t="shared" si="240"/>
        <v>7.7024305555605679</v>
      </c>
      <c r="O1934" s="13">
        <f t="shared" si="241"/>
        <v>0</v>
      </c>
      <c r="P1934" t="str">
        <f t="shared" si="242"/>
        <v>On Time</v>
      </c>
      <c r="Q1934" s="13">
        <f t="shared" si="243"/>
        <v>14.132777777791489</v>
      </c>
      <c r="R1934" s="13">
        <f t="shared" si="244"/>
        <v>0.24490740741021</v>
      </c>
      <c r="S1934" s="13">
        <f t="shared" si="245"/>
        <v>6.8686574074090458</v>
      </c>
      <c r="T1934" t="str">
        <f t="shared" si="246"/>
        <v>On Time/Early</v>
      </c>
      <c r="U1934" t="str">
        <f t="shared" si="247"/>
        <v>Normal</v>
      </c>
      <c r="V1934" t="s">
        <v>102</v>
      </c>
    </row>
    <row r="1935" spans="1:22">
      <c r="A1935" t="s">
        <v>2709</v>
      </c>
      <c r="B1935" s="10">
        <v>43320.872812499998</v>
      </c>
      <c r="C1935" s="10">
        <v>43320.882187499999</v>
      </c>
      <c r="D1935" s="10">
        <v>43322.6</v>
      </c>
      <c r="E1935" s="10">
        <v>43325.686597222222</v>
      </c>
      <c r="F1935" s="10">
        <v>43333</v>
      </c>
      <c r="G1935" t="s">
        <v>8</v>
      </c>
      <c r="H1935" t="s">
        <v>140</v>
      </c>
      <c r="I1935" t="s">
        <v>31</v>
      </c>
      <c r="J1935" s="11">
        <v>1</v>
      </c>
      <c r="K1935" s="12">
        <v>26</v>
      </c>
      <c r="L1935" s="12">
        <v>18.28</v>
      </c>
      <c r="M1935" s="13">
        <v>5</v>
      </c>
      <c r="N1935" s="13">
        <f t="shared" si="240"/>
        <v>4.8137847222242272</v>
      </c>
      <c r="O1935" s="13">
        <f t="shared" si="241"/>
        <v>0</v>
      </c>
      <c r="P1935" t="str">
        <f t="shared" si="242"/>
        <v>On Time</v>
      </c>
      <c r="Q1935" s="13">
        <f t="shared" si="243"/>
        <v>0.2250000000349246</v>
      </c>
      <c r="R1935" s="13">
        <f t="shared" si="244"/>
        <v>1.7178124999991269</v>
      </c>
      <c r="S1935" s="13">
        <f t="shared" si="245"/>
        <v>3.0865972222236451</v>
      </c>
      <c r="T1935" t="str">
        <f t="shared" si="246"/>
        <v>On Time/Early</v>
      </c>
      <c r="U1935" t="str">
        <f t="shared" si="247"/>
        <v>Normal</v>
      </c>
      <c r="V1935" t="s">
        <v>102</v>
      </c>
    </row>
    <row r="1936" spans="1:22">
      <c r="A1936" t="s">
        <v>2710</v>
      </c>
      <c r="B1936" s="10">
        <v>43321.422476851854</v>
      </c>
      <c r="C1936" s="10">
        <v>43322.684120370373</v>
      </c>
      <c r="D1936" s="10">
        <v>43325.738194444442</v>
      </c>
      <c r="E1936" s="10">
        <v>43329.929062499999</v>
      </c>
      <c r="F1936" s="10">
        <v>43335</v>
      </c>
      <c r="G1936" t="s">
        <v>8</v>
      </c>
      <c r="H1936" t="s">
        <v>2711</v>
      </c>
      <c r="I1936" t="s">
        <v>136</v>
      </c>
      <c r="J1936" s="11">
        <v>1</v>
      </c>
      <c r="K1936" s="12">
        <v>152</v>
      </c>
      <c r="L1936" s="12">
        <v>15.37</v>
      </c>
      <c r="M1936" s="13">
        <v>4</v>
      </c>
      <c r="N1936" s="13">
        <f t="shared" si="240"/>
        <v>8.5065856481451192</v>
      </c>
      <c r="O1936" s="13">
        <f t="shared" si="241"/>
        <v>0</v>
      </c>
      <c r="P1936" t="str">
        <f t="shared" si="242"/>
        <v>On Time</v>
      </c>
      <c r="Q1936" s="13">
        <f t="shared" si="243"/>
        <v>30.279444444458932</v>
      </c>
      <c r="R1936" s="13">
        <f t="shared" si="244"/>
        <v>3.0540740740689216</v>
      </c>
      <c r="S1936" s="13">
        <f t="shared" si="245"/>
        <v>4.1908680555570754</v>
      </c>
      <c r="T1936" t="str">
        <f t="shared" si="246"/>
        <v>On Time/Early</v>
      </c>
      <c r="U1936" t="str">
        <f t="shared" si="247"/>
        <v>Normal</v>
      </c>
      <c r="V1936" t="s">
        <v>102</v>
      </c>
    </row>
    <row r="1937" spans="1:22">
      <c r="A1937" t="s">
        <v>2712</v>
      </c>
      <c r="B1937" s="10">
        <v>43321.495833333334</v>
      </c>
      <c r="C1937" s="10">
        <v>43321.632094907407</v>
      </c>
      <c r="D1937" s="10">
        <v>43321.668749999997</v>
      </c>
      <c r="E1937" s="10">
        <v>43325.644826388889</v>
      </c>
      <c r="F1937" s="10">
        <v>43332</v>
      </c>
      <c r="G1937" t="s">
        <v>8</v>
      </c>
      <c r="H1937" t="s">
        <v>161</v>
      </c>
      <c r="I1937" t="s">
        <v>368</v>
      </c>
      <c r="J1937" s="11">
        <v>1</v>
      </c>
      <c r="K1937" s="12">
        <v>59.9</v>
      </c>
      <c r="L1937" s="12">
        <v>15.52</v>
      </c>
      <c r="M1937" s="13">
        <v>5</v>
      </c>
      <c r="N1937" s="13">
        <f t="shared" si="240"/>
        <v>4.1489930555544561</v>
      </c>
      <c r="O1937" s="13">
        <f t="shared" si="241"/>
        <v>0</v>
      </c>
      <c r="P1937" t="str">
        <f t="shared" si="242"/>
        <v>On Time</v>
      </c>
      <c r="Q1937" s="13">
        <f t="shared" si="243"/>
        <v>3.2702777777449228</v>
      </c>
      <c r="R1937" s="13">
        <f t="shared" si="244"/>
        <v>3.665509259008104E-2</v>
      </c>
      <c r="S1937" s="13">
        <f t="shared" si="245"/>
        <v>3.9760763888916699</v>
      </c>
      <c r="T1937" t="str">
        <f t="shared" si="246"/>
        <v>On Time/Early</v>
      </c>
      <c r="U1937" t="str">
        <f t="shared" si="247"/>
        <v>Normal</v>
      </c>
      <c r="V1937" t="s">
        <v>102</v>
      </c>
    </row>
    <row r="1938" spans="1:22">
      <c r="A1938" t="s">
        <v>2713</v>
      </c>
      <c r="B1938" s="10">
        <v>43321.603402777779</v>
      </c>
      <c r="C1938" s="10">
        <v>43321.628865740742</v>
      </c>
      <c r="D1938" s="10">
        <v>43322.581944444442</v>
      </c>
      <c r="E1938" s="10">
        <v>43327.817627314813</v>
      </c>
      <c r="F1938" s="10">
        <v>43335</v>
      </c>
      <c r="G1938" t="s">
        <v>320</v>
      </c>
      <c r="H1938" t="s">
        <v>321</v>
      </c>
      <c r="I1938" t="s">
        <v>120</v>
      </c>
      <c r="J1938" s="11">
        <v>1</v>
      </c>
      <c r="K1938" s="12">
        <v>74.989999999999995</v>
      </c>
      <c r="L1938" s="12">
        <v>15.63</v>
      </c>
      <c r="M1938" s="13">
        <v>5</v>
      </c>
      <c r="N1938" s="13">
        <f t="shared" si="240"/>
        <v>6.2142245370341698</v>
      </c>
      <c r="O1938" s="13">
        <f t="shared" si="241"/>
        <v>0</v>
      </c>
      <c r="P1938" t="str">
        <f t="shared" si="242"/>
        <v>On Time</v>
      </c>
      <c r="Q1938" s="13">
        <f t="shared" si="243"/>
        <v>0.61111111112404615</v>
      </c>
      <c r="R1938" s="13">
        <f t="shared" si="244"/>
        <v>0.95307870370015735</v>
      </c>
      <c r="S1938" s="13">
        <f t="shared" si="245"/>
        <v>5.2356828703705105</v>
      </c>
      <c r="T1938" t="str">
        <f t="shared" si="246"/>
        <v>On Time/Early</v>
      </c>
      <c r="U1938" t="str">
        <f t="shared" si="247"/>
        <v>Normal</v>
      </c>
      <c r="V1938" t="s">
        <v>102</v>
      </c>
    </row>
    <row r="1939" spans="1:22">
      <c r="A1939" t="s">
        <v>2714</v>
      </c>
      <c r="B1939" s="10">
        <v>43321.659930555557</v>
      </c>
      <c r="C1939" s="10">
        <v>43321.725891203707</v>
      </c>
      <c r="D1939" s="10">
        <v>43322.587500000001</v>
      </c>
      <c r="E1939" s="10">
        <v>43330.529085648152</v>
      </c>
      <c r="F1939" s="10">
        <v>43348</v>
      </c>
      <c r="G1939" t="s">
        <v>8</v>
      </c>
      <c r="H1939" t="s">
        <v>140</v>
      </c>
      <c r="I1939" t="s">
        <v>58</v>
      </c>
      <c r="J1939" s="11">
        <v>1</v>
      </c>
      <c r="K1939" s="12">
        <v>66.989999999999995</v>
      </c>
      <c r="L1939" s="12">
        <v>27.75</v>
      </c>
      <c r="M1939" s="13">
        <v>5</v>
      </c>
      <c r="N1939" s="13">
        <f t="shared" si="240"/>
        <v>8.8691550925941556</v>
      </c>
      <c r="O1939" s="13">
        <f t="shared" si="241"/>
        <v>0</v>
      </c>
      <c r="P1939" t="str">
        <f t="shared" si="242"/>
        <v>On Time</v>
      </c>
      <c r="Q1939" s="13">
        <f t="shared" si="243"/>
        <v>1.5830555555876344</v>
      </c>
      <c r="R1939" s="13">
        <f t="shared" si="244"/>
        <v>0.86160879629460396</v>
      </c>
      <c r="S1939" s="13">
        <f t="shared" si="245"/>
        <v>7.9415856481500668</v>
      </c>
      <c r="T1939" t="str">
        <f t="shared" si="246"/>
        <v>On Time/Early</v>
      </c>
      <c r="U1939" t="str">
        <f t="shared" si="247"/>
        <v>Normal</v>
      </c>
      <c r="V1939" t="s">
        <v>102</v>
      </c>
    </row>
    <row r="1940" spans="1:22">
      <c r="A1940" t="s">
        <v>2715</v>
      </c>
      <c r="B1940" s="10">
        <v>43321.737141203703</v>
      </c>
      <c r="C1940" s="10">
        <v>43321.746759259258</v>
      </c>
      <c r="D1940" s="10">
        <v>43327.595833333333</v>
      </c>
      <c r="E1940" s="10">
        <v>43329.662870370368</v>
      </c>
      <c r="F1940" s="10">
        <v>43334</v>
      </c>
      <c r="G1940" t="s">
        <v>8</v>
      </c>
      <c r="H1940" t="s">
        <v>140</v>
      </c>
      <c r="I1940" t="s">
        <v>58</v>
      </c>
      <c r="J1940" s="11">
        <v>1</v>
      </c>
      <c r="K1940" s="12">
        <v>49.98</v>
      </c>
      <c r="L1940" s="12">
        <v>7.61</v>
      </c>
      <c r="M1940" s="13">
        <v>5</v>
      </c>
      <c r="N1940" s="13">
        <f t="shared" si="240"/>
        <v>7.9257291666654055</v>
      </c>
      <c r="O1940" s="13">
        <f t="shared" si="241"/>
        <v>0</v>
      </c>
      <c r="P1940" t="str">
        <f t="shared" si="242"/>
        <v>On Time</v>
      </c>
      <c r="Q1940" s="13">
        <f t="shared" si="243"/>
        <v>0.23083333333488554</v>
      </c>
      <c r="R1940" s="13">
        <f t="shared" si="244"/>
        <v>5.8490740740744513</v>
      </c>
      <c r="S1940" s="13">
        <f t="shared" si="245"/>
        <v>2.0670370370353339</v>
      </c>
      <c r="T1940" t="str">
        <f t="shared" si="246"/>
        <v>On Time/Early</v>
      </c>
      <c r="U1940" t="str">
        <f t="shared" si="247"/>
        <v>Normal</v>
      </c>
      <c r="V1940" t="s">
        <v>102</v>
      </c>
    </row>
    <row r="1941" spans="1:22">
      <c r="A1941" t="s">
        <v>2716</v>
      </c>
      <c r="B1941" s="10">
        <v>43321.806342592594</v>
      </c>
      <c r="C1941" s="10">
        <v>43321.816122685188</v>
      </c>
      <c r="D1941" s="10">
        <v>43322.540972222225</v>
      </c>
      <c r="E1941" s="10">
        <v>43332.932592592595</v>
      </c>
      <c r="F1941" s="10">
        <v>43342</v>
      </c>
      <c r="G1941" t="s">
        <v>110</v>
      </c>
      <c r="H1941" t="s">
        <v>111</v>
      </c>
      <c r="I1941" t="s">
        <v>115</v>
      </c>
      <c r="J1941" s="11">
        <v>1</v>
      </c>
      <c r="K1941" s="12">
        <v>138.99</v>
      </c>
      <c r="L1941" s="12">
        <v>22.9</v>
      </c>
      <c r="M1941" s="13">
        <v>5</v>
      </c>
      <c r="N1941" s="13">
        <f t="shared" si="240"/>
        <v>11.126250000001164</v>
      </c>
      <c r="O1941" s="13">
        <f t="shared" si="241"/>
        <v>0</v>
      </c>
      <c r="P1941" t="str">
        <f t="shared" si="242"/>
        <v>On Time</v>
      </c>
      <c r="Q1941" s="13">
        <f t="shared" si="243"/>
        <v>0.23472222225973383</v>
      </c>
      <c r="R1941" s="13">
        <f t="shared" si="244"/>
        <v>0.72484953703678912</v>
      </c>
      <c r="S1941" s="13">
        <f t="shared" si="245"/>
        <v>10.391620370370219</v>
      </c>
      <c r="T1941" t="str">
        <f t="shared" si="246"/>
        <v>On Time/Early</v>
      </c>
      <c r="U1941" t="str">
        <f t="shared" si="247"/>
        <v>Normal</v>
      </c>
      <c r="V1941" t="s">
        <v>102</v>
      </c>
    </row>
    <row r="1942" spans="1:22">
      <c r="A1942" t="s">
        <v>2717</v>
      </c>
      <c r="B1942" s="10">
        <v>43321.820243055554</v>
      </c>
      <c r="C1942" s="10">
        <v>43321.830011574071</v>
      </c>
      <c r="D1942" s="10">
        <v>43322.525694444441</v>
      </c>
      <c r="E1942" s="10">
        <v>43325.707291666666</v>
      </c>
      <c r="F1942" s="10">
        <v>43326</v>
      </c>
      <c r="G1942" t="s">
        <v>8</v>
      </c>
      <c r="H1942" t="s">
        <v>140</v>
      </c>
      <c r="I1942" t="s">
        <v>17</v>
      </c>
      <c r="J1942" s="11">
        <v>1</v>
      </c>
      <c r="K1942" s="12">
        <v>25</v>
      </c>
      <c r="L1942" s="12">
        <v>8.34</v>
      </c>
      <c r="M1942" s="13">
        <v>5</v>
      </c>
      <c r="N1942" s="13">
        <f t="shared" si="240"/>
        <v>3.8870486111118225</v>
      </c>
      <c r="O1942" s="13">
        <f t="shared" si="241"/>
        <v>0</v>
      </c>
      <c r="P1942" t="str">
        <f t="shared" si="242"/>
        <v>On Time</v>
      </c>
      <c r="Q1942" s="13">
        <f t="shared" si="243"/>
        <v>0.23444444441702217</v>
      </c>
      <c r="R1942" s="13">
        <f t="shared" si="244"/>
        <v>0.69568287036963739</v>
      </c>
      <c r="S1942" s="13">
        <f t="shared" si="245"/>
        <v>3.1815972222248092</v>
      </c>
      <c r="T1942" t="str">
        <f t="shared" si="246"/>
        <v>On Time/Early</v>
      </c>
      <c r="U1942" t="str">
        <f t="shared" si="247"/>
        <v>Normal</v>
      </c>
      <c r="V1942" t="s">
        <v>102</v>
      </c>
    </row>
    <row r="1943" spans="1:22">
      <c r="A1943" t="s">
        <v>2718</v>
      </c>
      <c r="B1943" s="10">
        <v>43322.012488425928</v>
      </c>
      <c r="C1943" s="10">
        <v>43322.021018518521</v>
      </c>
      <c r="D1943" s="10">
        <v>43346.538888888892</v>
      </c>
      <c r="E1943" s="10">
        <v>43355.844189814816</v>
      </c>
      <c r="F1943" s="10">
        <v>43340</v>
      </c>
      <c r="G1943" t="s">
        <v>30</v>
      </c>
      <c r="H1943" t="s">
        <v>729</v>
      </c>
      <c r="I1943" t="s">
        <v>1137</v>
      </c>
      <c r="J1943" s="11">
        <v>1</v>
      </c>
      <c r="K1943" s="12">
        <v>2350</v>
      </c>
      <c r="L1943" s="12">
        <v>105.12</v>
      </c>
      <c r="M1943" s="13">
        <v>1</v>
      </c>
      <c r="N1943" s="13">
        <f t="shared" si="240"/>
        <v>33.831701388888177</v>
      </c>
      <c r="O1943" s="13">
        <f t="shared" si="241"/>
        <v>15.844189814815763</v>
      </c>
      <c r="P1943" t="str">
        <f t="shared" si="242"/>
        <v>Delayed</v>
      </c>
      <c r="Q1943" s="13">
        <f t="shared" si="243"/>
        <v>0.20472222223179415</v>
      </c>
      <c r="R1943" s="13">
        <f t="shared" si="244"/>
        <v>24.517870370371384</v>
      </c>
      <c r="S1943" s="13">
        <f t="shared" si="245"/>
        <v>9.3053009259238024</v>
      </c>
      <c r="T1943" t="str">
        <f t="shared" si="246"/>
        <v>8+ Days Late</v>
      </c>
      <c r="U1943" t="str">
        <f t="shared" si="247"/>
        <v>Needs Review</v>
      </c>
      <c r="V1943" t="s">
        <v>102</v>
      </c>
    </row>
    <row r="1944" spans="1:22">
      <c r="A1944" t="s">
        <v>2719</v>
      </c>
      <c r="B1944" s="10">
        <v>43322.459814814814</v>
      </c>
      <c r="C1944" s="10">
        <v>43322.465486111112</v>
      </c>
      <c r="D1944" s="10">
        <v>43322.629166666666</v>
      </c>
      <c r="E1944" s="10">
        <v>43335.973449074074</v>
      </c>
      <c r="F1944" s="10">
        <v>43356</v>
      </c>
      <c r="G1944" t="s">
        <v>110</v>
      </c>
      <c r="H1944" t="s">
        <v>1600</v>
      </c>
      <c r="I1944" t="s">
        <v>963</v>
      </c>
      <c r="J1944" s="11">
        <v>1</v>
      </c>
      <c r="K1944" s="12">
        <v>210</v>
      </c>
      <c r="L1944" s="12">
        <v>19.57</v>
      </c>
      <c r="M1944" s="13">
        <v>5</v>
      </c>
      <c r="N1944" s="13">
        <f t="shared" si="240"/>
        <v>13.513634259259561</v>
      </c>
      <c r="O1944" s="13">
        <f t="shared" si="241"/>
        <v>0</v>
      </c>
      <c r="P1944" t="str">
        <f t="shared" si="242"/>
        <v>On Time</v>
      </c>
      <c r="Q1944" s="13">
        <f t="shared" si="243"/>
        <v>0.13611111114732921</v>
      </c>
      <c r="R1944" s="13">
        <f t="shared" si="244"/>
        <v>0.16368055555358296</v>
      </c>
      <c r="S1944" s="13">
        <f t="shared" si="245"/>
        <v>13.344282407408173</v>
      </c>
      <c r="T1944" t="str">
        <f t="shared" si="246"/>
        <v>On Time/Early</v>
      </c>
      <c r="U1944" t="str">
        <f t="shared" si="247"/>
        <v>Normal</v>
      </c>
      <c r="V1944" t="s">
        <v>102</v>
      </c>
    </row>
    <row r="1945" spans="1:22">
      <c r="A1945" t="s">
        <v>2720</v>
      </c>
      <c r="B1945" s="10">
        <v>43322.558738425927</v>
      </c>
      <c r="C1945" s="10">
        <v>43322.56621527778</v>
      </c>
      <c r="D1945" s="10">
        <v>43325.613194444442</v>
      </c>
      <c r="E1945" s="10">
        <v>43329.898379629631</v>
      </c>
      <c r="F1945" s="10">
        <v>43339</v>
      </c>
      <c r="G1945" t="s">
        <v>30</v>
      </c>
      <c r="H1945" t="s">
        <v>2721</v>
      </c>
      <c r="I1945" t="s">
        <v>141</v>
      </c>
      <c r="J1945" s="11">
        <v>1</v>
      </c>
      <c r="K1945" s="12">
        <v>58.9</v>
      </c>
      <c r="L1945" s="12">
        <v>19.600000000000001</v>
      </c>
      <c r="M1945" s="13">
        <v>5</v>
      </c>
      <c r="N1945" s="13">
        <f t="shared" si="240"/>
        <v>7.3396412037036498</v>
      </c>
      <c r="O1945" s="13">
        <f t="shared" si="241"/>
        <v>0</v>
      </c>
      <c r="P1945" t="str">
        <f t="shared" si="242"/>
        <v>On Time</v>
      </c>
      <c r="Q1945" s="13">
        <f t="shared" si="243"/>
        <v>0.17944444448221475</v>
      </c>
      <c r="R1945" s="13">
        <f t="shared" si="244"/>
        <v>3.046979166661913</v>
      </c>
      <c r="S1945" s="13">
        <f t="shared" si="245"/>
        <v>4.2851851851883112</v>
      </c>
      <c r="T1945" t="str">
        <f t="shared" si="246"/>
        <v>On Time/Early</v>
      </c>
      <c r="U1945" t="str">
        <f t="shared" si="247"/>
        <v>Normal</v>
      </c>
      <c r="V1945" t="s">
        <v>102</v>
      </c>
    </row>
    <row r="1946" spans="1:22">
      <c r="A1946" t="s">
        <v>2722</v>
      </c>
      <c r="B1946" s="10">
        <v>43322.566851851851</v>
      </c>
      <c r="C1946" s="10">
        <v>43322.576539351852</v>
      </c>
      <c r="D1946" s="10">
        <v>43322.683333333334</v>
      </c>
      <c r="E1946" s="10">
        <v>43325.619328703702</v>
      </c>
      <c r="F1946" s="10">
        <v>43328</v>
      </c>
      <c r="G1946" t="s">
        <v>8</v>
      </c>
      <c r="H1946" t="s">
        <v>696</v>
      </c>
      <c r="I1946" t="s">
        <v>24</v>
      </c>
      <c r="J1946" s="11">
        <v>1</v>
      </c>
      <c r="K1946" s="12">
        <v>82</v>
      </c>
      <c r="L1946" s="12">
        <v>8.73</v>
      </c>
      <c r="M1946" s="13">
        <v>1</v>
      </c>
      <c r="N1946" s="13">
        <f t="shared" si="240"/>
        <v>3.0524768518516794</v>
      </c>
      <c r="O1946" s="13">
        <f t="shared" si="241"/>
        <v>0</v>
      </c>
      <c r="P1946" t="str">
        <f t="shared" si="242"/>
        <v>On Time</v>
      </c>
      <c r="Q1946" s="13">
        <f t="shared" si="243"/>
        <v>0.23250000004190952</v>
      </c>
      <c r="R1946" s="13">
        <f t="shared" si="244"/>
        <v>0.106793981482042</v>
      </c>
      <c r="S1946" s="13">
        <f t="shared" si="245"/>
        <v>2.9359953703678912</v>
      </c>
      <c r="T1946" t="str">
        <f t="shared" si="246"/>
        <v>On Time/Early</v>
      </c>
      <c r="U1946" t="str">
        <f t="shared" si="247"/>
        <v>Normal</v>
      </c>
      <c r="V1946" t="s">
        <v>102</v>
      </c>
    </row>
    <row r="1947" spans="1:22">
      <c r="A1947" t="s">
        <v>2723</v>
      </c>
      <c r="B1947" s="10">
        <v>43322.572199074071</v>
      </c>
      <c r="C1947" s="10">
        <v>43322.580092592594</v>
      </c>
      <c r="D1947" s="10">
        <v>43322.581944444442</v>
      </c>
      <c r="E1947" s="10">
        <v>43327.61990740741</v>
      </c>
      <c r="F1947" s="10">
        <v>43332</v>
      </c>
      <c r="G1947" t="s">
        <v>8</v>
      </c>
      <c r="H1947" t="s">
        <v>620</v>
      </c>
      <c r="I1947" t="s">
        <v>177</v>
      </c>
      <c r="J1947" s="11">
        <v>1</v>
      </c>
      <c r="K1947" s="12">
        <v>49</v>
      </c>
      <c r="L1947" s="12">
        <v>13</v>
      </c>
      <c r="M1947" s="13">
        <v>5</v>
      </c>
      <c r="N1947" s="13">
        <f t="shared" si="240"/>
        <v>5.0477083333389601</v>
      </c>
      <c r="O1947" s="13">
        <f t="shared" si="241"/>
        <v>0</v>
      </c>
      <c r="P1947" t="str">
        <f t="shared" si="242"/>
        <v>On Time</v>
      </c>
      <c r="Q1947" s="13">
        <f t="shared" si="243"/>
        <v>0.18944444454973564</v>
      </c>
      <c r="R1947" s="13">
        <f t="shared" si="244"/>
        <v>1.8518518481869251E-3</v>
      </c>
      <c r="S1947" s="13">
        <f t="shared" si="245"/>
        <v>5.0379629629678675</v>
      </c>
      <c r="T1947" t="str">
        <f t="shared" si="246"/>
        <v>On Time/Early</v>
      </c>
      <c r="U1947" t="str">
        <f t="shared" si="247"/>
        <v>Normal</v>
      </c>
      <c r="V1947" t="s">
        <v>102</v>
      </c>
    </row>
    <row r="1948" spans="1:22">
      <c r="A1948" t="s">
        <v>2724</v>
      </c>
      <c r="B1948" s="10">
        <v>43322.711712962962</v>
      </c>
      <c r="C1948" s="10">
        <v>43323.107789351852</v>
      </c>
      <c r="D1948" s="10">
        <v>43325.513888888891</v>
      </c>
      <c r="E1948" s="10">
        <v>43328.686759259261</v>
      </c>
      <c r="F1948" s="10">
        <v>43332</v>
      </c>
      <c r="G1948" t="s">
        <v>36</v>
      </c>
      <c r="H1948" t="s">
        <v>467</v>
      </c>
      <c r="I1948" t="s">
        <v>221</v>
      </c>
      <c r="J1948" s="11">
        <v>1</v>
      </c>
      <c r="K1948" s="12">
        <v>49</v>
      </c>
      <c r="L1948" s="12">
        <v>15.44</v>
      </c>
      <c r="M1948" s="13">
        <v>5</v>
      </c>
      <c r="N1948" s="13">
        <f t="shared" si="240"/>
        <v>5.9750462962983875</v>
      </c>
      <c r="O1948" s="13">
        <f t="shared" si="241"/>
        <v>0</v>
      </c>
      <c r="P1948" t="str">
        <f t="shared" si="242"/>
        <v>On Time</v>
      </c>
      <c r="Q1948" s="13">
        <f t="shared" si="243"/>
        <v>9.5058333333581686</v>
      </c>
      <c r="R1948" s="13">
        <f t="shared" si="244"/>
        <v>2.4060995370382443</v>
      </c>
      <c r="S1948" s="13">
        <f t="shared" si="245"/>
        <v>3.1728703703702195</v>
      </c>
      <c r="T1948" t="str">
        <f t="shared" si="246"/>
        <v>On Time/Early</v>
      </c>
      <c r="U1948" t="str">
        <f t="shared" si="247"/>
        <v>Normal</v>
      </c>
      <c r="V1948" t="s">
        <v>102</v>
      </c>
    </row>
    <row r="1949" spans="1:22">
      <c r="A1949" t="s">
        <v>2725</v>
      </c>
      <c r="B1949" s="10">
        <v>43323.780798611115</v>
      </c>
      <c r="C1949" s="10">
        <v>43323.788356481484</v>
      </c>
      <c r="D1949" s="10">
        <v>43325.675694444442</v>
      </c>
      <c r="E1949" s="10">
        <v>43327.012800925928</v>
      </c>
      <c r="F1949" s="10">
        <v>43334</v>
      </c>
      <c r="G1949" t="s">
        <v>8</v>
      </c>
      <c r="H1949" t="s">
        <v>1466</v>
      </c>
      <c r="I1949" t="s">
        <v>118</v>
      </c>
      <c r="J1949" s="11">
        <v>2</v>
      </c>
      <c r="K1949" s="12">
        <v>59.89</v>
      </c>
      <c r="L1949" s="12">
        <v>14.93</v>
      </c>
      <c r="M1949" s="13">
        <v>1</v>
      </c>
      <c r="N1949" s="13">
        <f t="shared" si="240"/>
        <v>3.232002314813144</v>
      </c>
      <c r="O1949" s="13">
        <f t="shared" si="241"/>
        <v>0</v>
      </c>
      <c r="P1949" t="str">
        <f t="shared" si="242"/>
        <v>On Time</v>
      </c>
      <c r="Q1949" s="13">
        <f t="shared" si="243"/>
        <v>0.1813888888573274</v>
      </c>
      <c r="R1949" s="13">
        <f t="shared" si="244"/>
        <v>1.8873379629585543</v>
      </c>
      <c r="S1949" s="13">
        <f t="shared" si="245"/>
        <v>1.3371064814855345</v>
      </c>
      <c r="T1949" t="str">
        <f t="shared" si="246"/>
        <v>On Time/Early</v>
      </c>
      <c r="U1949" t="str">
        <f t="shared" si="247"/>
        <v>Normal</v>
      </c>
      <c r="V1949" t="s">
        <v>102</v>
      </c>
    </row>
    <row r="1950" spans="1:22">
      <c r="A1950" t="s">
        <v>2726</v>
      </c>
      <c r="B1950" s="10">
        <v>43324.577835648146</v>
      </c>
      <c r="C1950" s="10">
        <v>43326.183668981481</v>
      </c>
      <c r="D1950" s="10">
        <v>43326.648611111108</v>
      </c>
      <c r="E1950" s="10">
        <v>43329.931215277778</v>
      </c>
      <c r="F1950" s="10">
        <v>43336</v>
      </c>
      <c r="G1950" t="s">
        <v>16</v>
      </c>
      <c r="H1950" t="s">
        <v>852</v>
      </c>
      <c r="I1950" t="s">
        <v>115</v>
      </c>
      <c r="J1950" s="11">
        <v>1</v>
      </c>
      <c r="K1950" s="12">
        <v>16.899999999999999</v>
      </c>
      <c r="L1950" s="12">
        <v>15.23</v>
      </c>
      <c r="M1950" s="13">
        <v>4</v>
      </c>
      <c r="N1950" s="13">
        <f t="shared" si="240"/>
        <v>5.3533796296323999</v>
      </c>
      <c r="O1950" s="13">
        <f t="shared" si="241"/>
        <v>0</v>
      </c>
      <c r="P1950" t="str">
        <f t="shared" si="242"/>
        <v>On Time</v>
      </c>
      <c r="Q1950" s="13">
        <f t="shared" si="243"/>
        <v>38.540000000037253</v>
      </c>
      <c r="R1950" s="13">
        <f t="shared" si="244"/>
        <v>0.46494212962716119</v>
      </c>
      <c r="S1950" s="13">
        <f t="shared" si="245"/>
        <v>3.2826041666703532</v>
      </c>
      <c r="T1950" t="str">
        <f t="shared" si="246"/>
        <v>On Time/Early</v>
      </c>
      <c r="U1950" t="str">
        <f t="shared" si="247"/>
        <v>Normal</v>
      </c>
      <c r="V1950" t="s">
        <v>102</v>
      </c>
    </row>
    <row r="1951" spans="1:22">
      <c r="A1951" t="s">
        <v>2727</v>
      </c>
      <c r="B1951" s="10">
        <v>43324.75277777778</v>
      </c>
      <c r="C1951" s="10">
        <v>43324.766886574071</v>
      </c>
      <c r="D1951" s="10">
        <v>43325.722222222219</v>
      </c>
      <c r="E1951" s="10">
        <v>43333.736909722225</v>
      </c>
      <c r="F1951" s="10">
        <v>43339</v>
      </c>
      <c r="G1951" t="s">
        <v>36</v>
      </c>
      <c r="H1951" t="s">
        <v>1685</v>
      </c>
      <c r="I1951" t="s">
        <v>115</v>
      </c>
      <c r="J1951" s="11">
        <v>1</v>
      </c>
      <c r="K1951" s="12">
        <v>16.899999999999999</v>
      </c>
      <c r="L1951" s="12">
        <v>22.06</v>
      </c>
      <c r="M1951" s="13">
        <v>5</v>
      </c>
      <c r="N1951" s="13">
        <f t="shared" si="240"/>
        <v>8.984131944445835</v>
      </c>
      <c r="O1951" s="13">
        <f t="shared" si="241"/>
        <v>0</v>
      </c>
      <c r="P1951" t="str">
        <f t="shared" si="242"/>
        <v>On Time</v>
      </c>
      <c r="Q1951" s="13">
        <f t="shared" si="243"/>
        <v>0.33861111098667607</v>
      </c>
      <c r="R1951" s="13">
        <f t="shared" si="244"/>
        <v>0.95533564814832062</v>
      </c>
      <c r="S1951" s="13">
        <f t="shared" si="245"/>
        <v>8.0146875000064028</v>
      </c>
      <c r="T1951" t="str">
        <f t="shared" si="246"/>
        <v>On Time/Early</v>
      </c>
      <c r="U1951" t="str">
        <f t="shared" si="247"/>
        <v>Normal</v>
      </c>
      <c r="V1951" t="s">
        <v>102</v>
      </c>
    </row>
    <row r="1952" spans="1:22">
      <c r="A1952" t="s">
        <v>2728</v>
      </c>
      <c r="B1952" s="10">
        <v>43324.840648148151</v>
      </c>
      <c r="C1952" s="10">
        <v>43325.840370370373</v>
      </c>
      <c r="D1952" s="10">
        <v>43326.493055555555</v>
      </c>
      <c r="E1952" s="10">
        <v>43330.575243055559</v>
      </c>
      <c r="F1952" s="10">
        <v>43332</v>
      </c>
      <c r="G1952" t="s">
        <v>8</v>
      </c>
      <c r="H1952" t="s">
        <v>140</v>
      </c>
      <c r="I1952" t="s">
        <v>101</v>
      </c>
      <c r="J1952" s="11">
        <v>1</v>
      </c>
      <c r="K1952" s="12">
        <v>34.99</v>
      </c>
      <c r="L1952" s="12">
        <v>11.27</v>
      </c>
      <c r="M1952" s="13">
        <v>5</v>
      </c>
      <c r="N1952" s="13">
        <f t="shared" si="240"/>
        <v>5.7345949074078817</v>
      </c>
      <c r="O1952" s="13">
        <f t="shared" si="241"/>
        <v>0</v>
      </c>
      <c r="P1952" t="str">
        <f t="shared" si="242"/>
        <v>On Time</v>
      </c>
      <c r="Q1952" s="13">
        <f t="shared" si="243"/>
        <v>23.993333333346527</v>
      </c>
      <c r="R1952" s="13">
        <f t="shared" si="244"/>
        <v>0.65268518518132623</v>
      </c>
      <c r="S1952" s="13">
        <f t="shared" si="245"/>
        <v>4.0821875000037835</v>
      </c>
      <c r="T1952" t="str">
        <f t="shared" si="246"/>
        <v>On Time/Early</v>
      </c>
      <c r="U1952" t="str">
        <f t="shared" si="247"/>
        <v>Normal</v>
      </c>
      <c r="V1952" t="s">
        <v>102</v>
      </c>
    </row>
    <row r="1953" spans="1:22">
      <c r="A1953" t="s">
        <v>2729</v>
      </c>
      <c r="B1953" s="10">
        <v>43324.863680555558</v>
      </c>
      <c r="C1953" s="10">
        <v>43326.232870370368</v>
      </c>
      <c r="D1953" s="10">
        <v>43326.554166666669</v>
      </c>
      <c r="E1953" s="10">
        <v>43330.764305555553</v>
      </c>
      <c r="F1953" s="10">
        <v>43341</v>
      </c>
      <c r="G1953" t="s">
        <v>8</v>
      </c>
      <c r="H1953" t="s">
        <v>140</v>
      </c>
      <c r="I1953" t="s">
        <v>154</v>
      </c>
      <c r="J1953" s="11">
        <v>1</v>
      </c>
      <c r="K1953" s="12">
        <v>65.900000000000006</v>
      </c>
      <c r="L1953" s="12">
        <v>33.54</v>
      </c>
      <c r="M1953" s="13">
        <v>5</v>
      </c>
      <c r="N1953" s="13">
        <f t="shared" si="240"/>
        <v>5.9006249999947613</v>
      </c>
      <c r="O1953" s="13">
        <f t="shared" si="241"/>
        <v>0</v>
      </c>
      <c r="P1953" t="str">
        <f t="shared" si="242"/>
        <v>On Time</v>
      </c>
      <c r="Q1953" s="13">
        <f t="shared" si="243"/>
        <v>32.860555555438623</v>
      </c>
      <c r="R1953" s="13">
        <f t="shared" si="244"/>
        <v>0.32129629630071577</v>
      </c>
      <c r="S1953" s="13">
        <f t="shared" si="245"/>
        <v>4.2101388888841029</v>
      </c>
      <c r="T1953" t="str">
        <f t="shared" si="246"/>
        <v>On Time/Early</v>
      </c>
      <c r="U1953" t="str">
        <f t="shared" si="247"/>
        <v>Normal</v>
      </c>
      <c r="V1953" t="s">
        <v>102</v>
      </c>
    </row>
    <row r="1954" spans="1:22">
      <c r="A1954" t="s">
        <v>2730</v>
      </c>
      <c r="B1954" s="10">
        <v>43325.196435185186</v>
      </c>
      <c r="C1954" s="10">
        <v>43325.205104166664</v>
      </c>
      <c r="D1954" s="10">
        <v>43325.67291666667</v>
      </c>
      <c r="E1954" s="10">
        <v>43327.907523148147</v>
      </c>
      <c r="F1954" s="10">
        <v>43328</v>
      </c>
      <c r="G1954" t="s">
        <v>8</v>
      </c>
      <c r="H1954" t="s">
        <v>1147</v>
      </c>
      <c r="I1954" t="s">
        <v>279</v>
      </c>
      <c r="J1954" s="11">
        <v>1</v>
      </c>
      <c r="K1954" s="12">
        <v>55</v>
      </c>
      <c r="L1954" s="12">
        <v>7.65</v>
      </c>
      <c r="M1954" s="13">
        <v>4</v>
      </c>
      <c r="N1954" s="13">
        <f t="shared" si="240"/>
        <v>2.7110879629617557</v>
      </c>
      <c r="O1954" s="13">
        <f t="shared" si="241"/>
        <v>0</v>
      </c>
      <c r="P1954" t="str">
        <f t="shared" si="242"/>
        <v>On Time</v>
      </c>
      <c r="Q1954" s="13">
        <f t="shared" si="243"/>
        <v>0.20805555547121912</v>
      </c>
      <c r="R1954" s="13">
        <f t="shared" si="244"/>
        <v>0.46781250000640284</v>
      </c>
      <c r="S1954" s="13">
        <f t="shared" si="245"/>
        <v>2.2346064814773854</v>
      </c>
      <c r="T1954" t="str">
        <f t="shared" si="246"/>
        <v>On Time/Early</v>
      </c>
      <c r="U1954" t="str">
        <f t="shared" si="247"/>
        <v>Normal</v>
      </c>
      <c r="V1954" t="s">
        <v>102</v>
      </c>
    </row>
    <row r="1955" spans="1:22">
      <c r="A1955" t="s">
        <v>2731</v>
      </c>
      <c r="B1955" s="10">
        <v>43325.614074074074</v>
      </c>
      <c r="C1955" s="10">
        <v>43325.621805555558</v>
      </c>
      <c r="D1955" s="10">
        <v>43327.53402777778</v>
      </c>
      <c r="E1955" s="10">
        <v>43330.704675925925</v>
      </c>
      <c r="F1955" s="10">
        <v>43332</v>
      </c>
      <c r="G1955" t="s">
        <v>8</v>
      </c>
      <c r="H1955" t="s">
        <v>605</v>
      </c>
      <c r="I1955" t="s">
        <v>101</v>
      </c>
      <c r="J1955" s="11">
        <v>1</v>
      </c>
      <c r="K1955" s="12">
        <v>17</v>
      </c>
      <c r="L1955" s="12">
        <v>15.43</v>
      </c>
      <c r="M1955" s="13">
        <v>4</v>
      </c>
      <c r="N1955" s="13">
        <f t="shared" si="240"/>
        <v>5.0906018518508063</v>
      </c>
      <c r="O1955" s="13">
        <f t="shared" si="241"/>
        <v>0</v>
      </c>
      <c r="P1955" t="str">
        <f t="shared" si="242"/>
        <v>On Time</v>
      </c>
      <c r="Q1955" s="13">
        <f t="shared" si="243"/>
        <v>0.18555555562488735</v>
      </c>
      <c r="R1955" s="13">
        <f t="shared" si="244"/>
        <v>1.9122222222213168</v>
      </c>
      <c r="S1955" s="13">
        <f t="shared" si="245"/>
        <v>3.1706481481451192</v>
      </c>
      <c r="T1955" t="str">
        <f t="shared" si="246"/>
        <v>On Time/Early</v>
      </c>
      <c r="U1955" t="str">
        <f t="shared" si="247"/>
        <v>Normal</v>
      </c>
      <c r="V1955" t="s">
        <v>102</v>
      </c>
    </row>
    <row r="1956" spans="1:22">
      <c r="A1956" t="s">
        <v>2732</v>
      </c>
      <c r="B1956" s="10">
        <v>43325.686122685183</v>
      </c>
      <c r="C1956" s="10">
        <v>43325.69121527778</v>
      </c>
      <c r="D1956" s="10">
        <v>43329.301388888889</v>
      </c>
      <c r="E1956" s="10">
        <v>43333.96671296296</v>
      </c>
      <c r="F1956" s="10">
        <v>43342</v>
      </c>
      <c r="G1956" t="s">
        <v>20</v>
      </c>
      <c r="H1956" t="s">
        <v>104</v>
      </c>
      <c r="I1956" t="s">
        <v>180</v>
      </c>
      <c r="J1956" s="11">
        <v>1</v>
      </c>
      <c r="K1956" s="12">
        <v>76.11</v>
      </c>
      <c r="L1956" s="12">
        <v>19.72</v>
      </c>
      <c r="M1956" s="13">
        <v>4</v>
      </c>
      <c r="N1956" s="13">
        <f t="shared" si="240"/>
        <v>8.2805902777763549</v>
      </c>
      <c r="O1956" s="13">
        <f t="shared" si="241"/>
        <v>0</v>
      </c>
      <c r="P1956" t="str">
        <f t="shared" si="242"/>
        <v>On Time</v>
      </c>
      <c r="Q1956" s="13">
        <f t="shared" si="243"/>
        <v>0.12222222232958302</v>
      </c>
      <c r="R1956" s="13">
        <f t="shared" si="244"/>
        <v>3.6101736111086211</v>
      </c>
      <c r="S1956" s="13">
        <f t="shared" si="245"/>
        <v>4.6653240740706678</v>
      </c>
      <c r="T1956" t="str">
        <f t="shared" si="246"/>
        <v>On Time/Early</v>
      </c>
      <c r="U1956" t="str">
        <f t="shared" si="247"/>
        <v>Normal</v>
      </c>
      <c r="V1956" t="s">
        <v>102</v>
      </c>
    </row>
    <row r="1957" spans="1:22">
      <c r="A1957" t="s">
        <v>2733</v>
      </c>
      <c r="B1957" s="10">
        <v>43325.928749999999</v>
      </c>
      <c r="C1957" s="10">
        <v>43325.951597222222</v>
      </c>
      <c r="D1957" s="10">
        <v>43326.576388888891</v>
      </c>
      <c r="E1957" s="10">
        <v>43329.820381944446</v>
      </c>
      <c r="F1957" s="10">
        <v>43339</v>
      </c>
      <c r="G1957" t="s">
        <v>20</v>
      </c>
      <c r="H1957" t="s">
        <v>470</v>
      </c>
      <c r="I1957" t="s">
        <v>180</v>
      </c>
      <c r="J1957" s="11">
        <v>1</v>
      </c>
      <c r="K1957" s="12">
        <v>39</v>
      </c>
      <c r="L1957" s="12">
        <v>19.46</v>
      </c>
      <c r="M1957" s="13">
        <v>5</v>
      </c>
      <c r="N1957" s="13">
        <f t="shared" si="240"/>
        <v>3.8916319444469991</v>
      </c>
      <c r="O1957" s="13">
        <f t="shared" si="241"/>
        <v>0</v>
      </c>
      <c r="P1957" t="str">
        <f t="shared" si="242"/>
        <v>On Time</v>
      </c>
      <c r="Q1957" s="13">
        <f t="shared" si="243"/>
        <v>0.54833333333954215</v>
      </c>
      <c r="R1957" s="13">
        <f t="shared" si="244"/>
        <v>0.62479166666889796</v>
      </c>
      <c r="S1957" s="13">
        <f t="shared" si="245"/>
        <v>3.2439930555556202</v>
      </c>
      <c r="T1957" t="str">
        <f t="shared" si="246"/>
        <v>On Time/Early</v>
      </c>
      <c r="U1957" t="str">
        <f t="shared" si="247"/>
        <v>Normal</v>
      </c>
      <c r="V1957" t="s">
        <v>102</v>
      </c>
    </row>
    <row r="1958" spans="1:22">
      <c r="A1958" t="s">
        <v>2734</v>
      </c>
      <c r="B1958" s="10">
        <v>43326.483495370368</v>
      </c>
      <c r="C1958" s="10">
        <v>43326.493622685186</v>
      </c>
      <c r="D1958" s="10">
        <v>43326.663194444445</v>
      </c>
      <c r="E1958" s="10">
        <v>43340.883738425924</v>
      </c>
      <c r="F1958" s="10">
        <v>43354</v>
      </c>
      <c r="G1958" t="s">
        <v>57</v>
      </c>
      <c r="H1958" t="s">
        <v>254</v>
      </c>
      <c r="I1958" t="s">
        <v>101</v>
      </c>
      <c r="J1958" s="11">
        <v>1</v>
      </c>
      <c r="K1958" s="12">
        <v>99</v>
      </c>
      <c r="L1958" s="12">
        <v>40.01</v>
      </c>
      <c r="M1958" s="13">
        <v>5</v>
      </c>
      <c r="N1958" s="13">
        <f t="shared" si="240"/>
        <v>14.40024305555562</v>
      </c>
      <c r="O1958" s="13">
        <f t="shared" si="241"/>
        <v>0</v>
      </c>
      <c r="P1958" t="str">
        <f t="shared" si="242"/>
        <v>On Time</v>
      </c>
      <c r="Q1958" s="13">
        <f t="shared" si="243"/>
        <v>0.24305555562023073</v>
      </c>
      <c r="R1958" s="13">
        <f t="shared" si="244"/>
        <v>0.16957175925927004</v>
      </c>
      <c r="S1958" s="13">
        <f t="shared" si="245"/>
        <v>14.220543981478841</v>
      </c>
      <c r="T1958" t="str">
        <f t="shared" si="246"/>
        <v>On Time/Early</v>
      </c>
      <c r="U1958" t="str">
        <f t="shared" si="247"/>
        <v>Normal</v>
      </c>
      <c r="V1958" t="s">
        <v>102</v>
      </c>
    </row>
    <row r="1959" spans="1:22">
      <c r="A1959" t="s">
        <v>2735</v>
      </c>
      <c r="B1959" s="10">
        <v>43327.503634259258</v>
      </c>
      <c r="C1959" s="10">
        <v>43327.510625000003</v>
      </c>
      <c r="D1959" s="10">
        <v>43328.566666666666</v>
      </c>
      <c r="E1959" s="10">
        <v>43333.855520833335</v>
      </c>
      <c r="F1959" s="10">
        <v>43342</v>
      </c>
      <c r="G1959" t="s">
        <v>16</v>
      </c>
      <c r="H1959" t="s">
        <v>138</v>
      </c>
      <c r="I1959" t="s">
        <v>252</v>
      </c>
      <c r="J1959" s="11">
        <v>1</v>
      </c>
      <c r="K1959" s="12">
        <v>35.6</v>
      </c>
      <c r="L1959" s="12">
        <v>26.55</v>
      </c>
      <c r="M1959" s="13">
        <v>3</v>
      </c>
      <c r="N1959" s="13">
        <f t="shared" si="240"/>
        <v>6.3518865740770707</v>
      </c>
      <c r="O1959" s="13">
        <f t="shared" si="241"/>
        <v>0</v>
      </c>
      <c r="P1959" t="str">
        <f t="shared" si="242"/>
        <v>On Time</v>
      </c>
      <c r="Q1959" s="13">
        <f t="shared" si="243"/>
        <v>0.16777777788229287</v>
      </c>
      <c r="R1959" s="13">
        <f t="shared" si="244"/>
        <v>1.0560416666630772</v>
      </c>
      <c r="S1959" s="13">
        <f t="shared" si="245"/>
        <v>5.288854166668898</v>
      </c>
      <c r="T1959" t="str">
        <f t="shared" si="246"/>
        <v>On Time/Early</v>
      </c>
      <c r="U1959" t="str">
        <f t="shared" si="247"/>
        <v>Normal</v>
      </c>
      <c r="V1959" t="s">
        <v>102</v>
      </c>
    </row>
    <row r="1960" spans="1:22">
      <c r="A1960" t="s">
        <v>2736</v>
      </c>
      <c r="B1960" s="10">
        <v>43327.586122685185</v>
      </c>
      <c r="C1960" s="10">
        <v>43327.607870370368</v>
      </c>
      <c r="D1960" s="10">
        <v>43329.50277777778</v>
      </c>
      <c r="E1960" s="10">
        <v>43340.148217592592</v>
      </c>
      <c r="F1960" s="10">
        <v>43347</v>
      </c>
      <c r="G1960" t="s">
        <v>30</v>
      </c>
      <c r="H1960" t="s">
        <v>365</v>
      </c>
      <c r="I1960" t="s">
        <v>141</v>
      </c>
      <c r="J1960" s="11">
        <v>1</v>
      </c>
      <c r="K1960" s="12">
        <v>95.9</v>
      </c>
      <c r="L1960" s="12">
        <v>23.47</v>
      </c>
      <c r="M1960" s="13">
        <v>5</v>
      </c>
      <c r="N1960" s="13">
        <f t="shared" si="240"/>
        <v>12.5620949074073</v>
      </c>
      <c r="O1960" s="13">
        <f t="shared" si="241"/>
        <v>0</v>
      </c>
      <c r="P1960" t="str">
        <f t="shared" si="242"/>
        <v>On Time</v>
      </c>
      <c r="Q1960" s="13">
        <f t="shared" si="243"/>
        <v>0.5219444443937391</v>
      </c>
      <c r="R1960" s="13">
        <f t="shared" si="244"/>
        <v>1.8949074074116652</v>
      </c>
      <c r="S1960" s="13">
        <f t="shared" si="245"/>
        <v>10.645439814812562</v>
      </c>
      <c r="T1960" t="str">
        <f t="shared" si="246"/>
        <v>On Time/Early</v>
      </c>
      <c r="U1960" t="str">
        <f t="shared" si="247"/>
        <v>Normal</v>
      </c>
      <c r="V1960" t="s">
        <v>102</v>
      </c>
    </row>
    <row r="1961" spans="1:22">
      <c r="A1961" t="s">
        <v>2737</v>
      </c>
      <c r="B1961" s="10">
        <v>43327.614861111113</v>
      </c>
      <c r="C1961" s="10">
        <v>43327.628796296296</v>
      </c>
      <c r="D1961" s="10">
        <v>43329.515277777777</v>
      </c>
      <c r="E1961" s="10">
        <v>43330.742083333331</v>
      </c>
      <c r="F1961" s="10">
        <v>43332</v>
      </c>
      <c r="G1961" t="s">
        <v>8</v>
      </c>
      <c r="H1961" t="s">
        <v>140</v>
      </c>
      <c r="I1961" t="s">
        <v>141</v>
      </c>
      <c r="J1961" s="11">
        <v>1</v>
      </c>
      <c r="K1961" s="12">
        <v>690</v>
      </c>
      <c r="L1961" s="12">
        <v>20.13</v>
      </c>
      <c r="M1961" s="13">
        <v>5</v>
      </c>
      <c r="N1961" s="13">
        <f t="shared" si="240"/>
        <v>3.1272222222178243</v>
      </c>
      <c r="O1961" s="13">
        <f t="shared" si="241"/>
        <v>0</v>
      </c>
      <c r="P1961" t="str">
        <f t="shared" si="242"/>
        <v>On Time</v>
      </c>
      <c r="Q1961" s="13">
        <f t="shared" si="243"/>
        <v>0.3344444443937391</v>
      </c>
      <c r="R1961" s="13">
        <f t="shared" si="244"/>
        <v>1.8864814814805868</v>
      </c>
      <c r="S1961" s="13">
        <f t="shared" si="245"/>
        <v>1.226805555554165</v>
      </c>
      <c r="T1961" t="str">
        <f t="shared" si="246"/>
        <v>On Time/Early</v>
      </c>
      <c r="U1961" t="str">
        <f t="shared" si="247"/>
        <v>Normal</v>
      </c>
      <c r="V1961" t="s">
        <v>102</v>
      </c>
    </row>
    <row r="1962" spans="1:22">
      <c r="A1962" t="s">
        <v>2738</v>
      </c>
      <c r="B1962" s="10">
        <v>43327.728738425925</v>
      </c>
      <c r="C1962" s="10">
        <v>43328.135578703703</v>
      </c>
      <c r="D1962" s="10">
        <v>43329.53402777778</v>
      </c>
      <c r="E1962" s="10">
        <v>43335.718541666669</v>
      </c>
      <c r="F1962" s="10">
        <v>43347</v>
      </c>
      <c r="G1962" t="s">
        <v>30</v>
      </c>
      <c r="H1962" t="s">
        <v>2739</v>
      </c>
      <c r="I1962" t="s">
        <v>118</v>
      </c>
      <c r="J1962" s="11">
        <v>1</v>
      </c>
      <c r="K1962" s="12">
        <v>39.9</v>
      </c>
      <c r="L1962" s="12">
        <v>18.38</v>
      </c>
      <c r="M1962" s="13">
        <v>3</v>
      </c>
      <c r="N1962" s="13">
        <f t="shared" si="240"/>
        <v>7.9898032407436403</v>
      </c>
      <c r="O1962" s="13">
        <f t="shared" si="241"/>
        <v>0</v>
      </c>
      <c r="P1962" t="str">
        <f t="shared" si="242"/>
        <v>On Time</v>
      </c>
      <c r="Q1962" s="13">
        <f t="shared" si="243"/>
        <v>9.7641666666604578</v>
      </c>
      <c r="R1962" s="13">
        <f t="shared" si="244"/>
        <v>1.3984490740767797</v>
      </c>
      <c r="S1962" s="13">
        <f t="shared" si="245"/>
        <v>6.1845138888893416</v>
      </c>
      <c r="T1962" t="str">
        <f t="shared" si="246"/>
        <v>On Time/Early</v>
      </c>
      <c r="U1962" t="str">
        <f t="shared" si="247"/>
        <v>Normal</v>
      </c>
      <c r="V1962" t="s">
        <v>102</v>
      </c>
    </row>
    <row r="1963" spans="1:22">
      <c r="A1963" t="s">
        <v>2740</v>
      </c>
      <c r="B1963" s="10">
        <v>43327.925266203703</v>
      </c>
      <c r="C1963" s="10">
        <v>43327.947314814817</v>
      </c>
      <c r="D1963" s="10">
        <v>43328.578472222223</v>
      </c>
      <c r="E1963" s="10">
        <v>43329.897164351853</v>
      </c>
      <c r="F1963" s="10">
        <v>43332</v>
      </c>
      <c r="G1963" t="s">
        <v>8</v>
      </c>
      <c r="H1963" t="s">
        <v>140</v>
      </c>
      <c r="I1963" t="s">
        <v>136</v>
      </c>
      <c r="J1963" s="11">
        <v>1</v>
      </c>
      <c r="K1963" s="12">
        <v>14.9</v>
      </c>
      <c r="L1963" s="12">
        <v>7.39</v>
      </c>
      <c r="M1963" s="13">
        <v>5</v>
      </c>
      <c r="N1963" s="13">
        <f t="shared" si="240"/>
        <v>1.9718981481491937</v>
      </c>
      <c r="O1963" s="13">
        <f t="shared" si="241"/>
        <v>0</v>
      </c>
      <c r="P1963" t="str">
        <f t="shared" si="242"/>
        <v>On Time</v>
      </c>
      <c r="Q1963" s="13">
        <f t="shared" si="243"/>
        <v>0.52916666673263535</v>
      </c>
      <c r="R1963" s="13">
        <f t="shared" si="244"/>
        <v>0.63115740740613546</v>
      </c>
      <c r="S1963" s="13">
        <f t="shared" si="245"/>
        <v>1.3186921296291985</v>
      </c>
      <c r="T1963" t="str">
        <f t="shared" si="246"/>
        <v>On Time/Early</v>
      </c>
      <c r="U1963" t="str">
        <f t="shared" si="247"/>
        <v>Normal</v>
      </c>
      <c r="V1963" t="s">
        <v>102</v>
      </c>
    </row>
    <row r="1964" spans="1:22">
      <c r="A1964" t="s">
        <v>2741</v>
      </c>
      <c r="B1964" s="10">
        <v>43328.435763888891</v>
      </c>
      <c r="C1964" s="10">
        <v>43328.447372685187</v>
      </c>
      <c r="D1964" s="10">
        <v>43329.57916666667</v>
      </c>
      <c r="E1964" s="10">
        <v>43332.907268518517</v>
      </c>
      <c r="F1964" s="10">
        <v>43333</v>
      </c>
      <c r="G1964" t="s">
        <v>8</v>
      </c>
      <c r="H1964" t="s">
        <v>140</v>
      </c>
      <c r="I1964" t="s">
        <v>58</v>
      </c>
      <c r="J1964" s="11">
        <v>1</v>
      </c>
      <c r="K1964" s="12">
        <v>199.08</v>
      </c>
      <c r="L1964" s="12">
        <v>9.5500000000000007</v>
      </c>
      <c r="M1964" s="13">
        <v>3</v>
      </c>
      <c r="N1964" s="13">
        <f t="shared" si="240"/>
        <v>4.471504629625997</v>
      </c>
      <c r="O1964" s="13">
        <f t="shared" si="241"/>
        <v>0</v>
      </c>
      <c r="P1964" t="str">
        <f t="shared" si="242"/>
        <v>On Time</v>
      </c>
      <c r="Q1964" s="13">
        <f t="shared" si="243"/>
        <v>0.2786111111054197</v>
      </c>
      <c r="R1964" s="13">
        <f t="shared" si="244"/>
        <v>1.1317939814834972</v>
      </c>
      <c r="S1964" s="13">
        <f t="shared" si="245"/>
        <v>3.3281018518464407</v>
      </c>
      <c r="T1964" t="str">
        <f t="shared" si="246"/>
        <v>On Time/Early</v>
      </c>
      <c r="U1964" t="str">
        <f t="shared" si="247"/>
        <v>Normal</v>
      </c>
      <c r="V1964" t="s">
        <v>102</v>
      </c>
    </row>
    <row r="1965" spans="1:22">
      <c r="A1965" t="s">
        <v>2742</v>
      </c>
      <c r="B1965" s="10">
        <v>43328.497858796298</v>
      </c>
      <c r="C1965" s="10">
        <v>43328.507118055553</v>
      </c>
      <c r="D1965" s="10">
        <v>43328.629166666666</v>
      </c>
      <c r="E1965" s="10">
        <v>43329.61037037037</v>
      </c>
      <c r="F1965" s="10">
        <v>43333</v>
      </c>
      <c r="G1965" t="s">
        <v>8</v>
      </c>
      <c r="H1965" t="s">
        <v>140</v>
      </c>
      <c r="I1965" t="s">
        <v>136</v>
      </c>
      <c r="J1965" s="11">
        <v>1</v>
      </c>
      <c r="K1965" s="12">
        <v>35.9</v>
      </c>
      <c r="L1965" s="12">
        <v>7.51</v>
      </c>
      <c r="M1965" s="13">
        <v>5</v>
      </c>
      <c r="N1965" s="13">
        <f t="shared" si="240"/>
        <v>1.1125115740724141</v>
      </c>
      <c r="O1965" s="13">
        <f t="shared" si="241"/>
        <v>0</v>
      </c>
      <c r="P1965" t="str">
        <f t="shared" si="242"/>
        <v>On Time</v>
      </c>
      <c r="Q1965" s="13">
        <f t="shared" si="243"/>
        <v>0.22222222213167697</v>
      </c>
      <c r="R1965" s="13">
        <f t="shared" si="244"/>
        <v>0.12204861111240461</v>
      </c>
      <c r="S1965" s="13">
        <f t="shared" si="245"/>
        <v>0.98120370370452292</v>
      </c>
      <c r="T1965" t="str">
        <f t="shared" si="246"/>
        <v>On Time/Early</v>
      </c>
      <c r="U1965" t="str">
        <f t="shared" si="247"/>
        <v>Normal</v>
      </c>
      <c r="V1965" t="s">
        <v>102</v>
      </c>
    </row>
    <row r="1966" spans="1:22">
      <c r="A1966" t="s">
        <v>2743</v>
      </c>
      <c r="B1966" s="10">
        <v>43328.634027777778</v>
      </c>
      <c r="C1966" s="10">
        <v>43328.645995370367</v>
      </c>
      <c r="D1966" s="10">
        <v>43328.661111111112</v>
      </c>
      <c r="E1966" s="10">
        <v>43333.837719907409</v>
      </c>
      <c r="F1966" s="10">
        <v>43333</v>
      </c>
      <c r="G1966" t="s">
        <v>8</v>
      </c>
      <c r="H1966" t="s">
        <v>907</v>
      </c>
      <c r="I1966" t="s">
        <v>1299</v>
      </c>
      <c r="J1966" s="11">
        <v>1</v>
      </c>
      <c r="K1966" s="12">
        <v>128</v>
      </c>
      <c r="L1966" s="12">
        <v>19.07</v>
      </c>
      <c r="M1966" s="13">
        <v>5</v>
      </c>
      <c r="N1966" s="13">
        <f t="shared" si="240"/>
        <v>5.2036921296312357</v>
      </c>
      <c r="O1966" s="13">
        <f t="shared" si="241"/>
        <v>0.83771990740933688</v>
      </c>
      <c r="P1966" t="str">
        <f t="shared" si="242"/>
        <v>Delayed</v>
      </c>
      <c r="Q1966" s="13">
        <f t="shared" si="243"/>
        <v>0.28722222213400528</v>
      </c>
      <c r="R1966" s="13">
        <f t="shared" si="244"/>
        <v>1.5115740745386574E-2</v>
      </c>
      <c r="S1966" s="13">
        <f t="shared" si="245"/>
        <v>5.1766087962969323</v>
      </c>
      <c r="T1966" t="str">
        <f t="shared" si="246"/>
        <v>1-3 Days Late</v>
      </c>
      <c r="U1966" t="str">
        <f t="shared" si="247"/>
        <v>Needs Review</v>
      </c>
      <c r="V1966" t="s">
        <v>102</v>
      </c>
    </row>
    <row r="1967" spans="1:22">
      <c r="A1967" t="s">
        <v>2744</v>
      </c>
      <c r="B1967" s="10">
        <v>43328.638506944444</v>
      </c>
      <c r="C1967" s="10">
        <v>43328.64947916667</v>
      </c>
      <c r="D1967" s="10">
        <v>43329.829861111109</v>
      </c>
      <c r="E1967" s="10">
        <v>43334.987118055556</v>
      </c>
      <c r="F1967" s="10">
        <v>43341</v>
      </c>
      <c r="G1967" t="s">
        <v>8</v>
      </c>
      <c r="H1967" t="s">
        <v>605</v>
      </c>
      <c r="I1967" t="s">
        <v>115</v>
      </c>
      <c r="J1967" s="11">
        <v>1</v>
      </c>
      <c r="K1967" s="12">
        <v>16.899999999999999</v>
      </c>
      <c r="L1967" s="12">
        <v>15.23</v>
      </c>
      <c r="M1967" s="13">
        <v>4</v>
      </c>
      <c r="N1967" s="13">
        <f t="shared" si="240"/>
        <v>6.3486111111124046</v>
      </c>
      <c r="O1967" s="13">
        <f t="shared" si="241"/>
        <v>0</v>
      </c>
      <c r="P1967" t="str">
        <f t="shared" si="242"/>
        <v>On Time</v>
      </c>
      <c r="Q1967" s="13">
        <f t="shared" si="243"/>
        <v>0.26333333342336118</v>
      </c>
      <c r="R1967" s="13">
        <f t="shared" si="244"/>
        <v>1.1803819444394321</v>
      </c>
      <c r="S1967" s="13">
        <f t="shared" si="245"/>
        <v>5.1572569444469991</v>
      </c>
      <c r="T1967" t="str">
        <f t="shared" si="246"/>
        <v>On Time/Early</v>
      </c>
      <c r="U1967" t="str">
        <f t="shared" si="247"/>
        <v>Normal</v>
      </c>
      <c r="V1967" t="s">
        <v>102</v>
      </c>
    </row>
    <row r="1968" spans="1:22">
      <c r="A1968" t="s">
        <v>2745</v>
      </c>
      <c r="B1968" s="10">
        <v>43328.656898148147</v>
      </c>
      <c r="C1968" s="10">
        <v>43330.13175925926</v>
      </c>
      <c r="D1968" s="10">
        <v>43333.542361111111</v>
      </c>
      <c r="E1968" s="10">
        <v>43336.91642361111</v>
      </c>
      <c r="F1968" s="10">
        <v>43339</v>
      </c>
      <c r="G1968" t="s">
        <v>36</v>
      </c>
      <c r="H1968" t="s">
        <v>2746</v>
      </c>
      <c r="I1968" t="s">
        <v>368</v>
      </c>
      <c r="J1968" s="11">
        <v>2</v>
      </c>
      <c r="K1968" s="12">
        <v>49.6</v>
      </c>
      <c r="L1968" s="12">
        <v>27.02</v>
      </c>
      <c r="M1968" s="13">
        <v>5</v>
      </c>
      <c r="N1968" s="13">
        <f t="shared" si="240"/>
        <v>8.2595254629632109</v>
      </c>
      <c r="O1968" s="13">
        <f t="shared" si="241"/>
        <v>0</v>
      </c>
      <c r="P1968" t="str">
        <f t="shared" si="242"/>
        <v>On Time</v>
      </c>
      <c r="Q1968" s="13">
        <f t="shared" si="243"/>
        <v>35.39666666672565</v>
      </c>
      <c r="R1968" s="13">
        <f t="shared" si="244"/>
        <v>3.4106018518505152</v>
      </c>
      <c r="S1968" s="13">
        <f t="shared" si="245"/>
        <v>3.3740624999991269</v>
      </c>
      <c r="T1968" t="str">
        <f t="shared" si="246"/>
        <v>On Time/Early</v>
      </c>
      <c r="U1968" t="str">
        <f t="shared" si="247"/>
        <v>Normal</v>
      </c>
      <c r="V1968" t="s">
        <v>102</v>
      </c>
    </row>
    <row r="1969" spans="1:22">
      <c r="A1969" t="s">
        <v>2747</v>
      </c>
      <c r="B1969" s="10">
        <v>43328.732592592591</v>
      </c>
      <c r="C1969" s="10">
        <v>43328.742604166669</v>
      </c>
      <c r="D1969" s="10">
        <v>43329.583333333336</v>
      </c>
      <c r="E1969" s="10">
        <v>43334.991261574076</v>
      </c>
      <c r="F1969" s="10">
        <v>43341</v>
      </c>
      <c r="G1969" t="s">
        <v>8</v>
      </c>
      <c r="H1969" t="s">
        <v>605</v>
      </c>
      <c r="I1969" t="s">
        <v>180</v>
      </c>
      <c r="J1969" s="11">
        <v>1</v>
      </c>
      <c r="K1969" s="12">
        <v>56.1</v>
      </c>
      <c r="L1969" s="12">
        <v>13.97</v>
      </c>
      <c r="M1969" s="13">
        <v>4</v>
      </c>
      <c r="N1969" s="13">
        <f t="shared" si="240"/>
        <v>6.2586689814852434</v>
      </c>
      <c r="O1969" s="13">
        <f t="shared" si="241"/>
        <v>0</v>
      </c>
      <c r="P1969" t="str">
        <f t="shared" si="242"/>
        <v>On Time</v>
      </c>
      <c r="Q1969" s="13">
        <f t="shared" si="243"/>
        <v>0.24027777789160609</v>
      </c>
      <c r="R1969" s="13">
        <f t="shared" si="244"/>
        <v>0.84072916666627862</v>
      </c>
      <c r="S1969" s="13">
        <f t="shared" si="245"/>
        <v>5.4079282407401479</v>
      </c>
      <c r="T1969" t="str">
        <f t="shared" si="246"/>
        <v>On Time/Early</v>
      </c>
      <c r="U1969" t="str">
        <f t="shared" si="247"/>
        <v>Normal</v>
      </c>
      <c r="V1969" t="s">
        <v>102</v>
      </c>
    </row>
    <row r="1970" spans="1:22">
      <c r="A1970" t="s">
        <v>2748</v>
      </c>
      <c r="B1970" s="10">
        <v>43328.846967592595</v>
      </c>
      <c r="C1970" s="10">
        <v>43330.395300925928</v>
      </c>
      <c r="D1970" s="10">
        <v>43332.4</v>
      </c>
      <c r="E1970" s="10">
        <v>43340.752523148149</v>
      </c>
      <c r="F1970" s="10">
        <v>43355</v>
      </c>
      <c r="G1970" t="s">
        <v>110</v>
      </c>
      <c r="H1970" t="s">
        <v>2749</v>
      </c>
      <c r="I1970" t="s">
        <v>185</v>
      </c>
      <c r="J1970" s="11">
        <v>1</v>
      </c>
      <c r="K1970" s="12">
        <v>41.9</v>
      </c>
      <c r="L1970" s="12">
        <v>18.39</v>
      </c>
      <c r="M1970" s="13">
        <v>5</v>
      </c>
      <c r="N1970" s="13">
        <f t="shared" si="240"/>
        <v>11.905555555553292</v>
      </c>
      <c r="O1970" s="13">
        <f t="shared" si="241"/>
        <v>0</v>
      </c>
      <c r="P1970" t="str">
        <f t="shared" si="242"/>
        <v>On Time</v>
      </c>
      <c r="Q1970" s="13">
        <f t="shared" si="243"/>
        <v>37.159999999974389</v>
      </c>
      <c r="R1970" s="13">
        <f t="shared" si="244"/>
        <v>2.0046990740738693</v>
      </c>
      <c r="S1970" s="13">
        <f t="shared" si="245"/>
        <v>8.3525231481471565</v>
      </c>
      <c r="T1970" t="str">
        <f t="shared" si="246"/>
        <v>On Time/Early</v>
      </c>
      <c r="U1970" t="str">
        <f t="shared" si="247"/>
        <v>Normal</v>
      </c>
      <c r="V1970" t="s">
        <v>102</v>
      </c>
    </row>
    <row r="1971" spans="1:22">
      <c r="A1971" t="s">
        <v>2750</v>
      </c>
      <c r="B1971" s="10">
        <v>43328.881655092591</v>
      </c>
      <c r="C1971" s="10">
        <v>43328.895381944443</v>
      </c>
      <c r="D1971" s="10">
        <v>43329.594444444447</v>
      </c>
      <c r="E1971" s="10">
        <v>43335.696504629632</v>
      </c>
      <c r="F1971" s="10">
        <v>43346</v>
      </c>
      <c r="G1971" t="s">
        <v>16</v>
      </c>
      <c r="H1971" t="s">
        <v>138</v>
      </c>
      <c r="I1971" t="s">
        <v>246</v>
      </c>
      <c r="J1971" s="11">
        <v>1</v>
      </c>
      <c r="K1971" s="12">
        <v>155.9</v>
      </c>
      <c r="L1971" s="12">
        <v>16.190000000000001</v>
      </c>
      <c r="M1971" s="13">
        <v>5</v>
      </c>
      <c r="N1971" s="13">
        <f t="shared" si="240"/>
        <v>6.8148495370405726</v>
      </c>
      <c r="O1971" s="13">
        <f t="shared" si="241"/>
        <v>0</v>
      </c>
      <c r="P1971" t="str">
        <f t="shared" si="242"/>
        <v>On Time</v>
      </c>
      <c r="Q1971" s="13">
        <f t="shared" si="243"/>
        <v>0.32944444444729015</v>
      </c>
      <c r="R1971" s="13">
        <f t="shared" si="244"/>
        <v>0.69906250000349246</v>
      </c>
      <c r="S1971" s="13">
        <f t="shared" si="245"/>
        <v>6.1020601851851097</v>
      </c>
      <c r="T1971" t="str">
        <f t="shared" si="246"/>
        <v>On Time/Early</v>
      </c>
      <c r="U1971" t="str">
        <f t="shared" si="247"/>
        <v>Normal</v>
      </c>
      <c r="V1971" t="s">
        <v>102</v>
      </c>
    </row>
    <row r="1972" spans="1:22">
      <c r="A1972" t="s">
        <v>2751</v>
      </c>
      <c r="B1972" s="10">
        <v>43328.978807870371</v>
      </c>
      <c r="C1972" s="10">
        <v>43328.992789351854</v>
      </c>
      <c r="D1972" s="10">
        <v>43329.644444444442</v>
      </c>
      <c r="E1972" s="10">
        <v>43335.919490740744</v>
      </c>
      <c r="F1972" s="10">
        <v>43356</v>
      </c>
      <c r="G1972" t="s">
        <v>33</v>
      </c>
      <c r="H1972" t="s">
        <v>488</v>
      </c>
      <c r="I1972" t="s">
        <v>123</v>
      </c>
      <c r="J1972" s="11">
        <v>1</v>
      </c>
      <c r="K1972" s="12">
        <v>49.9</v>
      </c>
      <c r="L1972" s="12">
        <v>18.45</v>
      </c>
      <c r="M1972" s="13">
        <v>4</v>
      </c>
      <c r="N1972" s="13">
        <f t="shared" si="240"/>
        <v>6.9406828703722567</v>
      </c>
      <c r="O1972" s="13">
        <f t="shared" si="241"/>
        <v>0</v>
      </c>
      <c r="P1972" t="str">
        <f t="shared" si="242"/>
        <v>On Time</v>
      </c>
      <c r="Q1972" s="13">
        <f t="shared" si="243"/>
        <v>0.33555555558996275</v>
      </c>
      <c r="R1972" s="13">
        <f t="shared" si="244"/>
        <v>0.65165509258804377</v>
      </c>
      <c r="S1972" s="13">
        <f t="shared" si="245"/>
        <v>6.2750462963012978</v>
      </c>
      <c r="T1972" t="str">
        <f t="shared" si="246"/>
        <v>On Time/Early</v>
      </c>
      <c r="U1972" t="str">
        <f t="shared" si="247"/>
        <v>Normal</v>
      </c>
      <c r="V1972" t="s">
        <v>102</v>
      </c>
    </row>
    <row r="1973" spans="1:22">
      <c r="A1973" t="s">
        <v>2752</v>
      </c>
      <c r="B1973" s="10">
        <v>43329.353692129633</v>
      </c>
      <c r="C1973" s="10">
        <v>43329.381736111114</v>
      </c>
      <c r="D1973" s="10">
        <v>43332.374305555553</v>
      </c>
      <c r="E1973" s="10">
        <v>43334.725486111114</v>
      </c>
      <c r="F1973" s="10">
        <v>43340</v>
      </c>
      <c r="G1973" t="s">
        <v>33</v>
      </c>
      <c r="H1973" t="s">
        <v>356</v>
      </c>
      <c r="I1973" t="s">
        <v>120</v>
      </c>
      <c r="J1973" s="11">
        <v>1</v>
      </c>
      <c r="K1973" s="12">
        <v>59.9</v>
      </c>
      <c r="L1973" s="12">
        <v>13.9</v>
      </c>
      <c r="M1973" s="13">
        <v>5</v>
      </c>
      <c r="N1973" s="13">
        <f t="shared" si="240"/>
        <v>5.3717939814814599</v>
      </c>
      <c r="O1973" s="13">
        <f t="shared" si="241"/>
        <v>0</v>
      </c>
      <c r="P1973" t="str">
        <f t="shared" si="242"/>
        <v>On Time</v>
      </c>
      <c r="Q1973" s="13">
        <f t="shared" si="243"/>
        <v>0.67305555555503815</v>
      </c>
      <c r="R1973" s="13">
        <f t="shared" si="244"/>
        <v>2.9925694444391411</v>
      </c>
      <c r="S1973" s="13">
        <f t="shared" si="245"/>
        <v>2.3511805555608589</v>
      </c>
      <c r="T1973" t="str">
        <f t="shared" si="246"/>
        <v>On Time/Early</v>
      </c>
      <c r="U1973" t="str">
        <f t="shared" si="247"/>
        <v>Normal</v>
      </c>
      <c r="V1973" t="s">
        <v>102</v>
      </c>
    </row>
    <row r="1974" spans="1:22">
      <c r="A1974" t="s">
        <v>2753</v>
      </c>
      <c r="B1974" s="10">
        <v>43329.42396990741</v>
      </c>
      <c r="C1974" s="10">
        <v>43329.436956018515</v>
      </c>
      <c r="D1974" s="10">
        <v>43329.616666666669</v>
      </c>
      <c r="E1974" s="10">
        <v>43332.885868055557</v>
      </c>
      <c r="F1974" s="10">
        <v>43362</v>
      </c>
      <c r="G1974" t="s">
        <v>8</v>
      </c>
      <c r="H1974" t="s">
        <v>455</v>
      </c>
      <c r="I1974" t="s">
        <v>101</v>
      </c>
      <c r="J1974" s="11">
        <v>1</v>
      </c>
      <c r="K1974" s="12">
        <v>79.900000000000006</v>
      </c>
      <c r="L1974" s="12">
        <v>22.99</v>
      </c>
      <c r="M1974" s="13">
        <v>5</v>
      </c>
      <c r="N1974" s="13">
        <f t="shared" si="240"/>
        <v>3.4618981481471565</v>
      </c>
      <c r="O1974" s="13">
        <f t="shared" si="241"/>
        <v>0</v>
      </c>
      <c r="P1974" t="str">
        <f t="shared" si="242"/>
        <v>On Time</v>
      </c>
      <c r="Q1974" s="13">
        <f t="shared" si="243"/>
        <v>0.31166666653007269</v>
      </c>
      <c r="R1974" s="13">
        <f t="shared" si="244"/>
        <v>0.1797106481535593</v>
      </c>
      <c r="S1974" s="13">
        <f t="shared" si="245"/>
        <v>3.2692013888881775</v>
      </c>
      <c r="T1974" t="str">
        <f t="shared" si="246"/>
        <v>On Time/Early</v>
      </c>
      <c r="U1974" t="str">
        <f t="shared" si="247"/>
        <v>Normal</v>
      </c>
      <c r="V1974" t="s">
        <v>102</v>
      </c>
    </row>
    <row r="1975" spans="1:22">
      <c r="A1975" t="s">
        <v>2754</v>
      </c>
      <c r="B1975" s="10">
        <v>43329.634953703702</v>
      </c>
      <c r="C1975" s="10">
        <v>43329.645567129628</v>
      </c>
      <c r="D1975" s="10">
        <v>43334.619444444441</v>
      </c>
      <c r="E1975" s="10">
        <v>43339.66978009259</v>
      </c>
      <c r="F1975" s="10">
        <v>43348</v>
      </c>
      <c r="G1975" t="s">
        <v>8</v>
      </c>
      <c r="H1975" t="s">
        <v>309</v>
      </c>
      <c r="I1975" t="s">
        <v>112</v>
      </c>
      <c r="J1975" s="11">
        <v>1</v>
      </c>
      <c r="K1975" s="12">
        <v>187</v>
      </c>
      <c r="L1975" s="12">
        <v>45.11</v>
      </c>
      <c r="M1975" s="13">
        <v>4</v>
      </c>
      <c r="N1975" s="13">
        <f t="shared" si="240"/>
        <v>10.034826388888177</v>
      </c>
      <c r="O1975" s="13">
        <f t="shared" si="241"/>
        <v>0</v>
      </c>
      <c r="P1975" t="str">
        <f t="shared" si="242"/>
        <v>On Time</v>
      </c>
      <c r="Q1975" s="13">
        <f t="shared" si="243"/>
        <v>0.25472222222015262</v>
      </c>
      <c r="R1975" s="13">
        <f t="shared" si="244"/>
        <v>4.973877314812853</v>
      </c>
      <c r="S1975" s="13">
        <f t="shared" si="245"/>
        <v>5.0503356481494848</v>
      </c>
      <c r="T1975" t="str">
        <f t="shared" si="246"/>
        <v>On Time/Early</v>
      </c>
      <c r="U1975" t="str">
        <f t="shared" si="247"/>
        <v>Normal</v>
      </c>
      <c r="V1975" t="s">
        <v>102</v>
      </c>
    </row>
    <row r="1976" spans="1:22">
      <c r="A1976" t="s">
        <v>2755</v>
      </c>
      <c r="B1976" s="10">
        <v>43329.801550925928</v>
      </c>
      <c r="C1976" s="10">
        <v>43329.812638888892</v>
      </c>
      <c r="D1976" s="10">
        <v>43332.568749999999</v>
      </c>
      <c r="E1976" s="10">
        <v>43335.673483796294</v>
      </c>
      <c r="F1976" s="10">
        <v>43349</v>
      </c>
      <c r="G1976" t="s">
        <v>20</v>
      </c>
      <c r="H1976" t="s">
        <v>104</v>
      </c>
      <c r="I1976" t="s">
        <v>141</v>
      </c>
      <c r="J1976" s="11">
        <v>1</v>
      </c>
      <c r="K1976" s="12">
        <v>104</v>
      </c>
      <c r="L1976" s="12">
        <v>30.53</v>
      </c>
      <c r="M1976" s="13">
        <v>5</v>
      </c>
      <c r="N1976" s="13">
        <f t="shared" si="240"/>
        <v>5.871932870366436</v>
      </c>
      <c r="O1976" s="13">
        <f t="shared" si="241"/>
        <v>0</v>
      </c>
      <c r="P1976" t="str">
        <f t="shared" si="242"/>
        <v>On Time</v>
      </c>
      <c r="Q1976" s="13">
        <f t="shared" si="243"/>
        <v>0.26611111115198582</v>
      </c>
      <c r="R1976" s="13">
        <f t="shared" si="244"/>
        <v>2.7561111111062928</v>
      </c>
      <c r="S1976" s="13">
        <f t="shared" si="245"/>
        <v>3.1047337962954771</v>
      </c>
      <c r="T1976" t="str">
        <f t="shared" si="246"/>
        <v>On Time/Early</v>
      </c>
      <c r="U1976" t="str">
        <f t="shared" si="247"/>
        <v>Normal</v>
      </c>
      <c r="V1976" t="s">
        <v>102</v>
      </c>
    </row>
    <row r="1977" spans="1:22">
      <c r="A1977" t="s">
        <v>2756</v>
      </c>
      <c r="B1977" s="10">
        <v>43330.464722222219</v>
      </c>
      <c r="C1977" s="10">
        <v>43330.479791666665</v>
      </c>
      <c r="D1977" s="10">
        <v>43333.504861111112</v>
      </c>
      <c r="E1977" s="10">
        <v>43342.706064814818</v>
      </c>
      <c r="F1977" s="10">
        <v>43355</v>
      </c>
      <c r="G1977" t="s">
        <v>110</v>
      </c>
      <c r="H1977" t="s">
        <v>1381</v>
      </c>
      <c r="I1977" t="s">
        <v>180</v>
      </c>
      <c r="J1977" s="11">
        <v>1</v>
      </c>
      <c r="K1977" s="12">
        <v>129.9</v>
      </c>
      <c r="L1977" s="12">
        <v>23.71</v>
      </c>
      <c r="M1977" s="13">
        <v>5</v>
      </c>
      <c r="N1977" s="13">
        <f t="shared" si="240"/>
        <v>12.241342592598812</v>
      </c>
      <c r="O1977" s="13">
        <f t="shared" si="241"/>
        <v>0</v>
      </c>
      <c r="P1977" t="str">
        <f t="shared" si="242"/>
        <v>On Time</v>
      </c>
      <c r="Q1977" s="13">
        <f t="shared" si="243"/>
        <v>0.36166666669305414</v>
      </c>
      <c r="R1977" s="13">
        <f t="shared" si="244"/>
        <v>3.0250694444475812</v>
      </c>
      <c r="S1977" s="13">
        <f t="shared" si="245"/>
        <v>9.2012037037056871</v>
      </c>
      <c r="T1977" t="str">
        <f t="shared" si="246"/>
        <v>On Time/Early</v>
      </c>
      <c r="U1977" t="str">
        <f t="shared" si="247"/>
        <v>Normal</v>
      </c>
      <c r="V1977" t="s">
        <v>102</v>
      </c>
    </row>
    <row r="1978" spans="1:22">
      <c r="A1978" t="s">
        <v>2757</v>
      </c>
      <c r="B1978" s="10">
        <v>43330.466608796298</v>
      </c>
      <c r="C1978" s="10">
        <v>43333.191342592596</v>
      </c>
      <c r="D1978" s="10">
        <v>43333.61041666667</v>
      </c>
      <c r="E1978" s="10">
        <v>43340.72115740741</v>
      </c>
      <c r="F1978" s="10">
        <v>43362</v>
      </c>
      <c r="G1978" t="s">
        <v>16</v>
      </c>
      <c r="H1978" t="s">
        <v>138</v>
      </c>
      <c r="I1978" t="s">
        <v>31</v>
      </c>
      <c r="J1978" s="11">
        <v>1</v>
      </c>
      <c r="K1978" s="12">
        <v>26.9</v>
      </c>
      <c r="L1978" s="12">
        <v>22.12</v>
      </c>
      <c r="M1978" s="13">
        <v>4</v>
      </c>
      <c r="N1978" s="13">
        <f t="shared" si="240"/>
        <v>10.254548611112114</v>
      </c>
      <c r="O1978" s="13">
        <f t="shared" si="241"/>
        <v>0</v>
      </c>
      <c r="P1978" t="str">
        <f t="shared" si="242"/>
        <v>On Time</v>
      </c>
      <c r="Q1978" s="13">
        <f t="shared" si="243"/>
        <v>65.393611111154314</v>
      </c>
      <c r="R1978" s="13">
        <f t="shared" si="244"/>
        <v>0.41907407407416031</v>
      </c>
      <c r="S1978" s="13">
        <f t="shared" si="245"/>
        <v>7.1107407407398568</v>
      </c>
      <c r="T1978" t="str">
        <f t="shared" si="246"/>
        <v>On Time/Early</v>
      </c>
      <c r="U1978" t="str">
        <f t="shared" si="247"/>
        <v>Normal</v>
      </c>
      <c r="V1978" t="s">
        <v>102</v>
      </c>
    </row>
    <row r="1979" spans="1:22">
      <c r="A1979" t="s">
        <v>2758</v>
      </c>
      <c r="B1979" s="10">
        <v>43330.602407407408</v>
      </c>
      <c r="C1979" s="10">
        <v>43330.617395833331</v>
      </c>
      <c r="D1979" s="10">
        <v>43334.576388888891</v>
      </c>
      <c r="E1979" s="10">
        <v>43335.830995370372</v>
      </c>
      <c r="F1979" s="10">
        <v>43340</v>
      </c>
      <c r="G1979" t="s">
        <v>8</v>
      </c>
      <c r="H1979" t="s">
        <v>140</v>
      </c>
      <c r="I1979" t="s">
        <v>141</v>
      </c>
      <c r="J1979" s="11">
        <v>1</v>
      </c>
      <c r="K1979" s="12">
        <v>123</v>
      </c>
      <c r="L1979" s="12">
        <v>13.16</v>
      </c>
      <c r="M1979" s="13">
        <v>2</v>
      </c>
      <c r="N1979" s="13">
        <f t="shared" si="240"/>
        <v>5.2285879629635019</v>
      </c>
      <c r="O1979" s="13">
        <f t="shared" si="241"/>
        <v>0</v>
      </c>
      <c r="P1979" t="str">
        <f t="shared" si="242"/>
        <v>On Time</v>
      </c>
      <c r="Q1979" s="13">
        <f t="shared" si="243"/>
        <v>0.3597222221433185</v>
      </c>
      <c r="R1979" s="13">
        <f t="shared" si="244"/>
        <v>3.9589930555594037</v>
      </c>
      <c r="S1979" s="13">
        <f t="shared" si="245"/>
        <v>1.2546064814814599</v>
      </c>
      <c r="T1979" t="str">
        <f t="shared" si="246"/>
        <v>On Time/Early</v>
      </c>
      <c r="U1979" t="str">
        <f t="shared" si="247"/>
        <v>Normal</v>
      </c>
      <c r="V1979" t="s">
        <v>102</v>
      </c>
    </row>
    <row r="1980" spans="1:22">
      <c r="A1980" t="s">
        <v>2759</v>
      </c>
      <c r="B1980" s="10">
        <v>43330.782916666663</v>
      </c>
      <c r="C1980" s="10">
        <v>43330.798298611109</v>
      </c>
      <c r="D1980" s="10">
        <v>43332.538194444445</v>
      </c>
      <c r="E1980" s="10">
        <v>43339.779456018521</v>
      </c>
      <c r="F1980" s="10">
        <v>43357</v>
      </c>
      <c r="G1980" t="s">
        <v>43</v>
      </c>
      <c r="H1980" t="s">
        <v>318</v>
      </c>
      <c r="I1980" t="s">
        <v>123</v>
      </c>
      <c r="J1980" s="11">
        <v>1</v>
      </c>
      <c r="K1980" s="12">
        <v>189.9</v>
      </c>
      <c r="L1980" s="12">
        <v>45.68</v>
      </c>
      <c r="M1980" s="13">
        <v>5</v>
      </c>
      <c r="N1980" s="13">
        <f t="shared" si="240"/>
        <v>8.9965393518577912</v>
      </c>
      <c r="O1980" s="13">
        <f t="shared" si="241"/>
        <v>0</v>
      </c>
      <c r="P1980" t="str">
        <f t="shared" si="242"/>
        <v>On Time</v>
      </c>
      <c r="Q1980" s="13">
        <f t="shared" si="243"/>
        <v>0.36916666670003906</v>
      </c>
      <c r="R1980" s="13">
        <f t="shared" si="244"/>
        <v>1.7398958333360497</v>
      </c>
      <c r="S1980" s="13">
        <f t="shared" si="245"/>
        <v>7.2412615740759065</v>
      </c>
      <c r="T1980" t="str">
        <f t="shared" si="246"/>
        <v>On Time/Early</v>
      </c>
      <c r="U1980" t="str">
        <f t="shared" si="247"/>
        <v>Normal</v>
      </c>
      <c r="V1980" t="s">
        <v>102</v>
      </c>
    </row>
    <row r="1981" spans="1:22">
      <c r="A1981" t="s">
        <v>2760</v>
      </c>
      <c r="B1981" s="10">
        <v>43331.350312499999</v>
      </c>
      <c r="C1981" s="10">
        <v>43332.465462962966</v>
      </c>
      <c r="D1981" s="10">
        <v>43333.620833333334</v>
      </c>
      <c r="E1981" s="10">
        <v>43340.799363425926</v>
      </c>
      <c r="F1981" s="10">
        <v>43346</v>
      </c>
      <c r="G1981" t="s">
        <v>16</v>
      </c>
      <c r="H1981" t="s">
        <v>138</v>
      </c>
      <c r="I1981" t="s">
        <v>17</v>
      </c>
      <c r="J1981" s="11">
        <v>1</v>
      </c>
      <c r="K1981" s="12">
        <v>37.909999999999997</v>
      </c>
      <c r="L1981" s="12">
        <v>23.42</v>
      </c>
      <c r="M1981" s="13">
        <v>3</v>
      </c>
      <c r="N1981" s="13">
        <f t="shared" si="240"/>
        <v>9.4490509259267128</v>
      </c>
      <c r="O1981" s="13">
        <f t="shared" si="241"/>
        <v>0</v>
      </c>
      <c r="P1981" t="str">
        <f t="shared" si="242"/>
        <v>On Time</v>
      </c>
      <c r="Q1981" s="13">
        <f t="shared" si="243"/>
        <v>26.763611111207865</v>
      </c>
      <c r="R1981" s="13">
        <f t="shared" si="244"/>
        <v>1.1553703703684732</v>
      </c>
      <c r="S1981" s="13">
        <f t="shared" si="245"/>
        <v>7.1785300925912452</v>
      </c>
      <c r="T1981" t="str">
        <f t="shared" si="246"/>
        <v>On Time/Early</v>
      </c>
      <c r="U1981" t="str">
        <f t="shared" si="247"/>
        <v>Normal</v>
      </c>
      <c r="V1981" t="s">
        <v>102</v>
      </c>
    </row>
    <row r="1982" spans="1:22">
      <c r="A1982" t="s">
        <v>2761</v>
      </c>
      <c r="B1982" s="10">
        <v>43331.410694444443</v>
      </c>
      <c r="C1982" s="10">
        <v>43333.201458333337</v>
      </c>
      <c r="D1982" s="10">
        <v>43333.64166666667</v>
      </c>
      <c r="E1982" s="10">
        <v>43334.889409722222</v>
      </c>
      <c r="F1982" s="10">
        <v>43339</v>
      </c>
      <c r="G1982" t="s">
        <v>8</v>
      </c>
      <c r="H1982" t="s">
        <v>907</v>
      </c>
      <c r="I1982" t="s">
        <v>58</v>
      </c>
      <c r="J1982" s="11">
        <v>1</v>
      </c>
      <c r="K1982" s="12">
        <v>127.9</v>
      </c>
      <c r="L1982" s="12">
        <v>8.16</v>
      </c>
      <c r="M1982" s="13">
        <v>5</v>
      </c>
      <c r="N1982" s="13">
        <f t="shared" si="240"/>
        <v>3.4787152777789743</v>
      </c>
      <c r="O1982" s="13">
        <f t="shared" si="241"/>
        <v>0</v>
      </c>
      <c r="P1982" t="str">
        <f t="shared" si="242"/>
        <v>On Time</v>
      </c>
      <c r="Q1982" s="13">
        <f t="shared" si="243"/>
        <v>42.978333333448973</v>
      </c>
      <c r="R1982" s="13">
        <f t="shared" si="244"/>
        <v>0.44020833333343035</v>
      </c>
      <c r="S1982" s="13">
        <f t="shared" si="245"/>
        <v>1.2477430555518367</v>
      </c>
      <c r="T1982" t="str">
        <f t="shared" si="246"/>
        <v>On Time/Early</v>
      </c>
      <c r="U1982" t="str">
        <f t="shared" si="247"/>
        <v>Normal</v>
      </c>
      <c r="V1982" t="s">
        <v>102</v>
      </c>
    </row>
    <row r="1983" spans="1:22">
      <c r="A1983" t="s">
        <v>2762</v>
      </c>
      <c r="B1983" s="10">
        <v>43331.437905092593</v>
      </c>
      <c r="C1983" s="10">
        <v>43332.47929398148</v>
      </c>
      <c r="D1983" s="10">
        <v>43333.434027777781</v>
      </c>
      <c r="E1983" s="10">
        <v>43340.785416666666</v>
      </c>
      <c r="F1983" s="10">
        <v>43353</v>
      </c>
      <c r="G1983" t="s">
        <v>36</v>
      </c>
      <c r="H1983" t="s">
        <v>2763</v>
      </c>
      <c r="I1983" t="s">
        <v>34</v>
      </c>
      <c r="J1983" s="11">
        <v>1</v>
      </c>
      <c r="K1983" s="12">
        <v>74.989999999999995</v>
      </c>
      <c r="L1983" s="12">
        <v>18.63</v>
      </c>
      <c r="M1983" s="13">
        <v>5</v>
      </c>
      <c r="N1983" s="13">
        <f t="shared" si="240"/>
        <v>9.3475115740729962</v>
      </c>
      <c r="O1983" s="13">
        <f t="shared" si="241"/>
        <v>0</v>
      </c>
      <c r="P1983" t="str">
        <f t="shared" si="242"/>
        <v>On Time</v>
      </c>
      <c r="Q1983" s="13">
        <f t="shared" si="243"/>
        <v>24.993333333288319</v>
      </c>
      <c r="R1983" s="13">
        <f t="shared" si="244"/>
        <v>0.95473379630129784</v>
      </c>
      <c r="S1983" s="13">
        <f t="shared" si="245"/>
        <v>7.351388888884685</v>
      </c>
      <c r="T1983" t="str">
        <f t="shared" si="246"/>
        <v>On Time/Early</v>
      </c>
      <c r="U1983" t="str">
        <f t="shared" si="247"/>
        <v>Normal</v>
      </c>
      <c r="V1983" t="s">
        <v>102</v>
      </c>
    </row>
    <row r="1984" spans="1:22">
      <c r="A1984" t="s">
        <v>2764</v>
      </c>
      <c r="B1984" s="10">
        <v>43331.525405092594</v>
      </c>
      <c r="C1984" s="10">
        <v>43332.701574074075</v>
      </c>
      <c r="D1984" s="10">
        <v>43333.654861111114</v>
      </c>
      <c r="E1984" s="10">
        <v>43334.988136574073</v>
      </c>
      <c r="F1984" s="10">
        <v>43336</v>
      </c>
      <c r="G1984" t="s">
        <v>8</v>
      </c>
      <c r="H1984" t="s">
        <v>140</v>
      </c>
      <c r="I1984" t="s">
        <v>118</v>
      </c>
      <c r="J1984" s="11">
        <v>1</v>
      </c>
      <c r="K1984" s="12">
        <v>24.99</v>
      </c>
      <c r="L1984" s="12">
        <v>7.44</v>
      </c>
      <c r="M1984" s="13">
        <v>3</v>
      </c>
      <c r="N1984" s="13">
        <f t="shared" si="240"/>
        <v>3.4627314814788406</v>
      </c>
      <c r="O1984" s="13">
        <f t="shared" si="241"/>
        <v>0</v>
      </c>
      <c r="P1984" t="str">
        <f t="shared" si="242"/>
        <v>On Time</v>
      </c>
      <c r="Q1984" s="13">
        <f t="shared" si="243"/>
        <v>28.228055555548053</v>
      </c>
      <c r="R1984" s="13">
        <f t="shared" si="244"/>
        <v>0.95328703703853535</v>
      </c>
      <c r="S1984" s="13">
        <f t="shared" si="245"/>
        <v>1.3332754629591363</v>
      </c>
      <c r="T1984" t="str">
        <f t="shared" si="246"/>
        <v>On Time/Early</v>
      </c>
      <c r="U1984" t="str">
        <f t="shared" si="247"/>
        <v>Normal</v>
      </c>
      <c r="V1984" t="s">
        <v>102</v>
      </c>
    </row>
    <row r="1985" spans="1:22">
      <c r="A1985" t="s">
        <v>2765</v>
      </c>
      <c r="B1985" s="10">
        <v>43331.797997685186</v>
      </c>
      <c r="C1985" s="10">
        <v>43332.798877314817</v>
      </c>
      <c r="D1985" s="10">
        <v>43333.586111111108</v>
      </c>
      <c r="E1985" s="10">
        <v>43336.973263888889</v>
      </c>
      <c r="F1985" s="10">
        <v>43357</v>
      </c>
      <c r="G1985" t="s">
        <v>8</v>
      </c>
      <c r="H1985" t="s">
        <v>140</v>
      </c>
      <c r="I1985" t="s">
        <v>58</v>
      </c>
      <c r="J1985" s="11">
        <v>1</v>
      </c>
      <c r="K1985" s="12">
        <v>1299.6500000000001</v>
      </c>
      <c r="L1985" s="12">
        <v>27.2</v>
      </c>
      <c r="M1985" s="13">
        <v>5</v>
      </c>
      <c r="N1985" s="13">
        <f t="shared" si="240"/>
        <v>5.1752662037033588</v>
      </c>
      <c r="O1985" s="13">
        <f t="shared" si="241"/>
        <v>0</v>
      </c>
      <c r="P1985" t="str">
        <f t="shared" si="242"/>
        <v>On Time</v>
      </c>
      <c r="Q1985" s="13">
        <f t="shared" si="243"/>
        <v>24.021111111156642</v>
      </c>
      <c r="R1985" s="13">
        <f t="shared" si="244"/>
        <v>0.78723379629082046</v>
      </c>
      <c r="S1985" s="13">
        <f t="shared" si="245"/>
        <v>3.3871527777810115</v>
      </c>
      <c r="T1985" t="str">
        <f t="shared" si="246"/>
        <v>On Time/Early</v>
      </c>
      <c r="U1985" t="str">
        <f t="shared" si="247"/>
        <v>Normal</v>
      </c>
      <c r="V1985" t="s">
        <v>102</v>
      </c>
    </row>
    <row r="1986" spans="1:22">
      <c r="A1986" t="s">
        <v>2766</v>
      </c>
      <c r="B1986" s="10">
        <v>43332.54351851852</v>
      </c>
      <c r="C1986" s="10">
        <v>43332.659918981481</v>
      </c>
      <c r="D1986" s="10">
        <v>43334.655555555553</v>
      </c>
      <c r="E1986" s="10">
        <v>43336.737407407411</v>
      </c>
      <c r="F1986" s="10">
        <v>43348</v>
      </c>
      <c r="G1986" t="s">
        <v>8</v>
      </c>
      <c r="H1986" t="s">
        <v>140</v>
      </c>
      <c r="I1986" t="s">
        <v>1508</v>
      </c>
      <c r="J1986" s="11">
        <v>1</v>
      </c>
      <c r="K1986" s="12">
        <v>56.81</v>
      </c>
      <c r="L1986" s="12">
        <v>25.38</v>
      </c>
      <c r="M1986" s="13">
        <v>4</v>
      </c>
      <c r="N1986" s="13">
        <f t="shared" ref="N1986:N2001" si="248">IFERROR(E1986-B1986,"")</f>
        <v>4.1938888888907968</v>
      </c>
      <c r="O1986" s="13">
        <f t="shared" ref="O1986:O2001" si="249">IFERROR(MAX(0,E1986-F1986),"")</f>
        <v>0</v>
      </c>
      <c r="P1986" t="str">
        <f t="shared" ref="P1986:P2001" si="250">IF(O1986&gt;0,"Delayed","On Time")</f>
        <v>On Time</v>
      </c>
      <c r="Q1986" s="13">
        <f t="shared" ref="Q1986:Q2001" si="251">IFERROR((C1986-B1986)*24,"")</f>
        <v>2.7936111110611819</v>
      </c>
      <c r="R1986" s="13">
        <f t="shared" ref="R1986:R2001" si="252">IFERROR(D1986-C1986,"")</f>
        <v>1.9956365740727051</v>
      </c>
      <c r="S1986" s="13">
        <f t="shared" ref="S1986:S2001" si="253">IFERROR(E1986-D1986,"")</f>
        <v>2.0818518518572091</v>
      </c>
      <c r="T1986" t="str">
        <f t="shared" ref="T1986:T2001" si="254">IF(O1986=0,"On Time/Early",IF(O1986&lt;=3,"1-3 Days Late",IF(O1986&lt;=7,"4-7 Days Late","8+ Days Late")))</f>
        <v>On Time/Early</v>
      </c>
      <c r="U1986" t="str">
        <f t="shared" ref="U1986:U2001" si="255">IF(P1986="Delayed","Needs Review","Normal")</f>
        <v>Normal</v>
      </c>
      <c r="V1986" t="s">
        <v>102</v>
      </c>
    </row>
    <row r="1987" spans="1:22">
      <c r="A1987" t="s">
        <v>2767</v>
      </c>
      <c r="B1987" s="10">
        <v>43333.377986111111</v>
      </c>
      <c r="C1987" s="10">
        <v>43333.385659722226</v>
      </c>
      <c r="D1987" s="10">
        <v>43334.609722222223</v>
      </c>
      <c r="E1987" s="10">
        <v>43335.89738425926</v>
      </c>
      <c r="F1987" s="10">
        <v>43355</v>
      </c>
      <c r="G1987" t="s">
        <v>16</v>
      </c>
      <c r="H1987" t="s">
        <v>2137</v>
      </c>
      <c r="I1987" t="s">
        <v>279</v>
      </c>
      <c r="J1987" s="11">
        <v>1</v>
      </c>
      <c r="K1987" s="12">
        <v>29.9</v>
      </c>
      <c r="L1987" s="12">
        <v>13.42</v>
      </c>
      <c r="M1987" s="13">
        <v>5</v>
      </c>
      <c r="N1987" s="13">
        <f t="shared" si="248"/>
        <v>2.5193981481497758</v>
      </c>
      <c r="O1987" s="13">
        <f t="shared" si="249"/>
        <v>0</v>
      </c>
      <c r="P1987" t="str">
        <f t="shared" si="250"/>
        <v>On Time</v>
      </c>
      <c r="Q1987" s="13">
        <f t="shared" si="251"/>
        <v>0.18416666676057503</v>
      </c>
      <c r="R1987" s="13">
        <f t="shared" si="252"/>
        <v>1.2240624999976717</v>
      </c>
      <c r="S1987" s="13">
        <f t="shared" si="253"/>
        <v>1.2876620370370802</v>
      </c>
      <c r="T1987" t="str">
        <f t="shared" si="254"/>
        <v>On Time/Early</v>
      </c>
      <c r="U1987" t="str">
        <f t="shared" si="255"/>
        <v>Normal</v>
      </c>
      <c r="V1987" t="s">
        <v>102</v>
      </c>
    </row>
    <row r="1988" spans="1:22">
      <c r="A1988" t="s">
        <v>2768</v>
      </c>
      <c r="B1988" s="10">
        <v>43333.531840277778</v>
      </c>
      <c r="C1988" s="10">
        <v>43333.549131944441</v>
      </c>
      <c r="D1988" s="10">
        <v>43334.532638888886</v>
      </c>
      <c r="E1988" s="10">
        <v>43340.762997685182</v>
      </c>
      <c r="F1988" s="10">
        <v>43360</v>
      </c>
      <c r="G1988" t="s">
        <v>20</v>
      </c>
      <c r="H1988" t="s">
        <v>391</v>
      </c>
      <c r="I1988" t="s">
        <v>143</v>
      </c>
      <c r="J1988" s="11">
        <v>1</v>
      </c>
      <c r="K1988" s="12">
        <v>186.6</v>
      </c>
      <c r="L1988" s="12">
        <v>17.5</v>
      </c>
      <c r="M1988" s="13">
        <v>4</v>
      </c>
      <c r="N1988" s="13">
        <f t="shared" si="248"/>
        <v>7.2311574074046803</v>
      </c>
      <c r="O1988" s="13">
        <f t="shared" si="249"/>
        <v>0</v>
      </c>
      <c r="P1988" t="str">
        <f t="shared" si="250"/>
        <v>On Time</v>
      </c>
      <c r="Q1988" s="13">
        <f t="shared" si="251"/>
        <v>0.41499999992083758</v>
      </c>
      <c r="R1988" s="13">
        <f t="shared" si="252"/>
        <v>0.98350694444525288</v>
      </c>
      <c r="S1988" s="13">
        <f t="shared" si="253"/>
        <v>6.2303587962960592</v>
      </c>
      <c r="T1988" t="str">
        <f t="shared" si="254"/>
        <v>On Time/Early</v>
      </c>
      <c r="U1988" t="str">
        <f t="shared" si="255"/>
        <v>Normal</v>
      </c>
      <c r="V1988" t="s">
        <v>102</v>
      </c>
    </row>
    <row r="1989" spans="1:22">
      <c r="A1989" t="s">
        <v>2769</v>
      </c>
      <c r="B1989" s="10">
        <v>43333.71539351852</v>
      </c>
      <c r="C1989" s="10">
        <v>43333.727280092593</v>
      </c>
      <c r="D1989" s="10">
        <v>43334.607638888891</v>
      </c>
      <c r="E1989" s="10">
        <v>43339.796782407408</v>
      </c>
      <c r="F1989" s="10">
        <v>43346</v>
      </c>
      <c r="G1989" t="s">
        <v>20</v>
      </c>
      <c r="H1989" t="s">
        <v>1205</v>
      </c>
      <c r="I1989" t="s">
        <v>246</v>
      </c>
      <c r="J1989" s="11">
        <v>1</v>
      </c>
      <c r="K1989" s="12">
        <v>104.6</v>
      </c>
      <c r="L1989" s="12">
        <v>15.8</v>
      </c>
      <c r="M1989" s="13">
        <v>5</v>
      </c>
      <c r="N1989" s="13">
        <f t="shared" si="248"/>
        <v>6.0813888888878864</v>
      </c>
      <c r="O1989" s="13">
        <f t="shared" si="249"/>
        <v>0</v>
      </c>
      <c r="P1989" t="str">
        <f t="shared" si="250"/>
        <v>On Time</v>
      </c>
      <c r="Q1989" s="13">
        <f t="shared" si="251"/>
        <v>0.28527777775889263</v>
      </c>
      <c r="R1989" s="13">
        <f t="shared" si="252"/>
        <v>0.88035879629751435</v>
      </c>
      <c r="S1989" s="13">
        <f t="shared" si="253"/>
        <v>5.1891435185170849</v>
      </c>
      <c r="T1989" t="str">
        <f t="shared" si="254"/>
        <v>On Time/Early</v>
      </c>
      <c r="U1989" t="str">
        <f t="shared" si="255"/>
        <v>Normal</v>
      </c>
      <c r="V1989" t="s">
        <v>102</v>
      </c>
    </row>
    <row r="1990" spans="1:22">
      <c r="A1990" t="s">
        <v>2770</v>
      </c>
      <c r="B1990" s="10">
        <v>43333.846192129633</v>
      </c>
      <c r="C1990" s="10">
        <v>43333.854351851849</v>
      </c>
      <c r="D1990" s="10">
        <v>43334.339583333334</v>
      </c>
      <c r="E1990" s="10">
        <v>43340.339201388888</v>
      </c>
      <c r="F1990" s="10">
        <v>43354</v>
      </c>
      <c r="G1990" t="s">
        <v>8</v>
      </c>
      <c r="H1990" t="s">
        <v>1966</v>
      </c>
      <c r="I1990" t="s">
        <v>120</v>
      </c>
      <c r="J1990" s="11">
        <v>1</v>
      </c>
      <c r="K1990" s="12">
        <v>59.9</v>
      </c>
      <c r="L1990" s="12">
        <v>19.61</v>
      </c>
      <c r="M1990" s="13">
        <v>3</v>
      </c>
      <c r="N1990" s="13">
        <f t="shared" si="248"/>
        <v>6.4930092592549045</v>
      </c>
      <c r="O1990" s="13">
        <f t="shared" si="249"/>
        <v>0</v>
      </c>
      <c r="P1990" t="str">
        <f t="shared" si="250"/>
        <v>On Time</v>
      </c>
      <c r="Q1990" s="13">
        <f t="shared" si="251"/>
        <v>0.19583333318587393</v>
      </c>
      <c r="R1990" s="13">
        <f t="shared" si="252"/>
        <v>0.48523148148524342</v>
      </c>
      <c r="S1990" s="13">
        <f t="shared" si="253"/>
        <v>5.999618055553583</v>
      </c>
      <c r="T1990" t="str">
        <f t="shared" si="254"/>
        <v>On Time/Early</v>
      </c>
      <c r="U1990" t="str">
        <f t="shared" si="255"/>
        <v>Normal</v>
      </c>
      <c r="V1990" t="s">
        <v>102</v>
      </c>
    </row>
    <row r="1991" spans="1:22">
      <c r="A1991" t="s">
        <v>2771</v>
      </c>
      <c r="B1991" s="10">
        <v>43333.930775462963</v>
      </c>
      <c r="C1991" s="10">
        <v>43333.937800925924</v>
      </c>
      <c r="D1991" s="10">
        <v>43334.55972222222</v>
      </c>
      <c r="E1991" s="10">
        <v>43342.473796296297</v>
      </c>
      <c r="F1991" s="10">
        <v>43363</v>
      </c>
      <c r="G1991" t="s">
        <v>23</v>
      </c>
      <c r="H1991" t="s">
        <v>2772</v>
      </c>
      <c r="I1991" t="s">
        <v>128</v>
      </c>
      <c r="J1991" s="11">
        <v>1</v>
      </c>
      <c r="K1991" s="12">
        <v>139</v>
      </c>
      <c r="L1991" s="12">
        <v>66.180000000000007</v>
      </c>
      <c r="M1991" s="13">
        <v>4</v>
      </c>
      <c r="N1991" s="13">
        <f t="shared" si="248"/>
        <v>8.5430208333345945</v>
      </c>
      <c r="O1991" s="13">
        <f t="shared" si="249"/>
        <v>0</v>
      </c>
      <c r="P1991" t="str">
        <f t="shared" si="250"/>
        <v>On Time</v>
      </c>
      <c r="Q1991" s="13">
        <f t="shared" si="251"/>
        <v>0.16861111106118187</v>
      </c>
      <c r="R1991" s="13">
        <f t="shared" si="252"/>
        <v>0.62192129629693227</v>
      </c>
      <c r="S1991" s="13">
        <f t="shared" si="253"/>
        <v>7.9140740740767797</v>
      </c>
      <c r="T1991" t="str">
        <f t="shared" si="254"/>
        <v>On Time/Early</v>
      </c>
      <c r="U1991" t="str">
        <f t="shared" si="255"/>
        <v>Normal</v>
      </c>
      <c r="V1991" t="s">
        <v>102</v>
      </c>
    </row>
    <row r="1992" spans="1:22">
      <c r="A1992" t="s">
        <v>2773</v>
      </c>
      <c r="B1992" s="10">
        <v>43334.655462962961</v>
      </c>
      <c r="C1992" s="10">
        <v>43334.663310185184</v>
      </c>
      <c r="D1992" s="10">
        <v>43335.626388888886</v>
      </c>
      <c r="E1992" s="10">
        <v>43340.865787037037</v>
      </c>
      <c r="F1992" s="10">
        <v>43347</v>
      </c>
      <c r="G1992" t="s">
        <v>16</v>
      </c>
      <c r="H1992" t="s">
        <v>138</v>
      </c>
      <c r="I1992" t="s">
        <v>246</v>
      </c>
      <c r="J1992" s="11">
        <v>1</v>
      </c>
      <c r="K1992" s="12">
        <v>49.99</v>
      </c>
      <c r="L1992" s="12">
        <v>18.45</v>
      </c>
      <c r="M1992" s="13">
        <v>5</v>
      </c>
      <c r="N1992" s="13">
        <f t="shared" si="248"/>
        <v>6.2103240740761976</v>
      </c>
      <c r="O1992" s="13">
        <f t="shared" si="249"/>
        <v>0</v>
      </c>
      <c r="P1992" t="str">
        <f t="shared" si="250"/>
        <v>On Time</v>
      </c>
      <c r="Q1992" s="13">
        <f t="shared" si="251"/>
        <v>0.18833333335351199</v>
      </c>
      <c r="R1992" s="13">
        <f t="shared" si="252"/>
        <v>0.96307870370219462</v>
      </c>
      <c r="S1992" s="13">
        <f t="shared" si="253"/>
        <v>5.23939814815094</v>
      </c>
      <c r="T1992" t="str">
        <f t="shared" si="254"/>
        <v>On Time/Early</v>
      </c>
      <c r="U1992" t="str">
        <f t="shared" si="255"/>
        <v>Normal</v>
      </c>
      <c r="V1992" t="s">
        <v>102</v>
      </c>
    </row>
    <row r="1993" spans="1:22">
      <c r="A1993" t="s">
        <v>2774</v>
      </c>
      <c r="B1993" s="10">
        <v>43334.87300925926</v>
      </c>
      <c r="C1993" s="10">
        <v>43335.871863425928</v>
      </c>
      <c r="D1993" s="10">
        <v>43336.499305555553</v>
      </c>
      <c r="E1993" s="10">
        <v>43342.952708333331</v>
      </c>
      <c r="F1993" s="10">
        <v>43367</v>
      </c>
      <c r="G1993" t="s">
        <v>16</v>
      </c>
      <c r="H1993" t="s">
        <v>852</v>
      </c>
      <c r="I1993" t="s">
        <v>31</v>
      </c>
      <c r="J1993" s="11">
        <v>1</v>
      </c>
      <c r="K1993" s="12">
        <v>18.89</v>
      </c>
      <c r="L1993" s="12">
        <v>17.059999999999999</v>
      </c>
      <c r="M1993" s="13">
        <v>5</v>
      </c>
      <c r="N1993" s="13">
        <f t="shared" si="248"/>
        <v>8.0796990740709589</v>
      </c>
      <c r="O1993" s="13">
        <f t="shared" si="249"/>
        <v>0</v>
      </c>
      <c r="P1993" t="str">
        <f t="shared" si="250"/>
        <v>On Time</v>
      </c>
      <c r="Q1993" s="13">
        <f t="shared" si="251"/>
        <v>23.972500000032596</v>
      </c>
      <c r="R1993" s="13">
        <f t="shared" si="252"/>
        <v>0.627442129625706</v>
      </c>
      <c r="S1993" s="13">
        <f t="shared" si="253"/>
        <v>6.453402777777228</v>
      </c>
      <c r="T1993" t="str">
        <f t="shared" si="254"/>
        <v>On Time/Early</v>
      </c>
      <c r="U1993" t="str">
        <f t="shared" si="255"/>
        <v>Normal</v>
      </c>
      <c r="V1993" t="s">
        <v>102</v>
      </c>
    </row>
    <row r="1994" spans="1:22">
      <c r="A1994" t="s">
        <v>2775</v>
      </c>
      <c r="B1994" s="10">
        <v>43334.994583333333</v>
      </c>
      <c r="C1994" s="10">
        <v>43335.003657407404</v>
      </c>
      <c r="D1994" s="10">
        <v>43335.590277777781</v>
      </c>
      <c r="E1994" s="10">
        <v>43341.700578703705</v>
      </c>
      <c r="F1994" s="10">
        <v>43348</v>
      </c>
      <c r="G1994" t="s">
        <v>8</v>
      </c>
      <c r="H1994" t="s">
        <v>182</v>
      </c>
      <c r="I1994" t="s">
        <v>136</v>
      </c>
      <c r="J1994" s="11">
        <v>1</v>
      </c>
      <c r="K1994" s="12">
        <v>89</v>
      </c>
      <c r="L1994" s="12">
        <v>14.2</v>
      </c>
      <c r="M1994" s="13">
        <v>5</v>
      </c>
      <c r="N1994" s="13">
        <f t="shared" si="248"/>
        <v>6.7059953703719657</v>
      </c>
      <c r="O1994" s="13">
        <f t="shared" si="249"/>
        <v>0</v>
      </c>
      <c r="P1994" t="str">
        <f t="shared" si="250"/>
        <v>On Time</v>
      </c>
      <c r="Q1994" s="13">
        <f t="shared" si="251"/>
        <v>0.21777777769602835</v>
      </c>
      <c r="R1994" s="13">
        <f t="shared" si="252"/>
        <v>0.58662037037720438</v>
      </c>
      <c r="S1994" s="13">
        <f t="shared" si="253"/>
        <v>6.1103009259240935</v>
      </c>
      <c r="T1994" t="str">
        <f t="shared" si="254"/>
        <v>On Time/Early</v>
      </c>
      <c r="U1994" t="str">
        <f t="shared" si="255"/>
        <v>Normal</v>
      </c>
      <c r="V1994" t="s">
        <v>102</v>
      </c>
    </row>
    <row r="1995" spans="1:22">
      <c r="A1995" t="s">
        <v>2776</v>
      </c>
      <c r="B1995" s="10">
        <v>43335.410787037035</v>
      </c>
      <c r="C1995" s="10">
        <v>43336.406469907408</v>
      </c>
      <c r="D1995" s="10">
        <v>43336.62222222222</v>
      </c>
      <c r="E1995" s="10">
        <v>43339.961087962962</v>
      </c>
      <c r="F1995" s="10">
        <v>43343</v>
      </c>
      <c r="G1995" t="s">
        <v>8</v>
      </c>
      <c r="H1995" t="s">
        <v>140</v>
      </c>
      <c r="I1995" t="s">
        <v>118</v>
      </c>
      <c r="J1995" s="11">
        <v>1</v>
      </c>
      <c r="K1995" s="12">
        <v>13.5</v>
      </c>
      <c r="L1995" s="12">
        <v>7.39</v>
      </c>
      <c r="M1995" s="13">
        <v>1</v>
      </c>
      <c r="N1995" s="13">
        <f t="shared" si="248"/>
        <v>4.5503009259264218</v>
      </c>
      <c r="O1995" s="13">
        <f t="shared" si="249"/>
        <v>0</v>
      </c>
      <c r="P1995" t="str">
        <f t="shared" si="250"/>
        <v>On Time</v>
      </c>
      <c r="Q1995" s="13">
        <f t="shared" si="251"/>
        <v>23.896388888941146</v>
      </c>
      <c r="R1995" s="13">
        <f t="shared" si="252"/>
        <v>0.21575231481256196</v>
      </c>
      <c r="S1995" s="13">
        <f t="shared" si="253"/>
        <v>3.338865740741312</v>
      </c>
      <c r="T1995" t="str">
        <f t="shared" si="254"/>
        <v>On Time/Early</v>
      </c>
      <c r="U1995" t="str">
        <f t="shared" si="255"/>
        <v>Normal</v>
      </c>
      <c r="V1995" t="s">
        <v>102</v>
      </c>
    </row>
    <row r="1996" spans="1:22">
      <c r="A1996" t="s">
        <v>2777</v>
      </c>
      <c r="B1996" s="10">
        <v>43335.581134259257</v>
      </c>
      <c r="C1996" s="10">
        <v>43335.590451388889</v>
      </c>
      <c r="D1996" s="10">
        <v>43335.654166666667</v>
      </c>
      <c r="E1996" s="10">
        <v>43339.772858796299</v>
      </c>
      <c r="F1996" s="10">
        <v>43347</v>
      </c>
      <c r="G1996" t="s">
        <v>8</v>
      </c>
      <c r="H1996" t="s">
        <v>1483</v>
      </c>
      <c r="I1996" t="s">
        <v>123</v>
      </c>
      <c r="J1996" s="11">
        <v>1</v>
      </c>
      <c r="K1996" s="12">
        <v>259</v>
      </c>
      <c r="L1996" s="12">
        <v>20.11</v>
      </c>
      <c r="M1996" s="13">
        <v>5</v>
      </c>
      <c r="N1996" s="13">
        <f t="shared" si="248"/>
        <v>4.1917245370423188</v>
      </c>
      <c r="O1996" s="13">
        <f t="shared" si="249"/>
        <v>0</v>
      </c>
      <c r="P1996" t="str">
        <f t="shared" si="250"/>
        <v>On Time</v>
      </c>
      <c r="Q1996" s="13">
        <f t="shared" si="251"/>
        <v>0.22361111117061228</v>
      </c>
      <c r="R1996" s="13">
        <f t="shared" si="252"/>
        <v>6.3715277778101154E-2</v>
      </c>
      <c r="S1996" s="13">
        <f t="shared" si="253"/>
        <v>4.1186921296321088</v>
      </c>
      <c r="T1996" t="str">
        <f t="shared" si="254"/>
        <v>On Time/Early</v>
      </c>
      <c r="U1996" t="str">
        <f t="shared" si="255"/>
        <v>Normal</v>
      </c>
      <c r="V1996" t="s">
        <v>102</v>
      </c>
    </row>
    <row r="1997" spans="1:22">
      <c r="A1997" t="s">
        <v>2778</v>
      </c>
      <c r="B1997" s="10">
        <v>43336.792384259257</v>
      </c>
      <c r="C1997" s="10">
        <v>43336.802210648151</v>
      </c>
      <c r="D1997" s="10">
        <v>43337.376388888886</v>
      </c>
      <c r="E1997" s="10">
        <v>43343.051076388889</v>
      </c>
      <c r="F1997" s="10">
        <v>43355</v>
      </c>
      <c r="G1997" t="s">
        <v>20</v>
      </c>
      <c r="H1997" t="s">
        <v>2779</v>
      </c>
      <c r="I1997" t="s">
        <v>143</v>
      </c>
      <c r="J1997" s="11">
        <v>1</v>
      </c>
      <c r="K1997" s="12">
        <v>69</v>
      </c>
      <c r="L1997" s="12">
        <v>18.579999999999998</v>
      </c>
      <c r="M1997" s="13">
        <v>5</v>
      </c>
      <c r="N1997" s="13">
        <f t="shared" si="248"/>
        <v>6.2586921296315268</v>
      </c>
      <c r="O1997" s="13">
        <f t="shared" si="249"/>
        <v>0</v>
      </c>
      <c r="P1997" t="str">
        <f t="shared" si="250"/>
        <v>On Time</v>
      </c>
      <c r="Q1997" s="13">
        <f t="shared" si="251"/>
        <v>0.23583333345595747</v>
      </c>
      <c r="R1997" s="13">
        <f t="shared" si="252"/>
        <v>0.5741782407349092</v>
      </c>
      <c r="S1997" s="13">
        <f t="shared" si="253"/>
        <v>5.6746875000026193</v>
      </c>
      <c r="T1997" t="str">
        <f t="shared" si="254"/>
        <v>On Time/Early</v>
      </c>
      <c r="U1997" t="str">
        <f t="shared" si="255"/>
        <v>Normal</v>
      </c>
      <c r="V1997" t="s">
        <v>102</v>
      </c>
    </row>
    <row r="1998" spans="1:22">
      <c r="A1998" t="s">
        <v>2780</v>
      </c>
      <c r="B1998" s="10">
        <v>43337.509143518517</v>
      </c>
      <c r="C1998" s="10">
        <v>43337.517488425925</v>
      </c>
      <c r="D1998" s="10">
        <v>43339.409722222219</v>
      </c>
      <c r="E1998" s="10">
        <v>43342.808680555558</v>
      </c>
      <c r="F1998" s="10">
        <v>43353</v>
      </c>
      <c r="G1998" t="s">
        <v>16</v>
      </c>
      <c r="H1998" t="s">
        <v>138</v>
      </c>
      <c r="I1998" t="s">
        <v>128</v>
      </c>
      <c r="J1998" s="11">
        <v>1</v>
      </c>
      <c r="K1998" s="12">
        <v>14.9</v>
      </c>
      <c r="L1998" s="12">
        <v>15.23</v>
      </c>
      <c r="M1998" s="13">
        <v>5</v>
      </c>
      <c r="N1998" s="13">
        <f t="shared" si="248"/>
        <v>5.2995370370408637</v>
      </c>
      <c r="O1998" s="13">
        <f t="shared" si="249"/>
        <v>0</v>
      </c>
      <c r="P1998" t="str">
        <f t="shared" si="250"/>
        <v>On Time</v>
      </c>
      <c r="Q1998" s="13">
        <f t="shared" si="251"/>
        <v>0.20027777779614553</v>
      </c>
      <c r="R1998" s="13">
        <f t="shared" si="252"/>
        <v>1.8922337962940219</v>
      </c>
      <c r="S1998" s="13">
        <f t="shared" si="253"/>
        <v>3.398958333338669</v>
      </c>
      <c r="T1998" t="str">
        <f t="shared" si="254"/>
        <v>On Time/Early</v>
      </c>
      <c r="U1998" t="str">
        <f t="shared" si="255"/>
        <v>Normal</v>
      </c>
      <c r="V1998" t="s">
        <v>102</v>
      </c>
    </row>
    <row r="1999" spans="1:22">
      <c r="A1999" t="s">
        <v>2781</v>
      </c>
      <c r="B1999" s="10">
        <v>43337.775740740741</v>
      </c>
      <c r="C1999" s="10">
        <v>43337.784837962965</v>
      </c>
      <c r="D1999" s="10">
        <v>43339.621527777781</v>
      </c>
      <c r="E1999" s="10">
        <v>43341.945416666669</v>
      </c>
      <c r="F1999" s="10">
        <v>43342</v>
      </c>
      <c r="G1999" t="s">
        <v>8</v>
      </c>
      <c r="H1999" t="s">
        <v>140</v>
      </c>
      <c r="I1999" t="s">
        <v>120</v>
      </c>
      <c r="J1999" s="11">
        <v>1</v>
      </c>
      <c r="K1999" s="12">
        <v>31</v>
      </c>
      <c r="L1999" s="12">
        <v>8.9700000000000006</v>
      </c>
      <c r="M1999" s="13">
        <v>4</v>
      </c>
      <c r="N1999" s="13">
        <f t="shared" si="248"/>
        <v>4.169675925928459</v>
      </c>
      <c r="O1999" s="13">
        <f t="shared" si="249"/>
        <v>0</v>
      </c>
      <c r="P1999" t="str">
        <f t="shared" si="250"/>
        <v>On Time</v>
      </c>
      <c r="Q1999" s="13">
        <f t="shared" si="251"/>
        <v>0.21833333338145167</v>
      </c>
      <c r="R1999" s="13">
        <f t="shared" si="252"/>
        <v>1.8366898148160544</v>
      </c>
      <c r="S1999" s="13">
        <f t="shared" si="253"/>
        <v>2.3238888888881775</v>
      </c>
      <c r="T1999" t="str">
        <f t="shared" si="254"/>
        <v>On Time/Early</v>
      </c>
      <c r="U1999" t="str">
        <f t="shared" si="255"/>
        <v>Normal</v>
      </c>
      <c r="V1999" t="s">
        <v>102</v>
      </c>
    </row>
    <row r="2000" spans="1:22">
      <c r="A2000" t="s">
        <v>2782</v>
      </c>
      <c r="B2000" s="10">
        <v>43338.675312500003</v>
      </c>
      <c r="C2000" s="10">
        <v>43338.684224537035</v>
      </c>
      <c r="D2000" s="10">
        <v>43341.617361111108</v>
      </c>
      <c r="E2000" s="10">
        <v>43343.043877314813</v>
      </c>
      <c r="F2000" s="10">
        <v>43348</v>
      </c>
      <c r="G2000" t="s">
        <v>8</v>
      </c>
      <c r="H2000" t="s">
        <v>430</v>
      </c>
      <c r="I2000" t="s">
        <v>58</v>
      </c>
      <c r="J2000" s="11">
        <v>1</v>
      </c>
      <c r="K2000" s="12">
        <v>29.9</v>
      </c>
      <c r="L2000" s="12">
        <v>7.47</v>
      </c>
      <c r="M2000" s="13">
        <v>5</v>
      </c>
      <c r="N2000" s="13">
        <f t="shared" si="248"/>
        <v>4.3685648148093605</v>
      </c>
      <c r="O2000" s="13">
        <f t="shared" si="249"/>
        <v>0</v>
      </c>
      <c r="P2000" t="str">
        <f t="shared" si="250"/>
        <v>On Time</v>
      </c>
      <c r="Q2000" s="13">
        <f t="shared" si="251"/>
        <v>0.21388888877118006</v>
      </c>
      <c r="R2000" s="13">
        <f t="shared" si="252"/>
        <v>2.9331365740727051</v>
      </c>
      <c r="S2000" s="13">
        <f t="shared" si="253"/>
        <v>1.4265162037045229</v>
      </c>
      <c r="T2000" t="str">
        <f t="shared" si="254"/>
        <v>On Time/Early</v>
      </c>
      <c r="U2000" t="str">
        <f t="shared" si="255"/>
        <v>Normal</v>
      </c>
      <c r="V2000" t="s">
        <v>102</v>
      </c>
    </row>
    <row r="2001" spans="1:22">
      <c r="A2001" t="s">
        <v>2783</v>
      </c>
      <c r="B2001" s="10">
        <v>43341.625428240739</v>
      </c>
      <c r="C2001" s="10">
        <v>43341.632245370369</v>
      </c>
      <c r="D2001" s="10">
        <v>43341.706250000003</v>
      </c>
      <c r="E2001" s="10">
        <v>43342.683055555557</v>
      </c>
      <c r="F2001" s="10">
        <v>43348</v>
      </c>
      <c r="G2001" t="s">
        <v>8</v>
      </c>
      <c r="H2001" t="s">
        <v>520</v>
      </c>
      <c r="I2001" t="s">
        <v>120</v>
      </c>
      <c r="J2001" s="11">
        <v>1</v>
      </c>
      <c r="K2001" s="12">
        <v>84.99</v>
      </c>
      <c r="L2001" s="12">
        <v>8.76</v>
      </c>
      <c r="M2001" s="13">
        <v>5</v>
      </c>
      <c r="N2001" s="13">
        <f t="shared" si="248"/>
        <v>1.0576273148180917</v>
      </c>
      <c r="O2001" s="13">
        <f t="shared" si="249"/>
        <v>0</v>
      </c>
      <c r="P2001" t="str">
        <f t="shared" si="250"/>
        <v>On Time</v>
      </c>
      <c r="Q2001" s="13">
        <f t="shared" si="251"/>
        <v>0.16361111111473292</v>
      </c>
      <c r="R2001" s="13">
        <f t="shared" si="252"/>
        <v>7.4004629634146113E-2</v>
      </c>
      <c r="S2001" s="13">
        <f t="shared" si="253"/>
        <v>0.97680555555416504</v>
      </c>
      <c r="T2001" t="str">
        <f t="shared" si="254"/>
        <v>On Time/Early</v>
      </c>
      <c r="U2001" t="str">
        <f t="shared" si="255"/>
        <v>Normal</v>
      </c>
      <c r="V2001" t="s">
        <v>102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6"/>
  <sheetViews>
    <sheetView topLeftCell="A13" workbookViewId="0">
      <selection activeCell="B2" sqref="B2"/>
    </sheetView>
  </sheetViews>
  <sheetFormatPr defaultRowHeight="13.8"/>
  <cols>
    <col min="1" max="1" width="12" customWidth="1"/>
    <col min="2" max="4" width="16" customWidth="1"/>
    <col min="5" max="5" width="12" customWidth="1"/>
    <col min="6" max="6" width="15.19921875" bestFit="1" customWidth="1"/>
    <col min="7" max="7" width="15.8984375" bestFit="1" customWidth="1"/>
    <col min="8" max="8" width="15.296875" bestFit="1" customWidth="1"/>
    <col min="9" max="9" width="13" customWidth="1"/>
    <col min="10" max="10" width="11" customWidth="1"/>
    <col min="11" max="11" width="36" customWidth="1"/>
  </cols>
  <sheetData>
    <row r="1" spans="1:11" ht="24" customHeight="1">
      <c r="A1" s="25" t="s">
        <v>2784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172.8">
      <c r="A2" s="15" t="s">
        <v>2785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27.6">
      <c r="A3" s="7" t="s">
        <v>1</v>
      </c>
      <c r="B3" s="7" t="s">
        <v>2786</v>
      </c>
      <c r="C3" s="7" t="s">
        <v>2787</v>
      </c>
      <c r="D3" s="7" t="s">
        <v>2788</v>
      </c>
      <c r="E3" s="7" t="s">
        <v>2789</v>
      </c>
      <c r="F3" s="7" t="s">
        <v>2790</v>
      </c>
      <c r="G3" s="7" t="s">
        <v>2791</v>
      </c>
      <c r="H3" s="7" t="s">
        <v>2792</v>
      </c>
      <c r="I3" s="7" t="s">
        <v>2793</v>
      </c>
      <c r="J3" s="7" t="s">
        <v>2794</v>
      </c>
      <c r="K3" s="7" t="s">
        <v>2795</v>
      </c>
    </row>
    <row r="4" spans="1:11" ht="27.6">
      <c r="A4" s="8" t="s">
        <v>2796</v>
      </c>
      <c r="B4" s="8">
        <v>1</v>
      </c>
      <c r="C4" s="8">
        <v>0</v>
      </c>
      <c r="D4" s="8">
        <v>1</v>
      </c>
      <c r="E4" s="16">
        <f t="shared" ref="E4:E26" si="0">IFERROR(D4/B4,0)</f>
        <v>1</v>
      </c>
      <c r="F4" s="17">
        <v>54.813194444444441</v>
      </c>
      <c r="G4" s="17">
        <v>36.324745370370373</v>
      </c>
      <c r="H4" s="17">
        <v>1</v>
      </c>
      <c r="I4" s="18">
        <v>8.49</v>
      </c>
      <c r="J4" s="17">
        <v>3</v>
      </c>
      <c r="K4" s="8" t="s">
        <v>2797</v>
      </c>
    </row>
    <row r="5" spans="1:11">
      <c r="A5" s="8" t="s">
        <v>7</v>
      </c>
      <c r="B5" s="8">
        <v>265</v>
      </c>
      <c r="C5" s="8">
        <v>262</v>
      </c>
      <c r="D5" s="8">
        <v>3</v>
      </c>
      <c r="E5" s="16">
        <f t="shared" si="0"/>
        <v>1.1320754716981131E-2</v>
      </c>
      <c r="F5" s="17">
        <v>19.600558787561138</v>
      </c>
      <c r="G5" s="17">
        <v>7.8614867225716284E-2</v>
      </c>
      <c r="H5" s="17">
        <v>4.0114503816793894</v>
      </c>
      <c r="I5" s="18">
        <v>23.266226415094348</v>
      </c>
      <c r="J5" s="17">
        <v>1.1811320754716981</v>
      </c>
      <c r="K5" s="8" t="s">
        <v>2798</v>
      </c>
    </row>
    <row r="6" spans="1:11" ht="27.6">
      <c r="A6" s="8" t="s">
        <v>2799</v>
      </c>
      <c r="B6" s="8">
        <v>1</v>
      </c>
      <c r="C6" s="8">
        <v>1</v>
      </c>
      <c r="D6" s="8">
        <v>0</v>
      </c>
      <c r="E6" s="16">
        <f t="shared" si="0"/>
        <v>0</v>
      </c>
      <c r="F6" s="17">
        <v>4.6930208333333336</v>
      </c>
      <c r="G6" s="17">
        <v>0</v>
      </c>
      <c r="H6" s="17">
        <v>5</v>
      </c>
      <c r="I6" s="18">
        <v>8.7200000000000006</v>
      </c>
      <c r="J6" s="17">
        <v>1</v>
      </c>
      <c r="K6" s="8" t="s">
        <v>2797</v>
      </c>
    </row>
    <row r="7" spans="1:11">
      <c r="A7" s="8" t="s">
        <v>15</v>
      </c>
      <c r="B7" s="8">
        <v>750</v>
      </c>
      <c r="C7" s="8">
        <v>727</v>
      </c>
      <c r="D7" s="8">
        <v>23</v>
      </c>
      <c r="E7" s="16">
        <f t="shared" si="0"/>
        <v>3.0666666666666665E-2</v>
      </c>
      <c r="F7" s="17">
        <v>12.647043518518519</v>
      </c>
      <c r="G7" s="17">
        <v>0.60869290123456787</v>
      </c>
      <c r="H7" s="17">
        <v>4.1990553306342777</v>
      </c>
      <c r="I7" s="18">
        <v>20.912013333333313</v>
      </c>
      <c r="J7" s="17">
        <v>1.2173333333333334</v>
      </c>
      <c r="K7" s="8" t="s">
        <v>2798</v>
      </c>
    </row>
    <row r="8" spans="1:11">
      <c r="A8" s="8" t="s">
        <v>19</v>
      </c>
      <c r="B8" s="8">
        <v>1653</v>
      </c>
      <c r="C8" s="8">
        <v>1600</v>
      </c>
      <c r="D8" s="8">
        <v>53</v>
      </c>
      <c r="E8" s="16">
        <f t="shared" si="0"/>
        <v>3.2062915910465818E-2</v>
      </c>
      <c r="F8" s="17">
        <v>13.168825248986126</v>
      </c>
      <c r="G8" s="17">
        <v>0.63256765196836306</v>
      </c>
      <c r="H8" s="17">
        <v>4.2026780279975657</v>
      </c>
      <c r="I8" s="18">
        <v>22.393176043557123</v>
      </c>
      <c r="J8" s="17">
        <v>1.1240169388989716</v>
      </c>
      <c r="K8" s="8" t="s">
        <v>2798</v>
      </c>
    </row>
    <row r="9" spans="1:11">
      <c r="A9" s="8" t="s">
        <v>22</v>
      </c>
      <c r="B9" s="8">
        <v>2546</v>
      </c>
      <c r="C9" s="8">
        <v>2404</v>
      </c>
      <c r="D9" s="8">
        <v>142</v>
      </c>
      <c r="E9" s="16">
        <f t="shared" si="0"/>
        <v>5.5773762765121762E-2</v>
      </c>
      <c r="F9" s="17">
        <v>12.951184487831323</v>
      </c>
      <c r="G9" s="17">
        <v>1.189236874836344</v>
      </c>
      <c r="H9" s="17">
        <v>4.1873763355757818</v>
      </c>
      <c r="I9" s="18">
        <v>21.654399057344726</v>
      </c>
      <c r="J9" s="17">
        <v>1.1378633150039277</v>
      </c>
      <c r="K9" s="8" t="s">
        <v>2800</v>
      </c>
    </row>
    <row r="10" spans="1:11">
      <c r="A10" s="8" t="s">
        <v>29</v>
      </c>
      <c r="B10" s="8">
        <v>2303</v>
      </c>
      <c r="C10" s="8">
        <v>2122</v>
      </c>
      <c r="D10" s="8">
        <v>181</v>
      </c>
      <c r="E10" s="16">
        <f t="shared" si="0"/>
        <v>7.8593139383412947E-2</v>
      </c>
      <c r="F10" s="17">
        <v>14.917912500402057</v>
      </c>
      <c r="G10" s="17">
        <v>0.84993480223058449</v>
      </c>
      <c r="H10" s="17">
        <v>4.1375545851528388</v>
      </c>
      <c r="I10" s="18">
        <v>21.772783326096324</v>
      </c>
      <c r="J10" s="17">
        <v>1.115501519756839</v>
      </c>
      <c r="K10" s="8" t="s">
        <v>2800</v>
      </c>
    </row>
    <row r="11" spans="1:11">
      <c r="A11" s="8" t="s">
        <v>32</v>
      </c>
      <c r="B11" s="8">
        <v>3545</v>
      </c>
      <c r="C11" s="8">
        <v>3417</v>
      </c>
      <c r="D11" s="8">
        <v>128</v>
      </c>
      <c r="E11" s="16">
        <f t="shared" si="0"/>
        <v>3.6107193229901267E-2</v>
      </c>
      <c r="F11" s="17">
        <v>11.322362975369591</v>
      </c>
      <c r="G11" s="17">
        <v>0.39475198505981313</v>
      </c>
      <c r="H11" s="17">
        <v>4.2382712539095824</v>
      </c>
      <c r="I11" s="18">
        <v>21.86125528913956</v>
      </c>
      <c r="J11" s="17">
        <v>1.1291960507757406</v>
      </c>
      <c r="K11" s="8" t="s">
        <v>2798</v>
      </c>
    </row>
    <row r="12" spans="1:11">
      <c r="A12" s="8" t="s">
        <v>35</v>
      </c>
      <c r="B12" s="8">
        <v>3135</v>
      </c>
      <c r="C12" s="8">
        <v>3014</v>
      </c>
      <c r="D12" s="8">
        <v>121</v>
      </c>
      <c r="E12" s="16">
        <f t="shared" si="0"/>
        <v>3.8596491228070177E-2</v>
      </c>
      <c r="F12" s="17">
        <v>12.011572704383017</v>
      </c>
      <c r="G12" s="17">
        <v>0.45832311418276356</v>
      </c>
      <c r="H12" s="17">
        <v>4.2229186756669881</v>
      </c>
      <c r="I12" s="18">
        <v>21.731100478468704</v>
      </c>
      <c r="J12" s="17">
        <v>1.1129186602870813</v>
      </c>
      <c r="K12" s="8" t="s">
        <v>2798</v>
      </c>
    </row>
    <row r="13" spans="1:11">
      <c r="A13" s="8" t="s">
        <v>42</v>
      </c>
      <c r="B13" s="8">
        <v>3872</v>
      </c>
      <c r="C13" s="8">
        <v>3739</v>
      </c>
      <c r="D13" s="8">
        <v>133</v>
      </c>
      <c r="E13" s="16">
        <f t="shared" si="0"/>
        <v>3.4349173553719005E-2</v>
      </c>
      <c r="F13" s="17">
        <v>11.592732387200606</v>
      </c>
      <c r="G13" s="17">
        <v>0.35109563018920259</v>
      </c>
      <c r="H13" s="17">
        <v>4.2584157556828037</v>
      </c>
      <c r="I13" s="18">
        <v>21.87359504132224</v>
      </c>
      <c r="J13" s="17">
        <v>1.140495867768595</v>
      </c>
      <c r="K13" s="8" t="s">
        <v>2798</v>
      </c>
    </row>
    <row r="14" spans="1:11">
      <c r="A14" s="8" t="s">
        <v>49</v>
      </c>
      <c r="B14" s="8">
        <v>4193</v>
      </c>
      <c r="C14" s="8">
        <v>4054</v>
      </c>
      <c r="D14" s="8">
        <v>139</v>
      </c>
      <c r="E14" s="16">
        <f t="shared" si="0"/>
        <v>3.315048891008824E-2</v>
      </c>
      <c r="F14" s="17">
        <v>11.147124655510549</v>
      </c>
      <c r="G14" s="17">
        <v>0.2793383510657092</v>
      </c>
      <c r="H14" s="17">
        <v>4.3115246098439375</v>
      </c>
      <c r="I14" s="18">
        <v>21.734476508466535</v>
      </c>
      <c r="J14" s="17">
        <v>1.144049606487002</v>
      </c>
      <c r="K14" s="8" t="s">
        <v>2798</v>
      </c>
    </row>
    <row r="15" spans="1:11">
      <c r="A15" s="8" t="s">
        <v>56</v>
      </c>
      <c r="B15" s="8">
        <v>4150</v>
      </c>
      <c r="C15" s="8">
        <v>3934</v>
      </c>
      <c r="D15" s="8">
        <v>216</v>
      </c>
      <c r="E15" s="16">
        <f t="shared" si="0"/>
        <v>5.2048192771084335E-2</v>
      </c>
      <c r="F15" s="17">
        <v>11.85100652889332</v>
      </c>
      <c r="G15" s="17">
        <v>0.45017719489067387</v>
      </c>
      <c r="H15" s="17">
        <v>4.2674842156386594</v>
      </c>
      <c r="I15" s="18">
        <v>22.572968674698771</v>
      </c>
      <c r="J15" s="17">
        <v>1.1414457831325302</v>
      </c>
      <c r="K15" s="8" t="s">
        <v>2800</v>
      </c>
    </row>
    <row r="16" spans="1:11">
      <c r="A16" s="8" t="s">
        <v>63</v>
      </c>
      <c r="B16" s="8">
        <v>4478</v>
      </c>
      <c r="C16" s="8">
        <v>4241</v>
      </c>
      <c r="D16" s="8">
        <v>237</v>
      </c>
      <c r="E16" s="16">
        <f t="shared" si="0"/>
        <v>5.2925413130861992E-2</v>
      </c>
      <c r="F16" s="17">
        <v>11.856699698526111</v>
      </c>
      <c r="G16" s="17">
        <v>0.42368863776404808</v>
      </c>
      <c r="H16" s="17">
        <v>4.2052406657669819</v>
      </c>
      <c r="I16" s="18">
        <v>22.972166145600891</v>
      </c>
      <c r="J16" s="17">
        <v>1.1643590888789639</v>
      </c>
      <c r="K16" s="8" t="s">
        <v>2800</v>
      </c>
    </row>
    <row r="17" spans="1:11" ht="27.6">
      <c r="A17" s="8" t="s">
        <v>68</v>
      </c>
      <c r="B17" s="8">
        <v>7288</v>
      </c>
      <c r="C17" s="8">
        <v>6245</v>
      </c>
      <c r="D17" s="8">
        <v>1043</v>
      </c>
      <c r="E17" s="16">
        <f t="shared" si="0"/>
        <v>0.1431119648737651</v>
      </c>
      <c r="F17" s="17">
        <v>15.161131699241784</v>
      </c>
      <c r="G17" s="17">
        <v>1.4872036112762754</v>
      </c>
      <c r="H17" s="17">
        <v>3.9887384275252176</v>
      </c>
      <c r="I17" s="18">
        <v>22.719717343578854</v>
      </c>
      <c r="J17" s="17">
        <v>1.1627332601536773</v>
      </c>
      <c r="K17" s="8" t="s">
        <v>2801</v>
      </c>
    </row>
    <row r="18" spans="1:11">
      <c r="A18" s="8" t="s">
        <v>69</v>
      </c>
      <c r="B18" s="8">
        <v>5513</v>
      </c>
      <c r="C18" s="8">
        <v>5051</v>
      </c>
      <c r="D18" s="8">
        <v>462</v>
      </c>
      <c r="E18" s="16">
        <f t="shared" si="0"/>
        <v>8.3801922728097222E-2</v>
      </c>
      <c r="F18" s="17">
        <v>15.394918530107313</v>
      </c>
      <c r="G18" s="17">
        <v>0.78417094317471947</v>
      </c>
      <c r="H18" s="17">
        <v>4.0895440395531955</v>
      </c>
      <c r="I18" s="18">
        <v>21.230745510611477</v>
      </c>
      <c r="J18" s="17">
        <v>1.122256484672592</v>
      </c>
      <c r="K18" s="8" t="s">
        <v>2800</v>
      </c>
    </row>
    <row r="19" spans="1:11">
      <c r="A19" s="8" t="s">
        <v>70</v>
      </c>
      <c r="B19" s="8">
        <v>7069</v>
      </c>
      <c r="C19" s="8">
        <v>6605</v>
      </c>
      <c r="D19" s="8">
        <v>464</v>
      </c>
      <c r="E19" s="16">
        <f t="shared" si="0"/>
        <v>6.5638704201442924E-2</v>
      </c>
      <c r="F19" s="17">
        <v>14.080562613956127</v>
      </c>
      <c r="G19" s="17">
        <v>0.72350558221079986</v>
      </c>
      <c r="H19" s="17">
        <v>4.1087266505062026</v>
      </c>
      <c r="I19" s="18">
        <v>21.678095911727503</v>
      </c>
      <c r="J19" s="17">
        <v>1.1369359173857689</v>
      </c>
      <c r="K19" s="8" t="s">
        <v>2800</v>
      </c>
    </row>
    <row r="20" spans="1:11" ht="27.6">
      <c r="A20" s="8" t="s">
        <v>71</v>
      </c>
      <c r="B20" s="8">
        <v>6555</v>
      </c>
      <c r="C20" s="8">
        <v>5507</v>
      </c>
      <c r="D20" s="8">
        <v>1048</v>
      </c>
      <c r="E20" s="16">
        <f t="shared" si="0"/>
        <v>0.15987795575896263</v>
      </c>
      <c r="F20" s="17">
        <v>16.945137568155491</v>
      </c>
      <c r="G20" s="17">
        <v>1.889936922620558</v>
      </c>
      <c r="H20" s="17">
        <v>3.8817171251472775</v>
      </c>
      <c r="I20" s="18">
        <v>21.316747520976506</v>
      </c>
      <c r="J20" s="17">
        <v>1.1469107551487414</v>
      </c>
      <c r="K20" s="8" t="s">
        <v>2801</v>
      </c>
    </row>
    <row r="21" spans="1:11" ht="27.6">
      <c r="A21" s="8" t="s">
        <v>72</v>
      </c>
      <c r="B21" s="8">
        <v>7003</v>
      </c>
      <c r="C21" s="8">
        <v>5507</v>
      </c>
      <c r="D21" s="8">
        <v>1496</v>
      </c>
      <c r="E21" s="16">
        <f t="shared" si="0"/>
        <v>0.21362273311437954</v>
      </c>
      <c r="F21" s="17">
        <v>16.301410174409359</v>
      </c>
      <c r="G21" s="17">
        <v>2.0466819841760926</v>
      </c>
      <c r="H21" s="17">
        <v>3.8132556131260795</v>
      </c>
      <c r="I21" s="18">
        <v>23.881477938026791</v>
      </c>
      <c r="J21" s="17">
        <v>1.1447950878195059</v>
      </c>
      <c r="K21" s="8" t="s">
        <v>2801</v>
      </c>
    </row>
    <row r="22" spans="1:11">
      <c r="A22" s="8" t="s">
        <v>73</v>
      </c>
      <c r="B22" s="8">
        <v>6798</v>
      </c>
      <c r="C22" s="8">
        <v>6437</v>
      </c>
      <c r="D22" s="8">
        <v>361</v>
      </c>
      <c r="E22" s="16">
        <f t="shared" si="0"/>
        <v>5.3103854074727862E-2</v>
      </c>
      <c r="F22" s="17">
        <v>11.499241053673222</v>
      </c>
      <c r="G22" s="17">
        <v>0.50515166157257596</v>
      </c>
      <c r="H22" s="17">
        <v>4.2062351895734595</v>
      </c>
      <c r="I22" s="18">
        <v>23.43995881141522</v>
      </c>
      <c r="J22" s="17">
        <v>1.1513680494263019</v>
      </c>
      <c r="K22" s="8" t="s">
        <v>2800</v>
      </c>
    </row>
    <row r="23" spans="1:11">
      <c r="A23" s="8" t="s">
        <v>74</v>
      </c>
      <c r="B23" s="8">
        <v>6749</v>
      </c>
      <c r="C23" s="8">
        <v>6193</v>
      </c>
      <c r="D23" s="8">
        <v>556</v>
      </c>
      <c r="E23" s="16">
        <f t="shared" si="0"/>
        <v>8.2382575196325386E-2</v>
      </c>
      <c r="F23" s="17">
        <v>11.41902893535665</v>
      </c>
      <c r="G23" s="17">
        <v>0.52402953901263771</v>
      </c>
      <c r="H23" s="17">
        <v>4.2362392145194878</v>
      </c>
      <c r="I23" s="18">
        <v>22.407738924285063</v>
      </c>
      <c r="J23" s="17">
        <v>1.1572084753296785</v>
      </c>
      <c r="K23" s="8" t="s">
        <v>2800</v>
      </c>
    </row>
    <row r="24" spans="1:11">
      <c r="A24" s="8" t="s">
        <v>75</v>
      </c>
      <c r="B24" s="8">
        <v>6096</v>
      </c>
      <c r="C24" s="8">
        <v>6013</v>
      </c>
      <c r="D24" s="8">
        <v>83</v>
      </c>
      <c r="E24" s="16">
        <f t="shared" si="0"/>
        <v>1.3615485564304463E-2</v>
      </c>
      <c r="F24" s="17">
        <v>9.2392162931673738</v>
      </c>
      <c r="G24" s="17">
        <v>0.1652910207513123</v>
      </c>
      <c r="H24" s="17">
        <v>4.3073122529644268</v>
      </c>
      <c r="I24" s="18">
        <v>25.567091535433125</v>
      </c>
      <c r="J24" s="17">
        <v>1.1494422572178478</v>
      </c>
      <c r="K24" s="8" t="s">
        <v>2798</v>
      </c>
    </row>
    <row r="25" spans="1:11">
      <c r="A25" s="8" t="s">
        <v>76</v>
      </c>
      <c r="B25" s="8">
        <v>6156</v>
      </c>
      <c r="C25" s="8">
        <v>5880</v>
      </c>
      <c r="D25" s="8">
        <v>276</v>
      </c>
      <c r="E25" s="16">
        <f t="shared" si="0"/>
        <v>4.4834307992202727E-2</v>
      </c>
      <c r="F25" s="17">
        <v>8.9586362371549644</v>
      </c>
      <c r="G25" s="17">
        <v>0.31399173946526121</v>
      </c>
      <c r="H25" s="17">
        <v>4.3177508989865974</v>
      </c>
      <c r="I25" s="18">
        <v>25.958422677062988</v>
      </c>
      <c r="J25" s="17">
        <v>1.1306042884990253</v>
      </c>
      <c r="K25" s="8" t="s">
        <v>2798</v>
      </c>
    </row>
    <row r="26" spans="1:11" ht="27.6">
      <c r="A26" s="8" t="s">
        <v>77</v>
      </c>
      <c r="B26" s="8">
        <v>6351</v>
      </c>
      <c r="C26" s="8">
        <v>5691</v>
      </c>
      <c r="D26" s="8">
        <v>660</v>
      </c>
      <c r="E26" s="16">
        <f t="shared" si="0"/>
        <v>0.10392064241851677</v>
      </c>
      <c r="F26" s="17">
        <v>7.732779720458141</v>
      </c>
      <c r="G26" s="17">
        <v>0.34108023597916931</v>
      </c>
      <c r="H26" s="17">
        <v>4.3103475513428124</v>
      </c>
      <c r="I26" s="18">
        <v>23.132577546842956</v>
      </c>
      <c r="J26" s="17">
        <v>1.1245473153834042</v>
      </c>
      <c r="K26" s="8" t="s">
        <v>2801</v>
      </c>
    </row>
  </sheetData>
  <mergeCells count="1">
    <mergeCell ref="A1:K1"/>
  </mergeCells>
  <conditionalFormatting sqref="E4:E26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{125204E7-8175-9B71-FAF9-E756B525318A}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5204E7-8175-9B71-FAF9-E756B525318A}">
            <x14:dataBar>
              <x14:cfvo type="min"/>
              <x14:cfvo type="max"/>
              <x14:negativeFillColor auto="1"/>
              <x14:axisColor auto="1"/>
            </x14:dataBar>
          </x14:cfRule>
          <xm:sqref>E4:E26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8"/>
  <sheetViews>
    <sheetView topLeftCell="A2" workbookViewId="0">
      <selection activeCell="G8" sqref="G8"/>
    </sheetView>
  </sheetViews>
  <sheetFormatPr defaultRowHeight="13.8"/>
  <cols>
    <col min="1" max="1" width="10" customWidth="1"/>
    <col min="2" max="4" width="16" customWidth="1"/>
    <col min="5" max="5" width="12" customWidth="1"/>
    <col min="6" max="8" width="16" customWidth="1"/>
    <col min="9" max="9" width="13" customWidth="1"/>
    <col min="10" max="10" width="12" customWidth="1"/>
    <col min="11" max="11" width="36" customWidth="1"/>
  </cols>
  <sheetData>
    <row r="1" spans="1:11" ht="24" customHeight="1">
      <c r="A1" s="25" t="s">
        <v>2802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158.4">
      <c r="A2" s="15" t="s">
        <v>2803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27.6">
      <c r="A3" s="7" t="s">
        <v>3</v>
      </c>
      <c r="B3" s="7" t="s">
        <v>2786</v>
      </c>
      <c r="C3" s="7" t="s">
        <v>2787</v>
      </c>
      <c r="D3" s="7" t="s">
        <v>2788</v>
      </c>
      <c r="E3" s="7" t="s">
        <v>2789</v>
      </c>
      <c r="F3" s="7" t="s">
        <v>2790</v>
      </c>
      <c r="G3" s="7" t="s">
        <v>2791</v>
      </c>
      <c r="H3" s="7" t="s">
        <v>2792</v>
      </c>
      <c r="I3" s="7" t="s">
        <v>2793</v>
      </c>
      <c r="J3" s="7" t="s">
        <v>2804</v>
      </c>
      <c r="K3" s="7" t="s">
        <v>2805</v>
      </c>
    </row>
    <row r="4" spans="1:11">
      <c r="A4" s="8" t="s">
        <v>8</v>
      </c>
      <c r="B4" s="8">
        <v>40494</v>
      </c>
      <c r="C4" s="8">
        <v>38107</v>
      </c>
      <c r="D4" s="8">
        <v>2387</v>
      </c>
      <c r="E4" s="16">
        <f t="shared" ref="E4:E18" si="0">IFERROR(D4/B4,0)</f>
        <v>5.8947004494493013E-2</v>
      </c>
      <c r="F4" s="17">
        <v>8.7613859960849219</v>
      </c>
      <c r="G4" s="17">
        <v>0.41426974606663258</v>
      </c>
      <c r="H4" s="17">
        <v>4.2465189821023532</v>
      </c>
      <c r="I4" s="18">
        <v>17.334796513063392</v>
      </c>
      <c r="J4" s="8" t="s">
        <v>2806</v>
      </c>
      <c r="K4" s="8" t="s">
        <v>2807</v>
      </c>
    </row>
    <row r="5" spans="1:11">
      <c r="A5" s="8" t="s">
        <v>16</v>
      </c>
      <c r="B5" s="8">
        <v>12350</v>
      </c>
      <c r="C5" s="8">
        <v>10686</v>
      </c>
      <c r="D5" s="8">
        <v>1664</v>
      </c>
      <c r="E5" s="16">
        <f t="shared" si="0"/>
        <v>0.13473684210526315</v>
      </c>
      <c r="F5" s="17">
        <v>15.309437542172681</v>
      </c>
      <c r="G5" s="17">
        <v>1.7311922083520763</v>
      </c>
      <c r="H5" s="17">
        <v>3.965140720115742</v>
      </c>
      <c r="I5" s="18">
        <v>23.947404048583298</v>
      </c>
      <c r="J5" s="8" t="s">
        <v>2806</v>
      </c>
      <c r="K5" s="8" t="s">
        <v>2807</v>
      </c>
    </row>
    <row r="6" spans="1:11">
      <c r="A6" s="8" t="s">
        <v>20</v>
      </c>
      <c r="B6" s="8">
        <v>11354</v>
      </c>
      <c r="C6" s="8">
        <v>10717</v>
      </c>
      <c r="D6" s="8">
        <v>637</v>
      </c>
      <c r="E6" s="16">
        <f t="shared" si="0"/>
        <v>5.6103575832305796E-2</v>
      </c>
      <c r="F6" s="17">
        <v>12.008665646060445</v>
      </c>
      <c r="G6" s="17">
        <v>0.42235072054064871</v>
      </c>
      <c r="H6" s="17">
        <v>4.1924678777137796</v>
      </c>
      <c r="I6" s="18">
        <v>23.463963360930471</v>
      </c>
      <c r="J6" s="8" t="s">
        <v>2806</v>
      </c>
      <c r="K6" s="8" t="s">
        <v>2807</v>
      </c>
    </row>
    <row r="7" spans="1:11">
      <c r="A7" s="8" t="s">
        <v>23</v>
      </c>
      <c r="B7" s="8">
        <v>3256</v>
      </c>
      <c r="C7" s="8">
        <v>2799</v>
      </c>
      <c r="D7" s="8">
        <v>457</v>
      </c>
      <c r="E7" s="16">
        <f t="shared" si="0"/>
        <v>0.14035626535626536</v>
      </c>
      <c r="F7" s="17">
        <v>19.335465824489287</v>
      </c>
      <c r="G7" s="17">
        <v>1.5578454271032378</v>
      </c>
      <c r="H7" s="17">
        <v>3.930009290802106</v>
      </c>
      <c r="I7" s="18">
        <v>29.961200859950591</v>
      </c>
      <c r="J7" s="8" t="s">
        <v>2806</v>
      </c>
      <c r="K7" s="8" t="s">
        <v>2807</v>
      </c>
    </row>
    <row r="8" spans="1:11">
      <c r="A8" s="8" t="s">
        <v>30</v>
      </c>
      <c r="B8" s="8">
        <v>5344</v>
      </c>
      <c r="C8" s="8">
        <v>4962</v>
      </c>
      <c r="D8" s="8">
        <v>382</v>
      </c>
      <c r="E8" s="16">
        <f t="shared" si="0"/>
        <v>7.1482035928143714E-2</v>
      </c>
      <c r="F8" s="17">
        <v>15.300276192406896</v>
      </c>
      <c r="G8" s="17">
        <v>0.67247095002702961</v>
      </c>
      <c r="H8" s="17">
        <v>4.1855989485542624</v>
      </c>
      <c r="I8" s="18">
        <v>24.805449101796675</v>
      </c>
      <c r="J8" s="8" t="s">
        <v>2808</v>
      </c>
      <c r="K8" s="8" t="s">
        <v>2809</v>
      </c>
    </row>
    <row r="9" spans="1:11">
      <c r="A9" s="8" t="s">
        <v>33</v>
      </c>
      <c r="B9" s="8">
        <v>3546</v>
      </c>
      <c r="C9" s="8">
        <v>3200</v>
      </c>
      <c r="D9" s="8">
        <v>346</v>
      </c>
      <c r="E9" s="16">
        <f t="shared" si="0"/>
        <v>9.7574732092498589E-2</v>
      </c>
      <c r="F9" s="17">
        <v>14.954782876767823</v>
      </c>
      <c r="G9" s="17">
        <v>0.75136649472018469</v>
      </c>
      <c r="H9" s="17">
        <v>4.1332764990053992</v>
      </c>
      <c r="I9" s="18">
        <v>24.84930908065429</v>
      </c>
      <c r="J9" s="8" t="s">
        <v>2808</v>
      </c>
      <c r="K9" s="8" t="s">
        <v>2809</v>
      </c>
    </row>
    <row r="10" spans="1:11">
      <c r="A10" s="8" t="s">
        <v>36</v>
      </c>
      <c r="B10" s="8">
        <v>4923</v>
      </c>
      <c r="C10" s="8">
        <v>4677</v>
      </c>
      <c r="D10" s="8">
        <v>246</v>
      </c>
      <c r="E10" s="16">
        <f t="shared" si="0"/>
        <v>4.9969530773918344E-2</v>
      </c>
      <c r="F10" s="17">
        <v>11.991582227413321</v>
      </c>
      <c r="G10" s="17">
        <v>0.36977923211907826</v>
      </c>
      <c r="H10" s="17">
        <v>4.2395918367346939</v>
      </c>
      <c r="I10" s="18">
        <v>23.490816575259178</v>
      </c>
      <c r="J10" s="8" t="s">
        <v>2810</v>
      </c>
      <c r="K10" s="8" t="s">
        <v>2811</v>
      </c>
    </row>
    <row r="11" spans="1:11">
      <c r="A11" s="8" t="s">
        <v>43</v>
      </c>
      <c r="B11" s="8">
        <v>1995</v>
      </c>
      <c r="C11" s="8">
        <v>1751</v>
      </c>
      <c r="D11" s="8">
        <v>244</v>
      </c>
      <c r="E11" s="16">
        <f t="shared" si="0"/>
        <v>0.12230576441102757</v>
      </c>
      <c r="F11" s="17">
        <v>15.789307110368533</v>
      </c>
      <c r="G11" s="17">
        <v>1.2959718741297701</v>
      </c>
      <c r="H11" s="17">
        <v>4.0797359065515488</v>
      </c>
      <c r="I11" s="18">
        <v>24.56866165413518</v>
      </c>
      <c r="J11" s="8" t="s">
        <v>2806</v>
      </c>
      <c r="K11" s="8" t="s">
        <v>2807</v>
      </c>
    </row>
    <row r="12" spans="1:11">
      <c r="A12" s="8" t="s">
        <v>50</v>
      </c>
      <c r="B12" s="8">
        <v>1279</v>
      </c>
      <c r="C12" s="8">
        <v>1083</v>
      </c>
      <c r="D12" s="8">
        <v>196</v>
      </c>
      <c r="E12" s="16">
        <f t="shared" si="0"/>
        <v>0.15324472243940579</v>
      </c>
      <c r="F12" s="17">
        <v>21.266578634928937</v>
      </c>
      <c r="G12" s="17">
        <v>2.1955045626646967</v>
      </c>
      <c r="H12" s="17">
        <v>3.9418695993715631</v>
      </c>
      <c r="I12" s="18">
        <v>36.496786551993665</v>
      </c>
      <c r="J12" s="8" t="s">
        <v>2806</v>
      </c>
      <c r="K12" s="8" t="s">
        <v>2807</v>
      </c>
    </row>
    <row r="13" spans="1:11">
      <c r="A13" s="8" t="s">
        <v>57</v>
      </c>
      <c r="B13" s="8">
        <v>1593</v>
      </c>
      <c r="C13" s="8">
        <v>1421</v>
      </c>
      <c r="D13" s="8">
        <v>172</v>
      </c>
      <c r="E13" s="16">
        <f t="shared" si="0"/>
        <v>0.10797237915881984</v>
      </c>
      <c r="F13" s="17">
        <v>18.448322994408397</v>
      </c>
      <c r="G13" s="17">
        <v>1.2248000656808724</v>
      </c>
      <c r="H13" s="17">
        <v>4.0829639012032937</v>
      </c>
      <c r="I13" s="18">
        <v>35.833370998116742</v>
      </c>
      <c r="J13" s="8" t="s">
        <v>2806</v>
      </c>
      <c r="K13" s="8" t="s">
        <v>2807</v>
      </c>
    </row>
    <row r="14" spans="1:11">
      <c r="A14" s="8" t="s">
        <v>110</v>
      </c>
      <c r="B14" s="8">
        <v>1957</v>
      </c>
      <c r="C14" s="8">
        <v>1797</v>
      </c>
      <c r="D14" s="8">
        <v>160</v>
      </c>
      <c r="E14" s="16">
        <f t="shared" si="0"/>
        <v>8.1757792539601429E-2</v>
      </c>
      <c r="F14" s="17">
        <v>15.606338535456739</v>
      </c>
      <c r="G14" s="17">
        <v>0.80026352457465155</v>
      </c>
      <c r="H14" s="17">
        <v>4.1043165467625897</v>
      </c>
      <c r="I14" s="18">
        <v>26.252248339294777</v>
      </c>
      <c r="J14" s="8" t="s">
        <v>2808</v>
      </c>
      <c r="K14" s="8" t="s">
        <v>2809</v>
      </c>
    </row>
    <row r="15" spans="1:11">
      <c r="A15" s="8" t="s">
        <v>320</v>
      </c>
      <c r="B15" s="8">
        <v>2080</v>
      </c>
      <c r="C15" s="8">
        <v>1933</v>
      </c>
      <c r="D15" s="8">
        <v>147</v>
      </c>
      <c r="E15" s="16">
        <f t="shared" si="0"/>
        <v>7.0673076923076922E-2</v>
      </c>
      <c r="F15" s="17">
        <v>12.967568108974357</v>
      </c>
      <c r="G15" s="17">
        <v>0.46918566372863246</v>
      </c>
      <c r="H15" s="17">
        <v>4.1338164251207727</v>
      </c>
      <c r="I15" s="18">
        <v>23.858144230769202</v>
      </c>
      <c r="J15" s="8" t="s">
        <v>2808</v>
      </c>
      <c r="K15" s="8" t="s">
        <v>2809</v>
      </c>
    </row>
    <row r="16" spans="1:11">
      <c r="A16" s="8" t="s">
        <v>474</v>
      </c>
      <c r="B16" s="8">
        <v>717</v>
      </c>
      <c r="C16" s="8">
        <v>576</v>
      </c>
      <c r="D16" s="8">
        <v>141</v>
      </c>
      <c r="E16" s="16">
        <f t="shared" si="0"/>
        <v>0.19665271966527198</v>
      </c>
      <c r="F16" s="17">
        <v>21.572976474120544</v>
      </c>
      <c r="G16" s="17">
        <v>1.9607669720801688</v>
      </c>
      <c r="H16" s="17">
        <v>3.8335674157303372</v>
      </c>
      <c r="I16" s="18">
        <v>42.948633193863337</v>
      </c>
      <c r="J16" s="8" t="s">
        <v>2806</v>
      </c>
      <c r="K16" s="8" t="s">
        <v>2807</v>
      </c>
    </row>
    <row r="17" spans="1:11">
      <c r="A17" s="8" t="s">
        <v>175</v>
      </c>
      <c r="B17" s="8">
        <v>946</v>
      </c>
      <c r="C17" s="8">
        <v>829</v>
      </c>
      <c r="D17" s="8">
        <v>117</v>
      </c>
      <c r="E17" s="16">
        <f t="shared" si="0"/>
        <v>0.12367864693446089</v>
      </c>
      <c r="F17" s="17">
        <v>23.772916911361644</v>
      </c>
      <c r="G17" s="17">
        <v>1.5216783875577484</v>
      </c>
      <c r="H17" s="17">
        <v>3.909967845659164</v>
      </c>
      <c r="I17" s="18">
        <v>39.696596194503229</v>
      </c>
      <c r="J17" s="8" t="s">
        <v>2806</v>
      </c>
      <c r="K17" s="8" t="s">
        <v>2807</v>
      </c>
    </row>
    <row r="18" spans="1:11">
      <c r="A18" s="8" t="s">
        <v>218</v>
      </c>
      <c r="B18" s="8">
        <v>397</v>
      </c>
      <c r="C18" s="8">
        <v>302</v>
      </c>
      <c r="D18" s="8">
        <v>95</v>
      </c>
      <c r="E18" s="16">
        <f t="shared" si="0"/>
        <v>0.23929471032745592</v>
      </c>
      <c r="F18" s="17">
        <v>24.54385536197406</v>
      </c>
      <c r="G18" s="17">
        <v>2.2125499113723293</v>
      </c>
      <c r="H18" s="17">
        <v>3.8527918781725887</v>
      </c>
      <c r="I18" s="18">
        <v>38.581284634760699</v>
      </c>
      <c r="J18" s="8" t="s">
        <v>2806</v>
      </c>
      <c r="K18" s="8" t="s">
        <v>2807</v>
      </c>
    </row>
  </sheetData>
  <mergeCells count="1">
    <mergeCell ref="A1:K1"/>
  </mergeCells>
  <conditionalFormatting sqref="E4:E18">
    <cfRule type="dataBar" priority="1">
      <dataBar>
        <cfvo type="min"/>
        <cfvo type="max"/>
        <color rgb="FFED7D31"/>
      </dataBar>
    </cfRule>
    <cfRule type="dataBar" priority="2">
      <dataBar>
        <cfvo type="min"/>
        <cfvo type="max"/>
        <color rgb="FFED7D31"/>
      </dataBar>
      <extLst>
        <ext xmlns:x14="http://schemas.microsoft.com/office/spreadsheetml/2009/9/main" uri="{B025F937-C7B1-47D3-B67F-A62EFF666E3E}">
          <x14:id>{B9F13911-2F00-0B10-03A5-838465EF2CE7}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F13911-2F00-0B10-03A5-838465EF2CE7}">
            <x14:dataBar>
              <x14:cfvo type="min"/>
              <x14:cfvo type="max"/>
              <x14:negativeFillColor auto="1"/>
              <x14:axisColor auto="1"/>
            </x14:dataBar>
          </x14:cfRule>
          <xm:sqref>E4:E18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8"/>
  <sheetViews>
    <sheetView workbookViewId="0">
      <selection sqref="A1:K1"/>
    </sheetView>
  </sheetViews>
  <sheetFormatPr defaultRowHeight="13.8"/>
  <cols>
    <col min="1" max="1" width="24" customWidth="1"/>
    <col min="2" max="4" width="16" customWidth="1"/>
    <col min="5" max="5" width="12" customWidth="1"/>
    <col min="6" max="8" width="16" customWidth="1"/>
    <col min="9" max="9" width="13" customWidth="1"/>
    <col min="10" max="10" width="12" customWidth="1"/>
    <col min="11" max="11" width="42" customWidth="1"/>
  </cols>
  <sheetData>
    <row r="1" spans="1:11" ht="24" customHeight="1">
      <c r="A1" s="25" t="s">
        <v>2812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57.6">
      <c r="A2" s="15" t="s">
        <v>2813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27.6">
      <c r="A3" s="7" t="s">
        <v>4</v>
      </c>
      <c r="B3" s="7" t="s">
        <v>2786</v>
      </c>
      <c r="C3" s="7" t="s">
        <v>2787</v>
      </c>
      <c r="D3" s="7" t="s">
        <v>2788</v>
      </c>
      <c r="E3" s="7" t="s">
        <v>2789</v>
      </c>
      <c r="F3" s="7" t="s">
        <v>2790</v>
      </c>
      <c r="G3" s="7" t="s">
        <v>2791</v>
      </c>
      <c r="H3" s="7" t="s">
        <v>2792</v>
      </c>
      <c r="I3" s="7" t="s">
        <v>2793</v>
      </c>
      <c r="J3" s="7" t="s">
        <v>2804</v>
      </c>
      <c r="K3" s="7" t="s">
        <v>2805</v>
      </c>
    </row>
    <row r="4" spans="1:11" ht="27.6">
      <c r="A4" s="8" t="s">
        <v>9</v>
      </c>
      <c r="B4" s="8">
        <v>344</v>
      </c>
      <c r="C4" s="8">
        <v>299</v>
      </c>
      <c r="D4" s="8">
        <v>45</v>
      </c>
      <c r="E4" s="16">
        <f t="shared" ref="E4:E18" si="0">IFERROR(D4/B4,0)</f>
        <v>0.1308139534883721</v>
      </c>
      <c r="F4" s="17">
        <v>13.506537804155901</v>
      </c>
      <c r="G4" s="17">
        <v>1.0908511991279066</v>
      </c>
      <c r="H4" s="17">
        <v>3.8460410557184752</v>
      </c>
      <c r="I4" s="18">
        <v>16.441773255813967</v>
      </c>
      <c r="J4" s="8" t="s">
        <v>2806</v>
      </c>
      <c r="K4" s="8" t="s">
        <v>2814</v>
      </c>
    </row>
    <row r="5" spans="1:11" ht="27.6">
      <c r="A5" s="8" t="s">
        <v>17</v>
      </c>
      <c r="B5" s="8">
        <v>255</v>
      </c>
      <c r="C5" s="8">
        <v>227</v>
      </c>
      <c r="D5" s="8">
        <v>28</v>
      </c>
      <c r="E5" s="16">
        <f t="shared" si="0"/>
        <v>0.10980392156862745</v>
      </c>
      <c r="F5" s="17">
        <v>10.64432775054466</v>
      </c>
      <c r="G5" s="17">
        <v>0.6059448529411765</v>
      </c>
      <c r="H5" s="17">
        <v>4.4251968503937009</v>
      </c>
      <c r="I5" s="18">
        <v>16.607215686274511</v>
      </c>
      <c r="J5" s="8" t="s">
        <v>2806</v>
      </c>
      <c r="K5" s="8" t="s">
        <v>2814</v>
      </c>
    </row>
    <row r="6" spans="1:11" ht="27.6">
      <c r="A6" s="8" t="s">
        <v>21</v>
      </c>
      <c r="B6" s="8">
        <v>367</v>
      </c>
      <c r="C6" s="8">
        <v>329</v>
      </c>
      <c r="D6" s="8">
        <v>38</v>
      </c>
      <c r="E6" s="16">
        <f t="shared" si="0"/>
        <v>0.10354223433242507</v>
      </c>
      <c r="F6" s="17">
        <v>13.576062197244919</v>
      </c>
      <c r="G6" s="17">
        <v>1.3681456882631948</v>
      </c>
      <c r="H6" s="17">
        <v>3.9095890410958902</v>
      </c>
      <c r="I6" s="18">
        <v>23.226130790190751</v>
      </c>
      <c r="J6" s="8" t="s">
        <v>2806</v>
      </c>
      <c r="K6" s="8" t="s">
        <v>2814</v>
      </c>
    </row>
    <row r="7" spans="1:11" ht="27.6">
      <c r="A7" s="8" t="s">
        <v>24</v>
      </c>
      <c r="B7" s="8">
        <v>436</v>
      </c>
      <c r="C7" s="8">
        <v>392</v>
      </c>
      <c r="D7" s="8">
        <v>44</v>
      </c>
      <c r="E7" s="16">
        <f t="shared" si="0"/>
        <v>0.10091743119266056</v>
      </c>
      <c r="F7" s="17">
        <v>9.8160276503567747</v>
      </c>
      <c r="G7" s="17">
        <v>1.0577254555300712</v>
      </c>
      <c r="H7" s="17">
        <v>4.3240740740740744</v>
      </c>
      <c r="I7" s="18">
        <v>16.114908256880742</v>
      </c>
      <c r="J7" s="8" t="s">
        <v>2806</v>
      </c>
      <c r="K7" s="8" t="s">
        <v>2814</v>
      </c>
    </row>
    <row r="8" spans="1:11">
      <c r="A8" s="8" t="s">
        <v>31</v>
      </c>
      <c r="B8" s="8">
        <v>2507</v>
      </c>
      <c r="C8" s="8">
        <v>2260</v>
      </c>
      <c r="D8" s="8">
        <v>247</v>
      </c>
      <c r="E8" s="16">
        <f t="shared" si="0"/>
        <v>9.8524132429198247E-2</v>
      </c>
      <c r="F8" s="17">
        <v>12.936071850670025</v>
      </c>
      <c r="G8" s="17">
        <v>0.78279142013473391</v>
      </c>
      <c r="H8" s="17">
        <v>4.129019292604502</v>
      </c>
      <c r="I8" s="18">
        <v>18.351005185480641</v>
      </c>
      <c r="J8" s="8" t="s">
        <v>2808</v>
      </c>
      <c r="K8" s="8" t="s">
        <v>2815</v>
      </c>
    </row>
    <row r="9" spans="1:11">
      <c r="A9" s="8" t="s">
        <v>34</v>
      </c>
      <c r="B9" s="8">
        <v>2764</v>
      </c>
      <c r="C9" s="8">
        <v>2506</v>
      </c>
      <c r="D9" s="8">
        <v>258</v>
      </c>
      <c r="E9" s="16">
        <f t="shared" si="0"/>
        <v>9.3342981186685964E-2</v>
      </c>
      <c r="F9" s="17">
        <v>12.731317601972423</v>
      </c>
      <c r="G9" s="17">
        <v>0.99874721535482669</v>
      </c>
      <c r="H9" s="17">
        <v>4.1208971553610505</v>
      </c>
      <c r="I9" s="18">
        <v>24.031421852387716</v>
      </c>
      <c r="J9" s="8" t="s">
        <v>2808</v>
      </c>
      <c r="K9" s="8" t="s">
        <v>2815</v>
      </c>
    </row>
    <row r="10" spans="1:11">
      <c r="A10" s="8" t="s">
        <v>37</v>
      </c>
      <c r="B10" s="8">
        <v>1246</v>
      </c>
      <c r="C10" s="8">
        <v>1131</v>
      </c>
      <c r="D10" s="8">
        <v>115</v>
      </c>
      <c r="E10" s="16">
        <f t="shared" si="0"/>
        <v>9.2295345104333862E-2</v>
      </c>
      <c r="F10" s="17">
        <v>20.702586712665678</v>
      </c>
      <c r="G10" s="17">
        <v>1.134676687622614</v>
      </c>
      <c r="H10" s="17">
        <v>3.6500809061488675</v>
      </c>
      <c r="I10" s="18">
        <v>53.578483146067349</v>
      </c>
      <c r="J10" s="8" t="s">
        <v>2808</v>
      </c>
      <c r="K10" s="8" t="s">
        <v>2815</v>
      </c>
    </row>
    <row r="11" spans="1:11" ht="27.6">
      <c r="A11" s="8" t="s">
        <v>44</v>
      </c>
      <c r="B11" s="8">
        <v>727</v>
      </c>
      <c r="C11" s="8">
        <v>660</v>
      </c>
      <c r="D11" s="8">
        <v>67</v>
      </c>
      <c r="E11" s="16">
        <f t="shared" si="0"/>
        <v>9.2159559834938107E-2</v>
      </c>
      <c r="F11" s="17">
        <v>10.869610493402615</v>
      </c>
      <c r="G11" s="17">
        <v>0.9526616071883437</v>
      </c>
      <c r="H11" s="17">
        <v>4.1308864265927978</v>
      </c>
      <c r="I11" s="18">
        <v>28.014140302613512</v>
      </c>
      <c r="J11" s="8" t="s">
        <v>2808</v>
      </c>
      <c r="K11" s="8" t="s">
        <v>2815</v>
      </c>
    </row>
    <row r="12" spans="1:11">
      <c r="A12" s="8" t="s">
        <v>51</v>
      </c>
      <c r="B12" s="8">
        <v>232</v>
      </c>
      <c r="C12" s="8">
        <v>211</v>
      </c>
      <c r="D12" s="8">
        <v>21</v>
      </c>
      <c r="E12" s="16">
        <f t="shared" si="0"/>
        <v>9.0517241379310345E-2</v>
      </c>
      <c r="F12" s="17">
        <v>9.7490544181034497</v>
      </c>
      <c r="G12" s="17">
        <v>0.46386329621647521</v>
      </c>
      <c r="H12" s="17">
        <v>4.2008733624454146</v>
      </c>
      <c r="I12" s="18">
        <v>32.097758620689653</v>
      </c>
      <c r="J12" s="8" t="s">
        <v>2808</v>
      </c>
      <c r="K12" s="8" t="s">
        <v>2815</v>
      </c>
    </row>
    <row r="13" spans="1:11">
      <c r="A13" s="8" t="s">
        <v>58</v>
      </c>
      <c r="B13" s="8">
        <v>8610</v>
      </c>
      <c r="C13" s="8">
        <v>7836</v>
      </c>
      <c r="D13" s="8">
        <v>774</v>
      </c>
      <c r="E13" s="16">
        <f t="shared" si="0"/>
        <v>8.9895470383275264E-2</v>
      </c>
      <c r="F13" s="17">
        <v>12.098038308706521</v>
      </c>
      <c r="G13" s="17">
        <v>0.80372170737084303</v>
      </c>
      <c r="H13" s="17">
        <v>4.2353845555036589</v>
      </c>
      <c r="I13" s="18">
        <v>20.779994192799194</v>
      </c>
      <c r="J13" s="8" t="s">
        <v>2808</v>
      </c>
      <c r="K13" s="8" t="s">
        <v>2815</v>
      </c>
    </row>
    <row r="14" spans="1:11">
      <c r="A14" s="8" t="s">
        <v>149</v>
      </c>
      <c r="B14" s="8">
        <v>1355</v>
      </c>
      <c r="C14" s="8">
        <v>1234</v>
      </c>
      <c r="D14" s="8">
        <v>121</v>
      </c>
      <c r="E14" s="16">
        <f t="shared" si="0"/>
        <v>8.9298892988929887E-2</v>
      </c>
      <c r="F14" s="17">
        <v>12.749703199740322</v>
      </c>
      <c r="G14" s="17">
        <v>0.81584977620609511</v>
      </c>
      <c r="H14" s="17">
        <v>4.0375185735512629</v>
      </c>
      <c r="I14" s="18">
        <v>19.461505535055377</v>
      </c>
      <c r="J14" s="8" t="s">
        <v>2808</v>
      </c>
      <c r="K14" s="8" t="s">
        <v>2815</v>
      </c>
    </row>
    <row r="15" spans="1:11">
      <c r="A15" s="8" t="s">
        <v>177</v>
      </c>
      <c r="B15" s="8">
        <v>608</v>
      </c>
      <c r="C15" s="8">
        <v>554</v>
      </c>
      <c r="D15" s="8">
        <v>54</v>
      </c>
      <c r="E15" s="16">
        <f t="shared" si="0"/>
        <v>8.8815789473684209E-2</v>
      </c>
      <c r="F15" s="17">
        <v>13.115038339120384</v>
      </c>
      <c r="G15" s="17">
        <v>0.99946250989887964</v>
      </c>
      <c r="H15" s="17">
        <v>4.2425249169435215</v>
      </c>
      <c r="I15" s="18">
        <v>29.498881578947355</v>
      </c>
      <c r="J15" s="8" t="s">
        <v>2808</v>
      </c>
      <c r="K15" s="8" t="s">
        <v>2815</v>
      </c>
    </row>
    <row r="16" spans="1:11">
      <c r="A16" s="8" t="s">
        <v>180</v>
      </c>
      <c r="B16" s="8">
        <v>9173</v>
      </c>
      <c r="C16" s="8">
        <v>8362</v>
      </c>
      <c r="D16" s="8">
        <v>811</v>
      </c>
      <c r="E16" s="16">
        <f t="shared" si="0"/>
        <v>8.8411642864929682E-2</v>
      </c>
      <c r="F16" s="17">
        <v>13.03148876054331</v>
      </c>
      <c r="G16" s="17">
        <v>0.88426832496537777</v>
      </c>
      <c r="H16" s="17">
        <v>4.0101894690460451</v>
      </c>
      <c r="I16" s="18">
        <v>22.043253025182771</v>
      </c>
      <c r="J16" s="8" t="s">
        <v>2808</v>
      </c>
      <c r="K16" s="8" t="s">
        <v>2815</v>
      </c>
    </row>
    <row r="17" spans="1:11">
      <c r="A17" s="8" t="s">
        <v>185</v>
      </c>
      <c r="B17" s="8">
        <v>3793</v>
      </c>
      <c r="C17" s="8">
        <v>3465</v>
      </c>
      <c r="D17" s="8">
        <v>328</v>
      </c>
      <c r="E17" s="16">
        <f t="shared" si="0"/>
        <v>8.6475085684155018E-2</v>
      </c>
      <c r="F17" s="17">
        <v>12.350134525343943</v>
      </c>
      <c r="G17" s="17">
        <v>0.96370770107703296</v>
      </c>
      <c r="H17" s="17">
        <v>4.1515231788079472</v>
      </c>
      <c r="I17" s="18">
        <v>23.832691800685538</v>
      </c>
      <c r="J17" s="8" t="s">
        <v>2808</v>
      </c>
      <c r="K17" s="8" t="s">
        <v>2815</v>
      </c>
    </row>
    <row r="18" spans="1:11">
      <c r="A18" s="8" t="s">
        <v>162</v>
      </c>
      <c r="B18" s="8">
        <v>409</v>
      </c>
      <c r="C18" s="8">
        <v>374</v>
      </c>
      <c r="D18" s="8">
        <v>35</v>
      </c>
      <c r="E18" s="16">
        <f t="shared" si="0"/>
        <v>8.557457212713937E-2</v>
      </c>
      <c r="F18" s="17">
        <v>13.945041825138098</v>
      </c>
      <c r="G18" s="17">
        <v>0.86609933894774949</v>
      </c>
      <c r="H18" s="17">
        <v>4.0940594059405937</v>
      </c>
      <c r="I18" s="18">
        <v>43.642151589242111</v>
      </c>
      <c r="J18" s="8" t="s">
        <v>2808</v>
      </c>
      <c r="K18" s="8" t="s">
        <v>2815</v>
      </c>
    </row>
  </sheetData>
  <mergeCells count="1">
    <mergeCell ref="A1:K1"/>
  </mergeCells>
  <conditionalFormatting sqref="E4:E18">
    <cfRule type="dataBar" priority="1">
      <dataBar>
        <cfvo type="min"/>
        <cfvo type="max"/>
        <color rgb="FF70AD47"/>
      </dataBar>
    </cfRule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{0BCE8FA6-EFCC-57F7-7FAF-A1DE0660E63E}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CE8FA6-EFCC-57F7-7FAF-A1DE0660E63E}">
            <x14:dataBar>
              <x14:cfvo type="min"/>
              <x14:cfvo type="max"/>
              <x14:negativeFillColor auto="1"/>
              <x14:axisColor auto="1"/>
            </x14:dataBar>
          </x14:cfRule>
          <xm:sqref>E4:E18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workbookViewId="0">
      <selection activeCell="B7" sqref="B7"/>
    </sheetView>
  </sheetViews>
  <sheetFormatPr defaultRowHeight="13.8"/>
  <cols>
    <col min="1" max="1" width="28" customWidth="1"/>
    <col min="2" max="2" width="110" customWidth="1"/>
  </cols>
  <sheetData>
    <row r="1" spans="1:8" ht="24" customHeight="1">
      <c r="A1" s="25" t="s">
        <v>2816</v>
      </c>
      <c r="B1" s="26"/>
      <c r="C1" s="26"/>
      <c r="D1" s="26"/>
      <c r="E1" s="26"/>
      <c r="F1" s="26"/>
      <c r="G1" s="26"/>
      <c r="H1" s="26"/>
    </row>
    <row r="3" spans="1:8">
      <c r="A3" s="7" t="s">
        <v>2817</v>
      </c>
      <c r="B3" s="7" t="s">
        <v>2818</v>
      </c>
    </row>
    <row r="4" spans="1:8" ht="27.6">
      <c r="A4" s="9" t="s">
        <v>2819</v>
      </c>
      <c r="B4" s="9" t="s">
        <v>2820</v>
      </c>
    </row>
    <row r="5" spans="1:8" ht="27.6">
      <c r="A5" s="9" t="s">
        <v>2821</v>
      </c>
      <c r="B5" s="9" t="s">
        <v>2822</v>
      </c>
    </row>
    <row r="6" spans="1:8">
      <c r="A6" s="9" t="s">
        <v>2823</v>
      </c>
      <c r="B6" s="9" t="s">
        <v>102</v>
      </c>
    </row>
    <row r="7" spans="1:8" ht="27.6">
      <c r="A7" s="9" t="s">
        <v>2824</v>
      </c>
      <c r="B7" s="9" t="s">
        <v>2825</v>
      </c>
    </row>
    <row r="8" spans="1:8" ht="27.6">
      <c r="A8" s="9" t="s">
        <v>2826</v>
      </c>
      <c r="B8" s="9" t="s">
        <v>2827</v>
      </c>
    </row>
    <row r="9" spans="1:8" ht="27.6">
      <c r="A9" s="9" t="s">
        <v>2828</v>
      </c>
      <c r="B9" s="9" t="s">
        <v>2829</v>
      </c>
    </row>
    <row r="10" spans="1:8" ht="27.6">
      <c r="A10" s="9" t="s">
        <v>2830</v>
      </c>
      <c r="B10" s="9" t="s">
        <v>2831</v>
      </c>
    </row>
    <row r="11" spans="1:8" ht="27.6">
      <c r="A11" s="9" t="s">
        <v>2832</v>
      </c>
      <c r="B11" s="9" t="s">
        <v>2833</v>
      </c>
    </row>
    <row r="12" spans="1:8" ht="27.6">
      <c r="A12" s="9" t="s">
        <v>2834</v>
      </c>
      <c r="B12" s="9" t="s">
        <v>2835</v>
      </c>
    </row>
    <row r="13" spans="1:8" ht="27.6">
      <c r="A13" s="9" t="s">
        <v>2836</v>
      </c>
      <c r="B13" s="9" t="s">
        <v>2837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"/>
  <sheetViews>
    <sheetView workbookViewId="0">
      <selection sqref="A1:H1"/>
    </sheetView>
  </sheetViews>
  <sheetFormatPr defaultRowHeight="13.8"/>
  <cols>
    <col min="1" max="1" width="12" customWidth="1"/>
    <col min="2" max="4" width="42" customWidth="1"/>
    <col min="5" max="6" width="24" customWidth="1"/>
    <col min="7" max="8" width="14" customWidth="1"/>
  </cols>
  <sheetData>
    <row r="1" spans="1:8" ht="24" customHeight="1">
      <c r="A1" s="25" t="s">
        <v>2838</v>
      </c>
      <c r="B1" s="26"/>
      <c r="C1" s="26"/>
      <c r="D1" s="26"/>
      <c r="E1" s="26"/>
      <c r="F1" s="26"/>
      <c r="G1" s="26"/>
      <c r="H1" s="26"/>
    </row>
    <row r="3" spans="1:8">
      <c r="A3" s="7" t="s">
        <v>2804</v>
      </c>
      <c r="B3" s="7" t="s">
        <v>2839</v>
      </c>
      <c r="C3" s="7" t="s">
        <v>2840</v>
      </c>
      <c r="D3" s="7" t="s">
        <v>2841</v>
      </c>
      <c r="E3" s="7" t="s">
        <v>2842</v>
      </c>
      <c r="F3" s="7" t="s">
        <v>2843</v>
      </c>
      <c r="G3" s="7" t="s">
        <v>2844</v>
      </c>
      <c r="H3" s="7" t="s">
        <v>5</v>
      </c>
    </row>
    <row r="4" spans="1:8" ht="27.6">
      <c r="A4" s="9" t="s">
        <v>2806</v>
      </c>
      <c r="B4" s="9" t="s">
        <v>2845</v>
      </c>
      <c r="C4" s="9" t="s">
        <v>2846</v>
      </c>
      <c r="D4" s="9" t="s">
        <v>2847</v>
      </c>
      <c r="E4" s="9" t="s">
        <v>2848</v>
      </c>
      <c r="F4" s="9" t="s">
        <v>2849</v>
      </c>
      <c r="G4" s="9" t="s">
        <v>2850</v>
      </c>
      <c r="H4" s="9" t="s">
        <v>2851</v>
      </c>
    </row>
    <row r="5" spans="1:8" ht="27.6">
      <c r="A5" s="9" t="s">
        <v>2806</v>
      </c>
      <c r="B5" s="9" t="s">
        <v>2852</v>
      </c>
      <c r="C5" s="9" t="s">
        <v>2853</v>
      </c>
      <c r="D5" s="9" t="s">
        <v>2854</v>
      </c>
      <c r="E5" s="9" t="s">
        <v>2855</v>
      </c>
      <c r="F5" s="9" t="s">
        <v>2856</v>
      </c>
      <c r="G5" s="9" t="s">
        <v>2857</v>
      </c>
      <c r="H5" s="9" t="s">
        <v>2851</v>
      </c>
    </row>
    <row r="6" spans="1:8" ht="27.6">
      <c r="A6" s="9" t="s">
        <v>2808</v>
      </c>
      <c r="B6" s="9" t="s">
        <v>2858</v>
      </c>
      <c r="C6" s="9" t="s">
        <v>2859</v>
      </c>
      <c r="D6" s="9" t="s">
        <v>2860</v>
      </c>
      <c r="E6" s="9" t="s">
        <v>2861</v>
      </c>
      <c r="F6" s="9" t="s">
        <v>2862</v>
      </c>
      <c r="G6" s="9" t="s">
        <v>2863</v>
      </c>
      <c r="H6" s="9" t="s">
        <v>2851</v>
      </c>
    </row>
    <row r="7" spans="1:8" ht="27.6">
      <c r="A7" s="9" t="s">
        <v>2808</v>
      </c>
      <c r="B7" s="9" t="s">
        <v>2864</v>
      </c>
      <c r="C7" s="9" t="s">
        <v>2865</v>
      </c>
      <c r="D7" s="9" t="s">
        <v>2866</v>
      </c>
      <c r="E7" s="9" t="s">
        <v>2867</v>
      </c>
      <c r="F7" s="9" t="s">
        <v>2868</v>
      </c>
      <c r="G7" s="9" t="s">
        <v>2863</v>
      </c>
      <c r="H7" s="9" t="s">
        <v>2851</v>
      </c>
    </row>
    <row r="8" spans="1:8" ht="27.6">
      <c r="A8" s="9" t="s">
        <v>2808</v>
      </c>
      <c r="B8" s="9" t="s">
        <v>2869</v>
      </c>
      <c r="C8" s="9" t="s">
        <v>2870</v>
      </c>
      <c r="D8" s="9" t="s">
        <v>2871</v>
      </c>
      <c r="E8" s="9" t="s">
        <v>2872</v>
      </c>
      <c r="F8" s="9" t="s">
        <v>2873</v>
      </c>
      <c r="G8" s="9" t="s">
        <v>2850</v>
      </c>
      <c r="H8" s="9" t="s">
        <v>2851</v>
      </c>
    </row>
    <row r="9" spans="1:8" ht="27.6">
      <c r="A9" s="9" t="s">
        <v>2810</v>
      </c>
      <c r="B9" s="9" t="s">
        <v>2874</v>
      </c>
      <c r="C9" s="9" t="s">
        <v>2875</v>
      </c>
      <c r="D9" s="9" t="s">
        <v>2876</v>
      </c>
      <c r="E9" s="9" t="s">
        <v>2877</v>
      </c>
      <c r="F9" s="9" t="s">
        <v>2878</v>
      </c>
      <c r="G9" s="9" t="s">
        <v>2879</v>
      </c>
      <c r="H9" s="9" t="s">
        <v>2851</v>
      </c>
    </row>
    <row r="10" spans="1:8">
      <c r="A10" s="9"/>
      <c r="B10" s="9"/>
      <c r="C10" s="9"/>
      <c r="D10" s="9"/>
      <c r="E10" s="9"/>
      <c r="F10" s="9"/>
      <c r="G10" s="9"/>
      <c r="H10" s="9"/>
    </row>
  </sheetData>
  <mergeCells count="1">
    <mergeCell ref="A1:H1"/>
  </mergeCells>
  <dataValidations count="2">
    <dataValidation type="list" sqref="A4:A10" xr:uid="{00000000-0002-0000-0600-000000000000}">
      <formula1>"High,Medium,Low"</formula1>
    </dataValidation>
    <dataValidation type="list" sqref="H4:H10" xr:uid="{00000000-0002-0000-0600-000001000000}">
      <formula1>"Ready,In Progress,Completed,Blocked"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Raw_Data_Sample</vt:lpstr>
      <vt:lpstr>Monthly_Analysis</vt:lpstr>
      <vt:lpstr>State_Analysis</vt:lpstr>
      <vt:lpstr>Category_Analysis</vt:lpstr>
      <vt:lpstr>Data_Source_Methodology</vt:lpstr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Sherry Haghbin</cp:lastModifiedBy>
  <dcterms:modified xsi:type="dcterms:W3CDTF">2026-06-11T06:35:04Z</dcterms:modified>
</cp:coreProperties>
</file>
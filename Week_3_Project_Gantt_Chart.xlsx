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ADBD827F-DEC2-4FFC-AD90-AEE20904A8AD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Dashboard" sheetId="1" r:id="rId1"/>
    <sheet name="Gantt Chart" sheetId="2" r:id="rId2"/>
    <sheet name="Task Register" sheetId="3" r:id="rId3"/>
    <sheet name="Milestones" sheetId="4" r:id="rId4"/>
    <sheet name="Resources RACI" sheetId="5" r:id="rId5"/>
    <sheet name="Risk Register" sheetId="6" r:id="rId6"/>
    <sheet name="Communication Plan" sheetId="7" r:id="rId7"/>
    <sheet name="Instruc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10" i="6"/>
  <c r="F9" i="6"/>
  <c r="F8" i="6"/>
  <c r="F7" i="6"/>
  <c r="F6" i="6"/>
  <c r="F5" i="6"/>
  <c r="L30" i="3"/>
  <c r="G30" i="3"/>
  <c r="L29" i="3"/>
  <c r="G29" i="3"/>
  <c r="L28" i="3"/>
  <c r="G28" i="3"/>
  <c r="L27" i="3"/>
  <c r="G27" i="3"/>
  <c r="L26" i="3"/>
  <c r="G26" i="3"/>
  <c r="L25" i="3"/>
  <c r="G25" i="3"/>
  <c r="L24" i="3"/>
  <c r="G24" i="3"/>
  <c r="L23" i="3"/>
  <c r="G23" i="3"/>
  <c r="L22" i="3"/>
  <c r="G22" i="3"/>
  <c r="L21" i="3"/>
  <c r="G21" i="3"/>
  <c r="L20" i="3"/>
  <c r="G20" i="3"/>
  <c r="L19" i="3"/>
  <c r="G19" i="3"/>
  <c r="L18" i="3"/>
  <c r="G18" i="3"/>
  <c r="L17" i="3"/>
  <c r="G17" i="3"/>
  <c r="L16" i="3"/>
  <c r="G16" i="3"/>
  <c r="L15" i="3"/>
  <c r="G15" i="3"/>
  <c r="L14" i="3"/>
  <c r="G14" i="3"/>
  <c r="L13" i="3"/>
  <c r="G13" i="3"/>
  <c r="L12" i="3"/>
  <c r="G12" i="3"/>
  <c r="L11" i="3"/>
  <c r="G11" i="3"/>
  <c r="L10" i="3"/>
  <c r="G10" i="3"/>
  <c r="L9" i="3"/>
  <c r="G9" i="3"/>
  <c r="L8" i="3"/>
  <c r="G8" i="3"/>
  <c r="L7" i="3"/>
  <c r="G7" i="3"/>
  <c r="L6" i="3"/>
  <c r="G6" i="3"/>
  <c r="L5" i="3"/>
  <c r="G5" i="3"/>
  <c r="T34" i="2"/>
  <c r="Q34" i="2"/>
  <c r="P34" i="2"/>
  <c r="O34" i="2"/>
  <c r="N34" i="2"/>
  <c r="M34" i="2"/>
  <c r="L34" i="2"/>
  <c r="K34" i="2"/>
  <c r="J34" i="2"/>
  <c r="T33" i="2"/>
  <c r="Q33" i="2"/>
  <c r="P33" i="2"/>
  <c r="O33" i="2"/>
  <c r="N33" i="2"/>
  <c r="M33" i="2"/>
  <c r="L33" i="2"/>
  <c r="K33" i="2"/>
  <c r="J33" i="2"/>
  <c r="T32" i="2"/>
  <c r="Q32" i="2"/>
  <c r="P32" i="2"/>
  <c r="O32" i="2"/>
  <c r="N32" i="2"/>
  <c r="M32" i="2"/>
  <c r="L32" i="2"/>
  <c r="K32" i="2"/>
  <c r="J32" i="2"/>
  <c r="T31" i="2"/>
  <c r="Q31" i="2"/>
  <c r="P31" i="2"/>
  <c r="O31" i="2"/>
  <c r="N31" i="2"/>
  <c r="M31" i="2"/>
  <c r="L31" i="2"/>
  <c r="K31" i="2"/>
  <c r="J31" i="2"/>
  <c r="T30" i="2"/>
  <c r="Q30" i="2"/>
  <c r="P30" i="2"/>
  <c r="O30" i="2"/>
  <c r="N30" i="2"/>
  <c r="M30" i="2"/>
  <c r="L30" i="2"/>
  <c r="K30" i="2"/>
  <c r="J30" i="2"/>
  <c r="T29" i="2"/>
  <c r="Q29" i="2"/>
  <c r="P29" i="2"/>
  <c r="O29" i="2"/>
  <c r="N29" i="2"/>
  <c r="M29" i="2"/>
  <c r="L29" i="2"/>
  <c r="K29" i="2"/>
  <c r="J29" i="2"/>
  <c r="T28" i="2"/>
  <c r="Q28" i="2"/>
  <c r="P28" i="2"/>
  <c r="O28" i="2"/>
  <c r="N28" i="2"/>
  <c r="M28" i="2"/>
  <c r="L28" i="2"/>
  <c r="K28" i="2"/>
  <c r="J28" i="2"/>
  <c r="T27" i="2"/>
  <c r="Q27" i="2"/>
  <c r="P27" i="2"/>
  <c r="O27" i="2"/>
  <c r="N27" i="2"/>
  <c r="M27" i="2"/>
  <c r="L27" i="2"/>
  <c r="K27" i="2"/>
  <c r="J27" i="2"/>
  <c r="T26" i="2"/>
  <c r="Q26" i="2"/>
  <c r="P26" i="2"/>
  <c r="O26" i="2"/>
  <c r="N26" i="2"/>
  <c r="M26" i="2"/>
  <c r="L26" i="2"/>
  <c r="K26" i="2"/>
  <c r="J26" i="2"/>
  <c r="T25" i="2"/>
  <c r="Q25" i="2"/>
  <c r="P25" i="2"/>
  <c r="O25" i="2"/>
  <c r="N25" i="2"/>
  <c r="M25" i="2"/>
  <c r="L25" i="2"/>
  <c r="K25" i="2"/>
  <c r="J25" i="2"/>
  <c r="T24" i="2"/>
  <c r="Q24" i="2"/>
  <c r="P24" i="2"/>
  <c r="O24" i="2"/>
  <c r="N24" i="2"/>
  <c r="M24" i="2"/>
  <c r="L24" i="2"/>
  <c r="K24" i="2"/>
  <c r="J24" i="2"/>
  <c r="T23" i="2"/>
  <c r="Q23" i="2"/>
  <c r="P23" i="2"/>
  <c r="O23" i="2"/>
  <c r="N23" i="2"/>
  <c r="M23" i="2"/>
  <c r="L23" i="2"/>
  <c r="K23" i="2"/>
  <c r="J23" i="2"/>
  <c r="T22" i="2"/>
  <c r="Q22" i="2"/>
  <c r="P22" i="2"/>
  <c r="O22" i="2"/>
  <c r="N22" i="2"/>
  <c r="M22" i="2"/>
  <c r="L22" i="2"/>
  <c r="K22" i="2"/>
  <c r="J22" i="2"/>
  <c r="T21" i="2"/>
  <c r="Q21" i="2"/>
  <c r="P21" i="2"/>
  <c r="O21" i="2"/>
  <c r="N21" i="2"/>
  <c r="M21" i="2"/>
  <c r="L21" i="2"/>
  <c r="K21" i="2"/>
  <c r="J21" i="2"/>
  <c r="T20" i="2"/>
  <c r="Q20" i="2"/>
  <c r="P20" i="2"/>
  <c r="O20" i="2"/>
  <c r="N20" i="2"/>
  <c r="M20" i="2"/>
  <c r="L20" i="2"/>
  <c r="K20" i="2"/>
  <c r="J20" i="2"/>
  <c r="T19" i="2"/>
  <c r="Q19" i="2"/>
  <c r="P19" i="2"/>
  <c r="O19" i="2"/>
  <c r="N19" i="2"/>
  <c r="M19" i="2"/>
  <c r="L19" i="2"/>
  <c r="K19" i="2"/>
  <c r="J19" i="2"/>
  <c r="T18" i="2"/>
  <c r="Q18" i="2"/>
  <c r="P18" i="2"/>
  <c r="O18" i="2"/>
  <c r="N18" i="2"/>
  <c r="M18" i="2"/>
  <c r="L18" i="2"/>
  <c r="K18" i="2"/>
  <c r="J18" i="2"/>
  <c r="T17" i="2"/>
  <c r="Q17" i="2"/>
  <c r="P17" i="2"/>
  <c r="O17" i="2"/>
  <c r="N17" i="2"/>
  <c r="M17" i="2"/>
  <c r="L17" i="2"/>
  <c r="K17" i="2"/>
  <c r="J17" i="2"/>
  <c r="T16" i="2"/>
  <c r="Q16" i="2"/>
  <c r="P16" i="2"/>
  <c r="O16" i="2"/>
  <c r="N16" i="2"/>
  <c r="M16" i="2"/>
  <c r="L16" i="2"/>
  <c r="K16" i="2"/>
  <c r="J16" i="2"/>
  <c r="T15" i="2"/>
  <c r="Q15" i="2"/>
  <c r="P15" i="2"/>
  <c r="O15" i="2"/>
  <c r="N15" i="2"/>
  <c r="M15" i="2"/>
  <c r="L15" i="2"/>
  <c r="K15" i="2"/>
  <c r="J15" i="2"/>
  <c r="T14" i="2"/>
  <c r="Q14" i="2"/>
  <c r="P14" i="2"/>
  <c r="O14" i="2"/>
  <c r="N14" i="2"/>
  <c r="M14" i="2"/>
  <c r="L14" i="2"/>
  <c r="K14" i="2"/>
  <c r="J14" i="2"/>
  <c r="T13" i="2"/>
  <c r="Q13" i="2"/>
  <c r="P13" i="2"/>
  <c r="O13" i="2"/>
  <c r="N13" i="2"/>
  <c r="M13" i="2"/>
  <c r="L13" i="2"/>
  <c r="K13" i="2"/>
  <c r="J13" i="2"/>
  <c r="T12" i="2"/>
  <c r="Q12" i="2"/>
  <c r="P12" i="2"/>
  <c r="O12" i="2"/>
  <c r="N12" i="2"/>
  <c r="M12" i="2"/>
  <c r="L12" i="2"/>
  <c r="K12" i="2"/>
  <c r="J12" i="2"/>
  <c r="T11" i="2"/>
  <c r="Q11" i="2"/>
  <c r="P11" i="2"/>
  <c r="O11" i="2"/>
  <c r="N11" i="2"/>
  <c r="M11" i="2"/>
  <c r="L11" i="2"/>
  <c r="K11" i="2"/>
  <c r="J11" i="2"/>
  <c r="T10" i="2"/>
  <c r="Q10" i="2"/>
  <c r="P10" i="2"/>
  <c r="O10" i="2"/>
  <c r="N10" i="2"/>
  <c r="M10" i="2"/>
  <c r="L10" i="2"/>
  <c r="K10" i="2"/>
  <c r="J10" i="2"/>
  <c r="T9" i="2"/>
  <c r="Q9" i="2"/>
  <c r="P9" i="2"/>
  <c r="O9" i="2"/>
  <c r="N9" i="2"/>
  <c r="M9" i="2"/>
  <c r="L9" i="2"/>
  <c r="K9" i="2"/>
  <c r="J9" i="2"/>
  <c r="H12" i="1"/>
  <c r="G12" i="1"/>
  <c r="F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<sst xmlns="http://schemas.openxmlformats.org/spreadsheetml/2006/main" count="756" uniqueCount="347">
  <si>
    <t>Project Coordination Plan for Improving E-Commerce Order Fulfillment and Delivery Performance</t>
  </si>
  <si>
    <t>Project Snapshot</t>
  </si>
  <si>
    <t>Project Name</t>
  </si>
  <si>
    <t>E-Commerce Fulfillment and Delivery Improvement Project</t>
  </si>
  <si>
    <t>Project Start</t>
  </si>
  <si>
    <t>Project End</t>
  </si>
  <si>
    <t>Duration</t>
  </si>
  <si>
    <t>8 weeks</t>
  </si>
  <si>
    <t>Project Goal</t>
  </si>
  <si>
    <t>Reduce fulfillment delays and improve visibility across warehouse, courier and customer service handoffs.</t>
  </si>
  <si>
    <t>Project Sponsor</t>
  </si>
  <si>
    <t>Operations Manager</t>
  </si>
  <si>
    <t>Project Owner</t>
  </si>
  <si>
    <t>Operations Assistant</t>
  </si>
  <si>
    <t>Status</t>
  </si>
  <si>
    <t>Planned</t>
  </si>
  <si>
    <t>Scope</t>
  </si>
  <si>
    <t>Order processing, warehouse handoff, courier coordination, delay alerts, customer communication and KPI reporting.</t>
  </si>
  <si>
    <t>Primary Tools</t>
  </si>
  <si>
    <t>Excel, Power BI, SOP checklist, weekly KPI tracker</t>
  </si>
  <si>
    <t>Review Cadence</t>
  </si>
  <si>
    <t>Weekly</t>
  </si>
  <si>
    <t>Approach</t>
  </si>
  <si>
    <t>Pilot then rollout</t>
  </si>
  <si>
    <t>Project Control KPIs</t>
  </si>
  <si>
    <t>Total Tasks</t>
  </si>
  <si>
    <t>Completed</t>
  </si>
  <si>
    <t>In Progress</t>
  </si>
  <si>
    <t>Not Started</t>
  </si>
  <si>
    <t>At Risk</t>
  </si>
  <si>
    <t>High Priority</t>
  </si>
  <si>
    <t>Milestones</t>
  </si>
  <si>
    <t>Project Completion</t>
  </si>
  <si>
    <t>Main Deliverables</t>
  </si>
  <si>
    <t>Expected Operational Impact</t>
  </si>
  <si>
    <t>1</t>
  </si>
  <si>
    <t>Approved project charter and stakeholder register</t>
  </si>
  <si>
    <t>Visibility</t>
  </si>
  <si>
    <t>Weekly KPI reporting gives management clearer delivery performance visibility.</t>
  </si>
  <si>
    <t>2</t>
  </si>
  <si>
    <t>Current-state process review and bottleneck assessment</t>
  </si>
  <si>
    <t>Speed</t>
  </si>
  <si>
    <t>Delay alerts help teams intervene before orders become overdue.</t>
  </si>
  <si>
    <t>3</t>
  </si>
  <si>
    <t>KPI tracker, delay alert rules and exception dashboard setup</t>
  </si>
  <si>
    <t>Quality</t>
  </si>
  <si>
    <t>Warehouse handoff checklists reduce missing information and rework.</t>
  </si>
  <si>
    <t>4</t>
  </si>
  <si>
    <t>Future-state SOP, courier SLA process and customer notification templates</t>
  </si>
  <si>
    <t>Customer Experience</t>
  </si>
  <si>
    <t>Proactive notifications reduce customer uncertainty during delays.</t>
  </si>
  <si>
    <t>5</t>
  </si>
  <si>
    <t>Pilot implementation, rollout plan and final handover report</t>
  </si>
  <si>
    <t>Accountability</t>
  </si>
  <si>
    <t>Named owners and escalation paths improve follow-up and closure.</t>
  </si>
  <si>
    <t>Professional Excel Gantt Chart - 8 Week Project Timeline</t>
  </si>
  <si>
    <t>Project Coordination Plan for Improving E-Commerce Fulfillment and Delivery Performance</t>
  </si>
  <si>
    <t>Legend</t>
  </si>
  <si>
    <t>Planned Work</t>
  </si>
  <si>
    <t>Milestone</t>
  </si>
  <si>
    <t>ID</t>
  </si>
  <si>
    <t>Phase</t>
  </si>
  <si>
    <t>Task</t>
  </si>
  <si>
    <t>Owner</t>
  </si>
  <si>
    <t>Start</t>
  </si>
  <si>
    <t>End</t>
  </si>
  <si>
    <t>Priority</t>
  </si>
  <si>
    <t>W1</t>
  </si>
  <si>
    <t>W2</t>
  </si>
  <si>
    <t>W3</t>
  </si>
  <si>
    <t>W4</t>
  </si>
  <si>
    <t>W5</t>
  </si>
  <si>
    <t>W6</t>
  </si>
  <si>
    <t>W7</t>
  </si>
  <si>
    <t>W8</t>
  </si>
  <si>
    <t>Dependencies</t>
  </si>
  <si>
    <t>Deliverable</t>
  </si>
  <si>
    <t>Progress</t>
  </si>
  <si>
    <t>Notes</t>
  </si>
  <si>
    <t>Project Initiation</t>
  </si>
  <si>
    <t>Project kickoff and sponsor alignment</t>
  </si>
  <si>
    <t>High</t>
  </si>
  <si>
    <t>Kickoff notes and agreed project direction</t>
  </si>
  <si>
    <t>Confirm scope, KPIs, baseline and target outcomes</t>
  </si>
  <si>
    <t>Approved scope and KPI list</t>
  </si>
  <si>
    <t>Build stakeholder register and communication plan</t>
  </si>
  <si>
    <t>Project Coordinator</t>
  </si>
  <si>
    <t>Medium</t>
  </si>
  <si>
    <t>Stakeholder and communication matrix</t>
  </si>
  <si>
    <t>Milestone: project charter approved</t>
  </si>
  <si>
    <t>2,3</t>
  </si>
  <si>
    <t>Signed project charter</t>
  </si>
  <si>
    <t>Current Process Review</t>
  </si>
  <si>
    <t>Review current order fulfillment workflow</t>
  </si>
  <si>
    <t>Current-state process notes</t>
  </si>
  <si>
    <t>Interview warehouse, courier and customer service stakeholders</t>
  </si>
  <si>
    <t>Interview summary log</t>
  </si>
  <si>
    <t>Analyze delivery delay dashboard and operational findings</t>
  </si>
  <si>
    <t>Data Analyst</t>
  </si>
  <si>
    <t>Baseline performance analysis</t>
  </si>
  <si>
    <t>Identify bottlenecks, root causes and handoff risks</t>
  </si>
  <si>
    <t>5,6,7</t>
  </si>
  <si>
    <t>Bottleneck and root-cause summary</t>
  </si>
  <si>
    <t>Milestone: current-state assessment approved</t>
  </si>
  <si>
    <t>8</t>
  </si>
  <si>
    <t>Current-state assessment sign-off</t>
  </si>
  <si>
    <t>Data and KPI Setup</t>
  </si>
  <si>
    <t>Define KPI fields, calculation rules and reporting cadence</t>
  </si>
  <si>
    <t>9</t>
  </si>
  <si>
    <t>KPI definition sheet</t>
  </si>
  <si>
    <t>Prepare tracking template and Power BI/Excel source fields</t>
  </si>
  <si>
    <t>10</t>
  </si>
  <si>
    <t>KPI tracking template</t>
  </si>
  <si>
    <t>Configure delay alert rules and exception tracker</t>
  </si>
  <si>
    <t>11</t>
  </si>
  <si>
    <t>Delay exception tracker</t>
  </si>
  <si>
    <t>Validate data quality and reporting ownership</t>
  </si>
  <si>
    <t>11,12</t>
  </si>
  <si>
    <t>Data quality checklist</t>
  </si>
  <si>
    <t>Milestone: KPI dashboard and tracker ready</t>
  </si>
  <si>
    <t>13</t>
  </si>
  <si>
    <t>Dashboard sign-off</t>
  </si>
  <si>
    <t>Workflow Improvement Design</t>
  </si>
  <si>
    <t>Redesign warehouse-to-courier order handoff SOP</t>
  </si>
  <si>
    <t>14</t>
  </si>
  <si>
    <t>Updated SOP draft</t>
  </si>
  <si>
    <t>Define courier SLA review process and escalation path</t>
  </si>
  <si>
    <t>SLA review procedure</t>
  </si>
  <si>
    <t>Create customer notification templates for delayed orders</t>
  </si>
  <si>
    <t>Customer Service Lead</t>
  </si>
  <si>
    <t>15</t>
  </si>
  <si>
    <t>Notification templates</t>
  </si>
  <si>
    <t>Prepare training materials, checklists and role guides</t>
  </si>
  <si>
    <t>15,16</t>
  </si>
  <si>
    <t>Training pack and checklist</t>
  </si>
  <si>
    <t>Milestone: future-state design approved</t>
  </si>
  <si>
    <t>15,16,17,18</t>
  </si>
  <si>
    <t>Future-state design sign-off</t>
  </si>
  <si>
    <t>Pilot Implementation</t>
  </si>
  <si>
    <t>Pilot improved process with selected sample orders</t>
  </si>
  <si>
    <t>Warehouse Lead</t>
  </si>
  <si>
    <t>19</t>
  </si>
  <si>
    <t>Pilot run report</t>
  </si>
  <si>
    <t>Monitor daily issues, delays and exception tracker updates</t>
  </si>
  <si>
    <t>20</t>
  </si>
  <si>
    <t>Daily issue log</t>
  </si>
  <si>
    <t>Hold pilot review and corrective action meeting</t>
  </si>
  <si>
    <t>20,21</t>
  </si>
  <si>
    <t>Corrective action log</t>
  </si>
  <si>
    <t>Milestone: pilot sign-off</t>
  </si>
  <si>
    <t>22</t>
  </si>
  <si>
    <t>Pilot approval</t>
  </si>
  <si>
    <t>Rollout and Closure</t>
  </si>
  <si>
    <t>Team training and go-live briefing</t>
  </si>
  <si>
    <t>23</t>
  </si>
  <si>
    <t>Training attendance and briefing notes</t>
  </si>
  <si>
    <t>Full rollout across fulfillment workflow</t>
  </si>
  <si>
    <t>24</t>
  </si>
  <si>
    <t>Go-live confirmation</t>
  </si>
  <si>
    <t>Final performance review and handover report</t>
  </si>
  <si>
    <t>25</t>
  </si>
  <si>
    <t>Final project report and handover pack</t>
  </si>
  <si>
    <t>Task Register - E-Commerce Fulfillment and Delivery Improvement Project</t>
  </si>
  <si>
    <t>Start Date</t>
  </si>
  <si>
    <t>End Date</t>
  </si>
  <si>
    <t>Dependency</t>
  </si>
  <si>
    <t>Progress %</t>
  </si>
  <si>
    <t>Milestone and Deliverables Tracker</t>
  </si>
  <si>
    <t>Target Date</t>
  </si>
  <si>
    <t>Acceptance Criteria</t>
  </si>
  <si>
    <t>M1</t>
  </si>
  <si>
    <t>Project charter approved</t>
  </si>
  <si>
    <t>Scope, project goal and responsible owners confirmed</t>
  </si>
  <si>
    <t>M2</t>
  </si>
  <si>
    <t>Current-state assessment approved</t>
  </si>
  <si>
    <t>Process review and bottleneck assessment</t>
  </si>
  <si>
    <t>Root causes and handoff risks clearly documented</t>
  </si>
  <si>
    <t>M3</t>
  </si>
  <si>
    <t>KPI dashboard and tracker ready</t>
  </si>
  <si>
    <t>KPI tracker and delay exception rules</t>
  </si>
  <si>
    <t>Reporting fields validated and owners assigned</t>
  </si>
  <si>
    <t>M4</t>
  </si>
  <si>
    <t>Future-state design approved</t>
  </si>
  <si>
    <t>SOP, SLA review process and templates</t>
  </si>
  <si>
    <t>Improved process map and role handoffs approved</t>
  </si>
  <si>
    <t>M5</t>
  </si>
  <si>
    <t>Pilot sign-off</t>
  </si>
  <si>
    <t>Pilot report and corrective action log</t>
  </si>
  <si>
    <t>Pilot completed with documented lessons learned</t>
  </si>
  <si>
    <t>M6</t>
  </si>
  <si>
    <t>Project closure and handover</t>
  </si>
  <si>
    <t>Final report submitted with next-step owner</t>
  </si>
  <si>
    <t>Resource Allocation and RACI Matrix</t>
  </si>
  <si>
    <t>Workstream</t>
  </si>
  <si>
    <t>Courier Partner</t>
  </si>
  <si>
    <t>Project initiation and governance</t>
  </si>
  <si>
    <t>A</t>
  </si>
  <si>
    <t>R</t>
  </si>
  <si>
    <t>C</t>
  </si>
  <si>
    <t>I</t>
  </si>
  <si>
    <t>Current process review</t>
  </si>
  <si>
    <t>KPI and dashboard setup</t>
  </si>
  <si>
    <t>Warehouse handoff SOP redesign</t>
  </si>
  <si>
    <t>Courier SLA and escalation process</t>
  </si>
  <si>
    <t>A/R</t>
  </si>
  <si>
    <t>Customer notification templates</t>
  </si>
  <si>
    <t>Pilot monitoring and issue resolution</t>
  </si>
  <si>
    <t>Training and rollout</t>
  </si>
  <si>
    <t>Final handover and reporting</t>
  </si>
  <si>
    <t>RACI Legend</t>
  </si>
  <si>
    <t>R = Responsible</t>
  </si>
  <si>
    <t>A = Accountable</t>
  </si>
  <si>
    <t>C = Consulted</t>
  </si>
  <si>
    <t>I = Informed</t>
  </si>
  <si>
    <t>A/R = Accountable and Responsible</t>
  </si>
  <si>
    <t>Risk Assessment and Mitigation Register</t>
  </si>
  <si>
    <t>Risk Category</t>
  </si>
  <si>
    <t>Risk Description</t>
  </si>
  <si>
    <t>Probability</t>
  </si>
  <si>
    <t>Impact</t>
  </si>
  <si>
    <t>Risk Score</t>
  </si>
  <si>
    <t>Mitigation Strategy</t>
  </si>
  <si>
    <t>Contingency Plan</t>
  </si>
  <si>
    <t>R1</t>
  </si>
  <si>
    <t>Schedule</t>
  </si>
  <si>
    <t>Project tasks take longer than expected due to stakeholder availability.</t>
  </si>
  <si>
    <t>Use weekly progress check-ins and confirm meeting availability in advance.</t>
  </si>
  <si>
    <t>Escalate overdue tasks and adjust non-critical activities.</t>
  </si>
  <si>
    <t>Open</t>
  </si>
  <si>
    <t>R2</t>
  </si>
  <si>
    <t>Data Quality</t>
  </si>
  <si>
    <t>Order tracking fields are incomplete or inconsistent across teams.</t>
  </si>
  <si>
    <t>Standardize fields before dashboard setup and assign data ownership.</t>
  </si>
  <si>
    <t>Use manual validation sample until automation is stable.</t>
  </si>
  <si>
    <t>R3</t>
  </si>
  <si>
    <t>Operational Adoption</t>
  </si>
  <si>
    <t>Warehouse or customer service teams resist the updated process.</t>
  </si>
  <si>
    <t>Keep SOP simple and provide short training with role-specific checklists.</t>
  </si>
  <si>
    <t>Run additional coaching and collect feedback during pilot.</t>
  </si>
  <si>
    <t>R4</t>
  </si>
  <si>
    <t>Courier Performance</t>
  </si>
  <si>
    <t>Delivery partner performance does not improve after SLA review.</t>
  </si>
  <si>
    <t>Review SLA performance weekly and create an escalation path for late orders.</t>
  </si>
  <si>
    <t>Compare alternative carriers for high-delay locations.</t>
  </si>
  <si>
    <t>R5</t>
  </si>
  <si>
    <t>Customers remain dissatisfied if delay notifications are sent too late.</t>
  </si>
  <si>
    <t>Set notification triggers before expected delivery is missed.</t>
  </si>
  <si>
    <t>Send proactive service recovery messages for high-risk orders.</t>
  </si>
  <si>
    <t>R6</t>
  </si>
  <si>
    <t>Technology</t>
  </si>
  <si>
    <t>Power BI or tracker setup does not refresh as expected.</t>
  </si>
  <si>
    <t>Test refresh logic during setup and document ownership.</t>
  </si>
  <si>
    <t>Use Excel tracker backup during pilot period.</t>
  </si>
  <si>
    <t>R7</t>
  </si>
  <si>
    <t>Scope Creep</t>
  </si>
  <si>
    <t>Additional process changes are requested beyond the agreed project scope.</t>
  </si>
  <si>
    <t>Use change log and require approval for major scope additions.</t>
  </si>
  <si>
    <t>Move non-critical ideas to the post-project improvement backlog.</t>
  </si>
  <si>
    <t>Stakeholder Communication Plan</t>
  </si>
  <si>
    <t>Audience</t>
  </si>
  <si>
    <t>Purpose</t>
  </si>
  <si>
    <t>Format</t>
  </si>
  <si>
    <t>Frequency</t>
  </si>
  <si>
    <t>Timing</t>
  </si>
  <si>
    <t>Output</t>
  </si>
  <si>
    <t>Escalation Trigger</t>
  </si>
  <si>
    <t>Project sponsor / Operations Manager</t>
  </si>
  <si>
    <t>Confirm scope, decisions and roadblocks</t>
  </si>
  <si>
    <t>Weekly meeting + summary email</t>
  </si>
  <si>
    <t>Every Monday</t>
  </si>
  <si>
    <t>Decision log and action tracker</t>
  </si>
  <si>
    <t>Blocked tasks or timeline slip over 2 days</t>
  </si>
  <si>
    <t>Warehouse team</t>
  </si>
  <si>
    <t>Review handoff process, issues and checklist usage</t>
  </si>
  <si>
    <t>Stand-up meeting</t>
  </si>
  <si>
    <t>Twice weekly during pilot</t>
  </si>
  <si>
    <t>Tue/Thu</t>
  </si>
  <si>
    <t>Issue log and checklist updates</t>
  </si>
  <si>
    <t>Repeated picking or handoff errors</t>
  </si>
  <si>
    <t>Courier partner</t>
  </si>
  <si>
    <t>Review SLA performance and delayed order exceptions</t>
  </si>
  <si>
    <t>SLA review call</t>
  </si>
  <si>
    <t>Wednesday</t>
  </si>
  <si>
    <t>Courier action list</t>
  </si>
  <si>
    <t>Late delivery rate exceeds target</t>
  </si>
  <si>
    <t>Customer service team</t>
  </si>
  <si>
    <t>Align delay notifications and customer response process</t>
  </si>
  <si>
    <t>Briefing + template review</t>
  </si>
  <si>
    <t>Thursday</t>
  </si>
  <si>
    <t>Approved templates and feedback log</t>
  </si>
  <si>
    <t>Customer complaints increase</t>
  </si>
  <si>
    <t>Data analyst</t>
  </si>
  <si>
    <t>Validate KPI fields, dashboard refresh and data quality</t>
  </si>
  <si>
    <t>Working session</t>
  </si>
  <si>
    <t>Friday</t>
  </si>
  <si>
    <t>Updated tracker and validation notes</t>
  </si>
  <si>
    <t>Data gaps or dashboard refresh failure</t>
  </si>
  <si>
    <t>All stakeholders</t>
  </si>
  <si>
    <t>Share pilot outcome, rollout readiness and final handover</t>
  </si>
  <si>
    <t>Final report and presentation</t>
  </si>
  <si>
    <t>Project close</t>
  </si>
  <si>
    <t>Week 8</t>
  </si>
  <si>
    <t>Final project report</t>
  </si>
  <si>
    <t>Open risks remain unresolved</t>
  </si>
  <si>
    <t>How to Use This Workbook</t>
  </si>
  <si>
    <t>Step</t>
  </si>
  <si>
    <t>Instruction</t>
  </si>
  <si>
    <t>Sheet</t>
  </si>
  <si>
    <t>Editable Fields</t>
  </si>
  <si>
    <t>Quality Check</t>
  </si>
  <si>
    <t>Review the Dashboard first to understand the project scope and KPI cards.</t>
  </si>
  <si>
    <t>Dashboard</t>
  </si>
  <si>
    <t>Status snapshot if needed</t>
  </si>
  <si>
    <t>KPI cards update from the Task Register when opened in Excel.</t>
  </si>
  <si>
    <t>Check project dates and status.</t>
  </si>
  <si>
    <t>Use the Gantt Chart sheet as the main scheduling view.</t>
  </si>
  <si>
    <t>Gantt Chart</t>
  </si>
  <si>
    <t>Start, End, Status, Priority, Notes</t>
  </si>
  <si>
    <t>The timeline bars are formula-based and update when dates change.</t>
  </si>
  <si>
    <t>Check dates and dependencies.</t>
  </si>
  <si>
    <t>Update individual tasks and progress in the Task Register.</t>
  </si>
  <si>
    <t>Task Register</t>
  </si>
  <si>
    <t>Owner, Start Date, End Date, Status, Priority, Deliverable</t>
  </si>
  <si>
    <t>Duration and progress are formula-driven.</t>
  </si>
  <si>
    <t>Avoid deleting formulas.</t>
  </si>
  <si>
    <t>Track milestone completion and ownership.</t>
  </si>
  <si>
    <t>Status and owner</t>
  </si>
  <si>
    <t>Use this for reporting key project checkpoints.</t>
  </si>
  <si>
    <t>Confirm every milestone has a deliverable.</t>
  </si>
  <si>
    <t>Use the RACI matrix to explain resource allocation.</t>
  </si>
  <si>
    <t>Resources RACI</t>
  </si>
  <si>
    <t>RACI letters if ownership changes</t>
  </si>
  <si>
    <t>R = Responsible, A = Accountable, C = Consulted, I = Informed.</t>
  </si>
  <si>
    <t>Ensure each workstream has an accountable owner.</t>
  </si>
  <si>
    <t>6</t>
  </si>
  <si>
    <t>Review and update risks during weekly project meetings.</t>
  </si>
  <si>
    <t>Risk Register</t>
  </si>
  <si>
    <t>Probability, impact, status, mitigation</t>
  </si>
  <si>
    <t>Risk Score = Probability x Impact.</t>
  </si>
  <si>
    <t>Escalate high scores.</t>
  </si>
  <si>
    <t>7</t>
  </si>
  <si>
    <t>Use the Communication Plan to keep stakeholders aligned.</t>
  </si>
  <si>
    <t>Communication Plan</t>
  </si>
  <si>
    <t>Frequency, owner, escalation trigger</t>
  </si>
  <si>
    <t>This supports the report submission requirement.</t>
  </si>
  <si>
    <t>Check cadence and owners.</t>
  </si>
  <si>
    <t>Week 3 Project Coordination and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</si>
</sst>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"/>
    <numFmt numFmtId="166" formatCode=";;;"/>
  </numFmts>
  <fonts count="5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0B1F3A"/>
      <name val="Aptos"/>
    </font>
    <font>
      <b/>
      <sz val="16"/>
      <color rgb="FFFFFFFF"/>
      <name val="Aptos"/>
    </font>
  </fonts>
  <fills count="12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AF3F8"/>
      </patternFill>
    </fill>
    <fill>
      <patternFill patternType="solid">
        <fgColor rgb="FF1F4E79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FFF2C94C"/>
      </patternFill>
    </fill>
    <fill>
      <patternFill patternType="solid">
        <fgColor rgb="FFB91C1C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top"/>
    </xf>
    <xf numFmtId="0" fontId="3" fillId="5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center" vertical="top" wrapText="1"/>
    </xf>
    <xf numFmtId="165" fontId="3" fillId="5" borderId="0" xfId="0" applyNumberFormat="1" applyFont="1" applyFill="1" applyAlignment="1">
      <alignment horizontal="center"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0" fontId="3" fillId="6" borderId="0" xfId="0" applyFont="1" applyFill="1" applyAlignment="1">
      <alignment horizontal="center" vertical="top" wrapText="1"/>
    </xf>
    <xf numFmtId="9" fontId="3" fillId="6" borderId="0" xfId="0" applyNumberFormat="1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center" vertical="top"/>
    </xf>
    <xf numFmtId="0" fontId="3" fillId="9" borderId="0" xfId="0" applyFont="1" applyFill="1" applyAlignment="1">
      <alignment horizontal="center" vertical="top"/>
    </xf>
    <xf numFmtId="0" fontId="1" fillId="10" borderId="0" xfId="0" applyFont="1" applyFill="1" applyAlignment="1">
      <alignment horizontal="center" vertical="top"/>
    </xf>
    <xf numFmtId="0" fontId="1" fillId="11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top"/>
    </xf>
  </cellXfs>
  <cellStyles count="1">
    <cellStyle name="Normal" xfId="0" builtinId="0"/>
  </cellStyles>
  <dxfs count="14">
    <dxf>
      <font>
        <b/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2E7D32"/>
      </font>
      <fill>
        <patternFill patternType="solid">
          <bgColor rgb="FF2E7D32"/>
        </patternFill>
      </fill>
    </dxf>
    <dxf>
      <font>
        <color rgb="FFB91C1C"/>
      </font>
      <fill>
        <patternFill patternType="solid">
          <bgColor rgb="FFB91C1C"/>
        </patternFill>
      </fill>
    </dxf>
    <dxf>
      <font>
        <color rgb="FFF2C94C"/>
      </font>
      <fill>
        <patternFill patternType="solid">
          <bgColor rgb="FFF2C94C"/>
        </patternFill>
      </fill>
    </dxf>
    <dxf>
      <font>
        <color rgb="FF1F4E79"/>
      </font>
      <fill>
        <patternFill patternType="solid">
          <bgColor rgb="FF1F4E79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anttChartTable" displayName="GanttChartTable" ref="A7:U34">
  <tableColumns count="21">
    <tableColumn id="1" xr3:uid="{00000000-0010-0000-0000-000001000000}" name="ID"/>
    <tableColumn id="2" xr3:uid="{00000000-0010-0000-0000-000002000000}" name="Phase"/>
    <tableColumn id="3" xr3:uid="{00000000-0010-0000-0000-000003000000}" name="Task"/>
    <tableColumn id="4" xr3:uid="{00000000-0010-0000-0000-000004000000}" name="Owner"/>
    <tableColumn id="5" xr3:uid="{00000000-0010-0000-0000-000005000000}" name="Start"/>
    <tableColumn id="6" xr3:uid="{00000000-0010-0000-0000-000006000000}" name="End"/>
    <tableColumn id="7" xr3:uid="{00000000-0010-0000-0000-000007000000}" name="Duration"/>
    <tableColumn id="8" xr3:uid="{00000000-0010-0000-0000-000008000000}" name="Status"/>
    <tableColumn id="9" xr3:uid="{00000000-0010-0000-0000-000009000000}" name="Priority"/>
    <tableColumn id="10" xr3:uid="{00000000-0010-0000-0000-00000A000000}" name="W1"/>
    <tableColumn id="11" xr3:uid="{00000000-0010-0000-0000-00000B000000}" name="W2"/>
    <tableColumn id="12" xr3:uid="{00000000-0010-0000-0000-00000C000000}" name="W3"/>
    <tableColumn id="13" xr3:uid="{00000000-0010-0000-0000-00000D000000}" name="W4"/>
    <tableColumn id="14" xr3:uid="{00000000-0010-0000-0000-00000E000000}" name="W5"/>
    <tableColumn id="15" xr3:uid="{00000000-0010-0000-0000-00000F000000}" name="W6"/>
    <tableColumn id="16" xr3:uid="{00000000-0010-0000-0000-000010000000}" name="W7"/>
    <tableColumn id="17" xr3:uid="{00000000-0010-0000-0000-000011000000}" name="W8"/>
    <tableColumn id="18" xr3:uid="{00000000-0010-0000-0000-000012000000}" name="Dependencies"/>
    <tableColumn id="19" xr3:uid="{00000000-0010-0000-0000-000013000000}" name="Deliverable"/>
    <tableColumn id="20" xr3:uid="{00000000-0010-0000-0000-000014000000}" name="Progress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skRegisterTable" displayName="TaskRegisterTable" ref="A4:L30">
  <tableColumns count="12">
    <tableColumn id="1" xr3:uid="{00000000-0010-0000-0100-000001000000}" name="ID"/>
    <tableColumn id="2" xr3:uid="{00000000-0010-0000-0100-000002000000}" name="Phase"/>
    <tableColumn id="3" xr3:uid="{00000000-0010-0000-0100-000003000000}" name="Task"/>
    <tableColumn id="4" xr3:uid="{00000000-0010-0000-0100-000004000000}" name="Owner"/>
    <tableColumn id="5" xr3:uid="{00000000-0010-0000-0100-000005000000}" name="Start Date"/>
    <tableColumn id="6" xr3:uid="{00000000-0010-0000-0100-000006000000}" name="End Date"/>
    <tableColumn id="7" xr3:uid="{00000000-0010-0000-0100-000007000000}" name="Duration"/>
    <tableColumn id="8" xr3:uid="{00000000-0010-0000-0100-000008000000}" name="Status"/>
    <tableColumn id="9" xr3:uid="{00000000-0010-0000-0100-000009000000}" name="Priority"/>
    <tableColumn id="10" xr3:uid="{00000000-0010-0000-0100-00000A000000}" name="Dependency"/>
    <tableColumn id="11" xr3:uid="{00000000-0010-0000-0100-00000B000000}" name="Deliverable"/>
    <tableColumn id="12" xr3:uid="{00000000-0010-0000-0100-00000C000000}" name="Progress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lestonesTable" displayName="MilestonesTable" ref="A4:G10">
  <tableColumns count="7">
    <tableColumn id="1" xr3:uid="{00000000-0010-0000-0200-000001000000}" name="ID"/>
    <tableColumn id="2" xr3:uid="{00000000-0010-0000-0200-000002000000}" name="Milestone"/>
    <tableColumn id="3" xr3:uid="{00000000-0010-0000-0200-000003000000}" name="Target Date"/>
    <tableColumn id="4" xr3:uid="{00000000-0010-0000-0200-000004000000}" name="Deliverable"/>
    <tableColumn id="5" xr3:uid="{00000000-0010-0000-0200-000005000000}" name="Acceptance Criteria"/>
    <tableColumn id="6" xr3:uid="{00000000-0010-0000-0200-000006000000}" name="Owner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CITable" displayName="RACITable" ref="A4:H13">
  <tableColumns count="8">
    <tableColumn id="1" xr3:uid="{00000000-0010-0000-0300-000001000000}" name="Workstream"/>
    <tableColumn id="2" xr3:uid="{00000000-0010-0000-0300-000002000000}" name="Operations Manager"/>
    <tableColumn id="3" xr3:uid="{00000000-0010-0000-0300-000003000000}" name="Operations Assistant"/>
    <tableColumn id="4" xr3:uid="{00000000-0010-0000-0300-000004000000}" name="Project Coordinator"/>
    <tableColumn id="5" xr3:uid="{00000000-0010-0000-0300-000005000000}" name="Data Analyst"/>
    <tableColumn id="6" xr3:uid="{00000000-0010-0000-0300-000006000000}" name="Warehouse Lead"/>
    <tableColumn id="7" xr3:uid="{00000000-0010-0000-0300-000007000000}" name="Customer Service Lead"/>
    <tableColumn id="8" xr3:uid="{00000000-0010-0000-0300-000008000000}" name="Courier Partn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RegisterTable" displayName="RiskRegisterTable" ref="A4:J11">
  <tableColumns count="10">
    <tableColumn id="1" xr3:uid="{00000000-0010-0000-0400-000001000000}" name="ID"/>
    <tableColumn id="2" xr3:uid="{00000000-0010-0000-0400-000002000000}" name="Risk Category"/>
    <tableColumn id="3" xr3:uid="{00000000-0010-0000-0400-000003000000}" name="Risk Description"/>
    <tableColumn id="4" xr3:uid="{00000000-0010-0000-0400-000004000000}" name="Probability"/>
    <tableColumn id="5" xr3:uid="{00000000-0010-0000-0400-000005000000}" name="Impact"/>
    <tableColumn id="6" xr3:uid="{00000000-0010-0000-0400-000006000000}" name="Risk Score"/>
    <tableColumn id="7" xr3:uid="{00000000-0010-0000-0400-000007000000}" name="Owner"/>
    <tableColumn id="8" xr3:uid="{00000000-0010-0000-0400-000008000000}" name="Mitigation Strategy"/>
    <tableColumn id="9" xr3:uid="{00000000-0010-0000-0400-000009000000}" name="Contingency Plan"/>
    <tableColumn id="10" xr3:uid="{00000000-0010-0000-0400-00000A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municationPlanTable" displayName="CommunicationPlanTable" ref="A4:H10">
  <tableColumns count="8">
    <tableColumn id="1" xr3:uid="{00000000-0010-0000-0500-000001000000}" name="Audience"/>
    <tableColumn id="2" xr3:uid="{00000000-0010-0000-0500-000002000000}" name="Purpose"/>
    <tableColumn id="3" xr3:uid="{00000000-0010-0000-0500-000003000000}" name="Format"/>
    <tableColumn id="4" xr3:uid="{00000000-0010-0000-0500-000004000000}" name="Frequency"/>
    <tableColumn id="5" xr3:uid="{00000000-0010-0000-0500-000005000000}" name="Owner"/>
    <tableColumn id="6" xr3:uid="{00000000-0010-0000-0500-000006000000}" name="Timing"/>
    <tableColumn id="7" xr3:uid="{00000000-0010-0000-0500-000007000000}" name="Output"/>
    <tableColumn id="8" xr3:uid="{00000000-0010-0000-0500-000008000000}" name="Escalation Trigg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structionsTable" displayName="InstructionsTable" ref="A4:F11">
  <tableColumns count="6">
    <tableColumn id="1" xr3:uid="{00000000-0010-0000-0600-000001000000}" name="Step"/>
    <tableColumn id="2" xr3:uid="{00000000-0010-0000-0600-000002000000}" name="Instruction"/>
    <tableColumn id="3" xr3:uid="{00000000-0010-0000-0600-000003000000}" name="Sheet"/>
    <tableColumn id="4" xr3:uid="{00000000-0010-0000-0600-000004000000}" name="Editable Fields"/>
    <tableColumn id="5" xr3:uid="{00000000-0010-0000-0600-000005000000}" name="Notes"/>
    <tableColumn id="6" xr3:uid="{00000000-0010-0000-0600-000006000000}" name="Quality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A3" sqref="A3:H3"/>
    </sheetView>
  </sheetViews>
  <sheetFormatPr defaultRowHeight="13.8"/>
  <cols>
    <col min="1" max="1" width="18" customWidth="1"/>
    <col min="2" max="2" width="42" customWidth="1"/>
    <col min="3" max="3" width="18" customWidth="1"/>
    <col min="4" max="4" width="20" customWidth="1"/>
    <col min="5" max="5" width="18" customWidth="1"/>
    <col min="6" max="6" width="30" customWidth="1"/>
    <col min="7" max="7" width="18" customWidth="1"/>
    <col min="8" max="8" width="22" customWidth="1"/>
  </cols>
  <sheetData>
    <row r="1" spans="1:26" ht="20.85" customHeight="1">
      <c r="A1" s="16" t="s">
        <v>346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95" customHeight="1">
      <c r="A2" s="16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65" customHeight="1">
      <c r="A3" s="17" t="s">
        <v>0</v>
      </c>
      <c r="B3" s="18"/>
      <c r="C3" s="18"/>
      <c r="D3" s="18"/>
      <c r="E3" s="18"/>
      <c r="F3" s="18"/>
      <c r="G3" s="18"/>
      <c r="H3" s="1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55" customHeight="1">
      <c r="A5" s="19" t="s">
        <v>1</v>
      </c>
      <c r="B5" s="19"/>
      <c r="C5" s="19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3.2" customHeight="1">
      <c r="A6" s="2" t="s">
        <v>2</v>
      </c>
      <c r="B6" s="5" t="s">
        <v>3</v>
      </c>
      <c r="C6" s="2" t="s">
        <v>4</v>
      </c>
      <c r="D6" s="9">
        <v>46188</v>
      </c>
      <c r="E6" s="2" t="s">
        <v>5</v>
      </c>
      <c r="F6" s="9">
        <v>46241</v>
      </c>
      <c r="G6" s="2" t="s">
        <v>6</v>
      </c>
      <c r="H6" s="5" t="s">
        <v>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6" customHeight="1">
      <c r="A7" s="2" t="s">
        <v>8</v>
      </c>
      <c r="B7" s="5" t="s">
        <v>9</v>
      </c>
      <c r="C7" s="2" t="s">
        <v>10</v>
      </c>
      <c r="D7" s="5" t="s">
        <v>11</v>
      </c>
      <c r="E7" s="2" t="s">
        <v>12</v>
      </c>
      <c r="F7" s="5" t="s">
        <v>13</v>
      </c>
      <c r="G7" s="2" t="s">
        <v>14</v>
      </c>
      <c r="H7" s="5" t="s">
        <v>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7.6" customHeight="1">
      <c r="A8" s="2" t="s">
        <v>16</v>
      </c>
      <c r="B8" s="5" t="s">
        <v>17</v>
      </c>
      <c r="C8" s="2" t="s">
        <v>18</v>
      </c>
      <c r="D8" s="5" t="s">
        <v>19</v>
      </c>
      <c r="E8" s="2" t="s">
        <v>20</v>
      </c>
      <c r="F8" s="5" t="s">
        <v>21</v>
      </c>
      <c r="G8" s="2" t="s">
        <v>22</v>
      </c>
      <c r="H8" s="5" t="s">
        <v>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55" customHeight="1">
      <c r="A10" s="19" t="s">
        <v>24</v>
      </c>
      <c r="B10" s="19"/>
      <c r="C10" s="19"/>
      <c r="D10" s="19"/>
      <c r="E10" s="19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6" customHeight="1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35" customHeight="1">
      <c r="A12" s="13">
        <f>COUNTA('Task Register'!A5:A200)</f>
        <v>26</v>
      </c>
      <c r="B12" s="13">
        <f>COUNTIF('Task Register'!H5:H200,"Completed")</f>
        <v>0</v>
      </c>
      <c r="C12" s="13">
        <f>COUNTIF('Task Register'!H5:H200,"In Progress")</f>
        <v>1</v>
      </c>
      <c r="D12" s="13">
        <f>COUNTIF('Task Register'!H5:H200,"Not Started")</f>
        <v>25</v>
      </c>
      <c r="E12" s="13">
        <f>COUNTIF('Task Register'!H5:H200,"At Risk")</f>
        <v>0</v>
      </c>
      <c r="F12" s="13">
        <f>COUNTIF('Task Register'!I5:I200,"High")</f>
        <v>20</v>
      </c>
      <c r="G12" s="13">
        <f>SUMPRODUCT(--ISNUMBER(SEARCH("Milestone",'Task Register'!C5:C200)))</f>
        <v>5</v>
      </c>
      <c r="H12" s="14">
        <f>IFERROR(AVERAGE('Task Register'!L5:L200),0)</f>
        <v>1.7307692307692309E-2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2" customHeight="1">
      <c r="A14" s="20" t="s">
        <v>33</v>
      </c>
      <c r="B14" s="20"/>
      <c r="C14" s="20"/>
      <c r="D14" s="20"/>
      <c r="E14" s="20" t="s">
        <v>34</v>
      </c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3.2" customHeight="1">
      <c r="A15" s="15" t="s">
        <v>35</v>
      </c>
      <c r="B15" s="18" t="s">
        <v>36</v>
      </c>
      <c r="C15" s="18"/>
      <c r="D15" s="18"/>
      <c r="E15" s="15" t="s">
        <v>37</v>
      </c>
      <c r="F15" s="18" t="s">
        <v>38</v>
      </c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2" customHeight="1">
      <c r="A16" s="15" t="s">
        <v>39</v>
      </c>
      <c r="B16" s="18" t="s">
        <v>40</v>
      </c>
      <c r="C16" s="18"/>
      <c r="D16" s="18"/>
      <c r="E16" s="15" t="s">
        <v>41</v>
      </c>
      <c r="F16" s="18" t="s">
        <v>42</v>
      </c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3.2" customHeight="1">
      <c r="A17" s="15" t="s">
        <v>43</v>
      </c>
      <c r="B17" s="18" t="s">
        <v>44</v>
      </c>
      <c r="C17" s="18"/>
      <c r="D17" s="18"/>
      <c r="E17" s="15" t="s">
        <v>45</v>
      </c>
      <c r="F17" s="18" t="s">
        <v>46</v>
      </c>
      <c r="G17" s="18"/>
      <c r="H17" s="1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3.2" customHeight="1">
      <c r="A18" s="15" t="s">
        <v>47</v>
      </c>
      <c r="B18" s="18" t="s">
        <v>48</v>
      </c>
      <c r="C18" s="18"/>
      <c r="D18" s="18"/>
      <c r="E18" s="15" t="s">
        <v>49</v>
      </c>
      <c r="F18" s="18" t="s">
        <v>50</v>
      </c>
      <c r="G18" s="18"/>
      <c r="H18" s="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3.2" customHeight="1">
      <c r="A19" s="15" t="s">
        <v>51</v>
      </c>
      <c r="B19" s="18" t="s">
        <v>52</v>
      </c>
      <c r="C19" s="18"/>
      <c r="D19" s="18"/>
      <c r="E19" s="15" t="s">
        <v>53</v>
      </c>
      <c r="F19" s="18" t="s">
        <v>54</v>
      </c>
      <c r="G19" s="18"/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6">
    <mergeCell ref="F15:H15"/>
    <mergeCell ref="F16:H16"/>
    <mergeCell ref="F17:H17"/>
    <mergeCell ref="F18:H18"/>
    <mergeCell ref="F19:H19"/>
    <mergeCell ref="B15:D15"/>
    <mergeCell ref="B16:D16"/>
    <mergeCell ref="B17:D17"/>
    <mergeCell ref="B18:D18"/>
    <mergeCell ref="B19:D19"/>
    <mergeCell ref="A1:H2"/>
    <mergeCell ref="A3:H3"/>
    <mergeCell ref="A5:H5"/>
    <mergeCell ref="A10:H10"/>
    <mergeCell ref="A14:D14"/>
    <mergeCell ref="E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R12" sqref="R12"/>
    </sheetView>
  </sheetViews>
  <sheetFormatPr defaultRowHeight="13.8"/>
  <cols>
    <col min="1" max="1" width="6" customWidth="1"/>
    <col min="2" max="2" width="22" customWidth="1"/>
    <col min="3" max="3" width="42" customWidth="1"/>
    <col min="4" max="4" width="20" customWidth="1"/>
    <col min="5" max="6" width="12" customWidth="1"/>
    <col min="7" max="7" width="9" customWidth="1"/>
    <col min="8" max="9" width="12" customWidth="1"/>
    <col min="10" max="17" width="11" customWidth="1"/>
    <col min="18" max="18" width="14" customWidth="1"/>
    <col min="19" max="19" width="42" customWidth="1"/>
    <col min="20" max="20" width="11" customWidth="1"/>
    <col min="21" max="21" width="24" customWidth="1"/>
  </cols>
  <sheetData>
    <row r="1" spans="1:26">
      <c r="A1" s="16" t="s">
        <v>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"/>
      <c r="W2" s="1"/>
      <c r="X2" s="1"/>
      <c r="Y2" s="1"/>
      <c r="Z2" s="1"/>
    </row>
    <row r="3" spans="1:26">
      <c r="A3" s="21" t="s">
        <v>56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 t="s">
        <v>57</v>
      </c>
      <c r="B5" s="23" t="s">
        <v>58</v>
      </c>
      <c r="C5" s="23"/>
      <c r="D5" s="24" t="s">
        <v>59</v>
      </c>
      <c r="E5" s="24"/>
      <c r="F5" s="25" t="s">
        <v>29</v>
      </c>
      <c r="G5" s="25"/>
      <c r="H5" s="26" t="s">
        <v>26</v>
      </c>
      <c r="I5" s="2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7" t="s">
        <v>60</v>
      </c>
      <c r="B7" s="7" t="s">
        <v>61</v>
      </c>
      <c r="C7" s="7" t="s">
        <v>62</v>
      </c>
      <c r="D7" s="7" t="s">
        <v>63</v>
      </c>
      <c r="E7" s="7" t="s">
        <v>64</v>
      </c>
      <c r="F7" s="7" t="s">
        <v>65</v>
      </c>
      <c r="G7" s="7" t="s">
        <v>6</v>
      </c>
      <c r="H7" s="7" t="s">
        <v>14</v>
      </c>
      <c r="I7" s="7" t="s">
        <v>66</v>
      </c>
      <c r="J7" s="7" t="s">
        <v>67</v>
      </c>
      <c r="K7" s="7" t="s">
        <v>68</v>
      </c>
      <c r="L7" s="7" t="s">
        <v>69</v>
      </c>
      <c r="M7" s="7" t="s">
        <v>70</v>
      </c>
      <c r="N7" s="7" t="s">
        <v>71</v>
      </c>
      <c r="O7" s="7" t="s">
        <v>72</v>
      </c>
      <c r="P7" s="7" t="s">
        <v>73</v>
      </c>
      <c r="Q7" s="7" t="s">
        <v>74</v>
      </c>
      <c r="R7" s="7" t="s">
        <v>75</v>
      </c>
      <c r="S7" s="7" t="s">
        <v>76</v>
      </c>
      <c r="T7" s="7" t="s">
        <v>77</v>
      </c>
      <c r="U7" s="7" t="s">
        <v>78</v>
      </c>
      <c r="V7" s="1"/>
      <c r="W7" s="1"/>
      <c r="X7" s="1"/>
      <c r="Y7" s="1"/>
      <c r="Z7" s="1"/>
    </row>
    <row r="8" spans="1:26">
      <c r="A8" s="5"/>
      <c r="B8" s="5"/>
      <c r="C8" s="5"/>
      <c r="D8" s="5"/>
      <c r="E8" s="5"/>
      <c r="F8" s="5"/>
      <c r="G8" s="5"/>
      <c r="H8" s="5"/>
      <c r="I8" s="5"/>
      <c r="J8" s="8">
        <v>46188</v>
      </c>
      <c r="K8" s="8">
        <v>46195</v>
      </c>
      <c r="L8" s="8">
        <v>46202</v>
      </c>
      <c r="M8" s="8">
        <v>46209</v>
      </c>
      <c r="N8" s="8">
        <v>46216</v>
      </c>
      <c r="O8" s="8">
        <v>46223</v>
      </c>
      <c r="P8" s="8">
        <v>46230</v>
      </c>
      <c r="Q8" s="8">
        <v>46237</v>
      </c>
      <c r="R8" s="5"/>
      <c r="S8" s="5"/>
      <c r="T8" s="5"/>
      <c r="U8" s="5"/>
      <c r="V8" s="1"/>
      <c r="W8" s="1"/>
      <c r="X8" s="1"/>
      <c r="Y8" s="1"/>
      <c r="Z8" s="1"/>
    </row>
    <row r="9" spans="1:26">
      <c r="A9" s="5">
        <v>1</v>
      </c>
      <c r="B9" s="5" t="s">
        <v>79</v>
      </c>
      <c r="C9" s="5" t="s">
        <v>80</v>
      </c>
      <c r="D9" s="5" t="s">
        <v>11</v>
      </c>
      <c r="E9" s="9">
        <v>46188</v>
      </c>
      <c r="F9" s="9">
        <v>46189</v>
      </c>
      <c r="G9" s="10">
        <v>2</v>
      </c>
      <c r="H9" s="5" t="s">
        <v>27</v>
      </c>
      <c r="I9" s="5" t="s">
        <v>81</v>
      </c>
      <c r="J9" s="11">
        <f t="shared" ref="J9:Q18" si="0">IF(AND(J$8&lt;=$F9,J$8+6&gt;=$E9),1,"")</f>
        <v>1</v>
      </c>
      <c r="K9" s="11" t="str">
        <f t="shared" si="0"/>
        <v/>
      </c>
      <c r="L9" s="11" t="str">
        <f t="shared" si="0"/>
        <v/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P9" s="11" t="str">
        <f t="shared" si="0"/>
        <v/>
      </c>
      <c r="Q9" s="11" t="str">
        <f t="shared" si="0"/>
        <v/>
      </c>
      <c r="R9" s="5"/>
      <c r="S9" s="5" t="s">
        <v>82</v>
      </c>
      <c r="T9" s="12">
        <f t="shared" ref="T9:T34" si="1">IF(H9="Completed",1,IF(H9="In Progress",0.45,IF(H9="At Risk",0.25,0)))</f>
        <v>0.45</v>
      </c>
      <c r="U9" s="5"/>
      <c r="V9" s="1"/>
      <c r="W9" s="1"/>
      <c r="X9" s="1"/>
      <c r="Y9" s="1"/>
      <c r="Z9" s="1"/>
    </row>
    <row r="10" spans="1:26">
      <c r="A10" s="5">
        <v>2</v>
      </c>
      <c r="B10" s="5" t="s">
        <v>79</v>
      </c>
      <c r="C10" s="5" t="s">
        <v>83</v>
      </c>
      <c r="D10" s="5" t="s">
        <v>13</v>
      </c>
      <c r="E10" s="9">
        <v>46189</v>
      </c>
      <c r="F10" s="9">
        <v>46190</v>
      </c>
      <c r="G10" s="10">
        <v>2</v>
      </c>
      <c r="H10" s="5" t="s">
        <v>28</v>
      </c>
      <c r="I10" s="5" t="s">
        <v>81</v>
      </c>
      <c r="J10" s="11">
        <f t="shared" si="0"/>
        <v>1</v>
      </c>
      <c r="K10" s="11" t="str">
        <f t="shared" si="0"/>
        <v/>
      </c>
      <c r="L10" s="11" t="str">
        <f t="shared" si="0"/>
        <v/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  <c r="P10" s="11" t="str">
        <f t="shared" si="0"/>
        <v/>
      </c>
      <c r="Q10" s="11" t="str">
        <f t="shared" si="0"/>
        <v/>
      </c>
      <c r="R10" s="5" t="s">
        <v>35</v>
      </c>
      <c r="S10" s="5" t="s">
        <v>84</v>
      </c>
      <c r="T10" s="12">
        <f t="shared" si="1"/>
        <v>0</v>
      </c>
      <c r="U10" s="5"/>
      <c r="V10" s="1"/>
      <c r="W10" s="1"/>
      <c r="X10" s="1"/>
      <c r="Y10" s="1"/>
      <c r="Z10" s="1"/>
    </row>
    <row r="11" spans="1:26">
      <c r="A11" s="5">
        <v>3</v>
      </c>
      <c r="B11" s="5" t="s">
        <v>79</v>
      </c>
      <c r="C11" s="5" t="s">
        <v>85</v>
      </c>
      <c r="D11" s="5" t="s">
        <v>86</v>
      </c>
      <c r="E11" s="9">
        <v>46190</v>
      </c>
      <c r="F11" s="9">
        <v>46191</v>
      </c>
      <c r="G11" s="10">
        <v>2</v>
      </c>
      <c r="H11" s="5" t="s">
        <v>28</v>
      </c>
      <c r="I11" s="5" t="s">
        <v>87</v>
      </c>
      <c r="J11" s="11">
        <f t="shared" si="0"/>
        <v>1</v>
      </c>
      <c r="K11" s="11" t="str">
        <f t="shared" si="0"/>
        <v/>
      </c>
      <c r="L11" s="11" t="str">
        <f t="shared" si="0"/>
        <v/>
      </c>
      <c r="M11" s="11" t="str">
        <f t="shared" si="0"/>
        <v/>
      </c>
      <c r="N11" s="11" t="str">
        <f t="shared" si="0"/>
        <v/>
      </c>
      <c r="O11" s="11" t="str">
        <f t="shared" si="0"/>
        <v/>
      </c>
      <c r="P11" s="11" t="str">
        <f t="shared" si="0"/>
        <v/>
      </c>
      <c r="Q11" s="11" t="str">
        <f t="shared" si="0"/>
        <v/>
      </c>
      <c r="R11" s="5" t="s">
        <v>35</v>
      </c>
      <c r="S11" s="5" t="s">
        <v>88</v>
      </c>
      <c r="T11" s="12">
        <f t="shared" si="1"/>
        <v>0</v>
      </c>
      <c r="U11" s="5"/>
      <c r="V11" s="1"/>
      <c r="W11" s="1"/>
      <c r="X11" s="1"/>
      <c r="Y11" s="1"/>
      <c r="Z11" s="1"/>
    </row>
    <row r="12" spans="1:26">
      <c r="A12" s="5">
        <v>4</v>
      </c>
      <c r="B12" s="5" t="s">
        <v>79</v>
      </c>
      <c r="C12" s="5" t="s">
        <v>89</v>
      </c>
      <c r="D12" s="5" t="s">
        <v>11</v>
      </c>
      <c r="E12" s="9">
        <v>46192</v>
      </c>
      <c r="F12" s="9">
        <v>46192</v>
      </c>
      <c r="G12" s="10">
        <v>1</v>
      </c>
      <c r="H12" s="5" t="s">
        <v>28</v>
      </c>
      <c r="I12" s="5" t="s">
        <v>81</v>
      </c>
      <c r="J12" s="11">
        <f t="shared" si="0"/>
        <v>1</v>
      </c>
      <c r="K12" s="11" t="str">
        <f t="shared" si="0"/>
        <v/>
      </c>
      <c r="L12" s="11" t="str">
        <f t="shared" si="0"/>
        <v/>
      </c>
      <c r="M12" s="11" t="str">
        <f t="shared" si="0"/>
        <v/>
      </c>
      <c r="N12" s="11" t="str">
        <f t="shared" si="0"/>
        <v/>
      </c>
      <c r="O12" s="11" t="str">
        <f t="shared" si="0"/>
        <v/>
      </c>
      <c r="P12" s="11" t="str">
        <f t="shared" si="0"/>
        <v/>
      </c>
      <c r="Q12" s="11" t="str">
        <f t="shared" si="0"/>
        <v/>
      </c>
      <c r="R12" s="5" t="s">
        <v>90</v>
      </c>
      <c r="S12" s="5" t="s">
        <v>91</v>
      </c>
      <c r="T12" s="12">
        <f t="shared" si="1"/>
        <v>0</v>
      </c>
      <c r="U12" s="5"/>
      <c r="V12" s="1"/>
      <c r="W12" s="1"/>
      <c r="X12" s="1"/>
      <c r="Y12" s="1"/>
      <c r="Z12" s="1"/>
    </row>
    <row r="13" spans="1:26">
      <c r="A13" s="5">
        <v>5</v>
      </c>
      <c r="B13" s="5" t="s">
        <v>92</v>
      </c>
      <c r="C13" s="5" t="s">
        <v>93</v>
      </c>
      <c r="D13" s="5" t="s">
        <v>13</v>
      </c>
      <c r="E13" s="9">
        <v>46195</v>
      </c>
      <c r="F13" s="9">
        <v>46197</v>
      </c>
      <c r="G13" s="10">
        <v>3</v>
      </c>
      <c r="H13" s="5" t="s">
        <v>28</v>
      </c>
      <c r="I13" s="5" t="s">
        <v>81</v>
      </c>
      <c r="J13" s="11" t="str">
        <f t="shared" si="0"/>
        <v/>
      </c>
      <c r="K13" s="11">
        <f t="shared" si="0"/>
        <v>1</v>
      </c>
      <c r="L13" s="11" t="str">
        <f t="shared" si="0"/>
        <v/>
      </c>
      <c r="M13" s="11" t="str">
        <f t="shared" si="0"/>
        <v/>
      </c>
      <c r="N13" s="11" t="str">
        <f t="shared" si="0"/>
        <v/>
      </c>
      <c r="O13" s="11" t="str">
        <f t="shared" si="0"/>
        <v/>
      </c>
      <c r="P13" s="11" t="str">
        <f t="shared" si="0"/>
        <v/>
      </c>
      <c r="Q13" s="11" t="str">
        <f t="shared" si="0"/>
        <v/>
      </c>
      <c r="R13" s="5" t="s">
        <v>47</v>
      </c>
      <c r="S13" s="5" t="s">
        <v>94</v>
      </c>
      <c r="T13" s="12">
        <f t="shared" si="1"/>
        <v>0</v>
      </c>
      <c r="U13" s="5"/>
      <c r="V13" s="1"/>
      <c r="W13" s="1"/>
      <c r="X13" s="1"/>
      <c r="Y13" s="1"/>
      <c r="Z13" s="1"/>
    </row>
    <row r="14" spans="1:26" ht="27.6">
      <c r="A14" s="5">
        <v>6</v>
      </c>
      <c r="B14" s="5" t="s">
        <v>92</v>
      </c>
      <c r="C14" s="5" t="s">
        <v>95</v>
      </c>
      <c r="D14" s="5" t="s">
        <v>86</v>
      </c>
      <c r="E14" s="9">
        <v>46195</v>
      </c>
      <c r="F14" s="9">
        <v>46198</v>
      </c>
      <c r="G14" s="10">
        <v>4</v>
      </c>
      <c r="H14" s="5" t="s">
        <v>28</v>
      </c>
      <c r="I14" s="5" t="s">
        <v>87</v>
      </c>
      <c r="J14" s="11" t="str">
        <f t="shared" si="0"/>
        <v/>
      </c>
      <c r="K14" s="11">
        <f t="shared" si="0"/>
        <v>1</v>
      </c>
      <c r="L14" s="11" t="str">
        <f t="shared" si="0"/>
        <v/>
      </c>
      <c r="M14" s="11" t="str">
        <f t="shared" si="0"/>
        <v/>
      </c>
      <c r="N14" s="11" t="str">
        <f t="shared" si="0"/>
        <v/>
      </c>
      <c r="O14" s="11" t="str">
        <f t="shared" si="0"/>
        <v/>
      </c>
      <c r="P14" s="11" t="str">
        <f t="shared" si="0"/>
        <v/>
      </c>
      <c r="Q14" s="11" t="str">
        <f t="shared" si="0"/>
        <v/>
      </c>
      <c r="R14" s="5" t="s">
        <v>47</v>
      </c>
      <c r="S14" s="5" t="s">
        <v>96</v>
      </c>
      <c r="T14" s="12">
        <f t="shared" si="1"/>
        <v>0</v>
      </c>
      <c r="U14" s="5"/>
      <c r="V14" s="1"/>
      <c r="W14" s="1"/>
      <c r="X14" s="1"/>
      <c r="Y14" s="1"/>
      <c r="Z14" s="1"/>
    </row>
    <row r="15" spans="1:26" ht="27.6">
      <c r="A15" s="5">
        <v>7</v>
      </c>
      <c r="B15" s="5" t="s">
        <v>92</v>
      </c>
      <c r="C15" s="5" t="s">
        <v>97</v>
      </c>
      <c r="D15" s="5" t="s">
        <v>98</v>
      </c>
      <c r="E15" s="9">
        <v>46197</v>
      </c>
      <c r="F15" s="9">
        <v>46199</v>
      </c>
      <c r="G15" s="10">
        <v>3</v>
      </c>
      <c r="H15" s="5" t="s">
        <v>28</v>
      </c>
      <c r="I15" s="5" t="s">
        <v>81</v>
      </c>
      <c r="J15" s="11" t="str">
        <f t="shared" si="0"/>
        <v/>
      </c>
      <c r="K15" s="11">
        <f t="shared" si="0"/>
        <v>1</v>
      </c>
      <c r="L15" s="11" t="str">
        <f t="shared" si="0"/>
        <v/>
      </c>
      <c r="M15" s="11" t="str">
        <f t="shared" si="0"/>
        <v/>
      </c>
      <c r="N15" s="11" t="str">
        <f t="shared" si="0"/>
        <v/>
      </c>
      <c r="O15" s="11" t="str">
        <f t="shared" si="0"/>
        <v/>
      </c>
      <c r="P15" s="11" t="str">
        <f t="shared" si="0"/>
        <v/>
      </c>
      <c r="Q15" s="11" t="str">
        <f t="shared" si="0"/>
        <v/>
      </c>
      <c r="R15" s="5" t="s">
        <v>51</v>
      </c>
      <c r="S15" s="5" t="s">
        <v>99</v>
      </c>
      <c r="T15" s="12">
        <f t="shared" si="1"/>
        <v>0</v>
      </c>
      <c r="U15" s="5"/>
      <c r="V15" s="1"/>
      <c r="W15" s="1"/>
      <c r="X15" s="1"/>
      <c r="Y15" s="1"/>
      <c r="Z15" s="1"/>
    </row>
    <row r="16" spans="1:26">
      <c r="A16" s="5">
        <v>8</v>
      </c>
      <c r="B16" s="5" t="s">
        <v>92</v>
      </c>
      <c r="C16" s="5" t="s">
        <v>100</v>
      </c>
      <c r="D16" s="5" t="s">
        <v>13</v>
      </c>
      <c r="E16" s="9">
        <v>46199</v>
      </c>
      <c r="F16" s="9">
        <v>46202</v>
      </c>
      <c r="G16" s="10">
        <v>4</v>
      </c>
      <c r="H16" s="5" t="s">
        <v>28</v>
      </c>
      <c r="I16" s="5" t="s">
        <v>81</v>
      </c>
      <c r="J16" s="11" t="str">
        <f t="shared" si="0"/>
        <v/>
      </c>
      <c r="K16" s="11">
        <f t="shared" si="0"/>
        <v>1</v>
      </c>
      <c r="L16" s="11">
        <f t="shared" si="0"/>
        <v>1</v>
      </c>
      <c r="M16" s="11" t="str">
        <f t="shared" si="0"/>
        <v/>
      </c>
      <c r="N16" s="11" t="str">
        <f t="shared" si="0"/>
        <v/>
      </c>
      <c r="O16" s="11" t="str">
        <f t="shared" si="0"/>
        <v/>
      </c>
      <c r="P16" s="11" t="str">
        <f t="shared" si="0"/>
        <v/>
      </c>
      <c r="Q16" s="11" t="str">
        <f t="shared" si="0"/>
        <v/>
      </c>
      <c r="R16" s="5" t="s">
        <v>101</v>
      </c>
      <c r="S16" s="5" t="s">
        <v>102</v>
      </c>
      <c r="T16" s="12">
        <f t="shared" si="1"/>
        <v>0</v>
      </c>
      <c r="U16" s="5"/>
      <c r="V16" s="1"/>
      <c r="W16" s="1"/>
      <c r="X16" s="1"/>
      <c r="Y16" s="1"/>
      <c r="Z16" s="1"/>
    </row>
    <row r="17" spans="1:26">
      <c r="A17" s="5">
        <v>9</v>
      </c>
      <c r="B17" s="5" t="s">
        <v>92</v>
      </c>
      <c r="C17" s="5" t="s">
        <v>103</v>
      </c>
      <c r="D17" s="5" t="s">
        <v>11</v>
      </c>
      <c r="E17" s="9">
        <v>46203</v>
      </c>
      <c r="F17" s="9">
        <v>46203</v>
      </c>
      <c r="G17" s="10">
        <v>1</v>
      </c>
      <c r="H17" s="5" t="s">
        <v>28</v>
      </c>
      <c r="I17" s="5" t="s">
        <v>81</v>
      </c>
      <c r="J17" s="11" t="str">
        <f t="shared" si="0"/>
        <v/>
      </c>
      <c r="K17" s="11" t="str">
        <f t="shared" si="0"/>
        <v/>
      </c>
      <c r="L17" s="11">
        <f t="shared" si="0"/>
        <v>1</v>
      </c>
      <c r="M17" s="11" t="str">
        <f t="shared" si="0"/>
        <v/>
      </c>
      <c r="N17" s="11" t="str">
        <f t="shared" si="0"/>
        <v/>
      </c>
      <c r="O17" s="11" t="str">
        <f t="shared" si="0"/>
        <v/>
      </c>
      <c r="P17" s="11" t="str">
        <f t="shared" si="0"/>
        <v/>
      </c>
      <c r="Q17" s="11" t="str">
        <f t="shared" si="0"/>
        <v/>
      </c>
      <c r="R17" s="5" t="s">
        <v>104</v>
      </c>
      <c r="S17" s="5" t="s">
        <v>105</v>
      </c>
      <c r="T17" s="12">
        <f t="shared" si="1"/>
        <v>0</v>
      </c>
      <c r="U17" s="5"/>
      <c r="V17" s="1"/>
      <c r="W17" s="1"/>
      <c r="X17" s="1"/>
      <c r="Y17" s="1"/>
      <c r="Z17" s="1"/>
    </row>
    <row r="18" spans="1:26" ht="27.6">
      <c r="A18" s="5">
        <v>10</v>
      </c>
      <c r="B18" s="5" t="s">
        <v>106</v>
      </c>
      <c r="C18" s="5" t="s">
        <v>107</v>
      </c>
      <c r="D18" s="5" t="s">
        <v>98</v>
      </c>
      <c r="E18" s="9">
        <v>46204</v>
      </c>
      <c r="F18" s="9">
        <v>46205</v>
      </c>
      <c r="G18" s="10">
        <v>2</v>
      </c>
      <c r="H18" s="5" t="s">
        <v>28</v>
      </c>
      <c r="I18" s="5" t="s">
        <v>81</v>
      </c>
      <c r="J18" s="11" t="str">
        <f t="shared" si="0"/>
        <v/>
      </c>
      <c r="K18" s="11" t="str">
        <f t="shared" si="0"/>
        <v/>
      </c>
      <c r="L18" s="11">
        <f t="shared" si="0"/>
        <v>1</v>
      </c>
      <c r="M18" s="11" t="str">
        <f t="shared" si="0"/>
        <v/>
      </c>
      <c r="N18" s="11" t="str">
        <f t="shared" si="0"/>
        <v/>
      </c>
      <c r="O18" s="11" t="str">
        <f t="shared" si="0"/>
        <v/>
      </c>
      <c r="P18" s="11" t="str">
        <f t="shared" si="0"/>
        <v/>
      </c>
      <c r="Q18" s="11" t="str">
        <f t="shared" si="0"/>
        <v/>
      </c>
      <c r="R18" s="5" t="s">
        <v>108</v>
      </c>
      <c r="S18" s="5" t="s">
        <v>109</v>
      </c>
      <c r="T18" s="12">
        <f t="shared" si="1"/>
        <v>0</v>
      </c>
      <c r="U18" s="5"/>
      <c r="V18" s="1"/>
      <c r="W18" s="1"/>
      <c r="X18" s="1"/>
      <c r="Y18" s="1"/>
      <c r="Z18" s="1"/>
    </row>
    <row r="19" spans="1:26" ht="27.6">
      <c r="A19" s="5">
        <v>11</v>
      </c>
      <c r="B19" s="5" t="s">
        <v>106</v>
      </c>
      <c r="C19" s="5" t="s">
        <v>110</v>
      </c>
      <c r="D19" s="5" t="s">
        <v>98</v>
      </c>
      <c r="E19" s="9">
        <v>46205</v>
      </c>
      <c r="F19" s="9">
        <v>46209</v>
      </c>
      <c r="G19" s="10">
        <v>5</v>
      </c>
      <c r="H19" s="5" t="s">
        <v>28</v>
      </c>
      <c r="I19" s="5" t="s">
        <v>81</v>
      </c>
      <c r="J19" s="11" t="str">
        <f t="shared" ref="J19:Q28" si="2">IF(AND(J$8&lt;=$F19,J$8+6&gt;=$E19),1,"")</f>
        <v/>
      </c>
      <c r="K19" s="11" t="str">
        <f t="shared" si="2"/>
        <v/>
      </c>
      <c r="L19" s="11">
        <f t="shared" si="2"/>
        <v>1</v>
      </c>
      <c r="M19" s="11">
        <f t="shared" si="2"/>
        <v>1</v>
      </c>
      <c r="N19" s="11" t="str">
        <f t="shared" si="2"/>
        <v/>
      </c>
      <c r="O19" s="11" t="str">
        <f t="shared" si="2"/>
        <v/>
      </c>
      <c r="P19" s="11" t="str">
        <f t="shared" si="2"/>
        <v/>
      </c>
      <c r="Q19" s="11" t="str">
        <f t="shared" si="2"/>
        <v/>
      </c>
      <c r="R19" s="5" t="s">
        <v>111</v>
      </c>
      <c r="S19" s="5" t="s">
        <v>112</v>
      </c>
      <c r="T19" s="12">
        <f t="shared" si="1"/>
        <v>0</v>
      </c>
      <c r="U19" s="5"/>
      <c r="V19" s="1"/>
      <c r="W19" s="1"/>
      <c r="X19" s="1"/>
      <c r="Y19" s="1"/>
      <c r="Z19" s="1"/>
    </row>
    <row r="20" spans="1:26">
      <c r="A20" s="5">
        <v>12</v>
      </c>
      <c r="B20" s="5" t="s">
        <v>106</v>
      </c>
      <c r="C20" s="5" t="s">
        <v>113</v>
      </c>
      <c r="D20" s="5" t="s">
        <v>13</v>
      </c>
      <c r="E20" s="9">
        <v>46209</v>
      </c>
      <c r="F20" s="9">
        <v>46211</v>
      </c>
      <c r="G20" s="10">
        <v>3</v>
      </c>
      <c r="H20" s="5" t="s">
        <v>28</v>
      </c>
      <c r="I20" s="5" t="s">
        <v>81</v>
      </c>
      <c r="J20" s="11" t="str">
        <f t="shared" si="2"/>
        <v/>
      </c>
      <c r="K20" s="11" t="str">
        <f t="shared" si="2"/>
        <v/>
      </c>
      <c r="L20" s="11" t="str">
        <f t="shared" si="2"/>
        <v/>
      </c>
      <c r="M20" s="11">
        <f t="shared" si="2"/>
        <v>1</v>
      </c>
      <c r="N20" s="11" t="str">
        <f t="shared" si="2"/>
        <v/>
      </c>
      <c r="O20" s="11" t="str">
        <f t="shared" si="2"/>
        <v/>
      </c>
      <c r="P20" s="11" t="str">
        <f t="shared" si="2"/>
        <v/>
      </c>
      <c r="Q20" s="11" t="str">
        <f t="shared" si="2"/>
        <v/>
      </c>
      <c r="R20" s="5" t="s">
        <v>114</v>
      </c>
      <c r="S20" s="5" t="s">
        <v>115</v>
      </c>
      <c r="T20" s="12">
        <f t="shared" si="1"/>
        <v>0</v>
      </c>
      <c r="U20" s="5"/>
      <c r="V20" s="1"/>
      <c r="W20" s="1"/>
      <c r="X20" s="1"/>
      <c r="Y20" s="1"/>
      <c r="Z20" s="1"/>
    </row>
    <row r="21" spans="1:26">
      <c r="A21" s="5">
        <v>13</v>
      </c>
      <c r="B21" s="5" t="s">
        <v>106</v>
      </c>
      <c r="C21" s="5" t="s">
        <v>116</v>
      </c>
      <c r="D21" s="5" t="s">
        <v>86</v>
      </c>
      <c r="E21" s="9">
        <v>46211</v>
      </c>
      <c r="F21" s="9">
        <v>46213</v>
      </c>
      <c r="G21" s="10">
        <v>3</v>
      </c>
      <c r="H21" s="5" t="s">
        <v>28</v>
      </c>
      <c r="I21" s="5" t="s">
        <v>87</v>
      </c>
      <c r="J21" s="11" t="str">
        <f t="shared" si="2"/>
        <v/>
      </c>
      <c r="K21" s="11" t="str">
        <f t="shared" si="2"/>
        <v/>
      </c>
      <c r="L21" s="11" t="str">
        <f t="shared" si="2"/>
        <v/>
      </c>
      <c r="M21" s="11">
        <f t="shared" si="2"/>
        <v>1</v>
      </c>
      <c r="N21" s="11" t="str">
        <f t="shared" si="2"/>
        <v/>
      </c>
      <c r="O21" s="11" t="str">
        <f t="shared" si="2"/>
        <v/>
      </c>
      <c r="P21" s="11" t="str">
        <f t="shared" si="2"/>
        <v/>
      </c>
      <c r="Q21" s="11" t="str">
        <f t="shared" si="2"/>
        <v/>
      </c>
      <c r="R21" s="5" t="s">
        <v>117</v>
      </c>
      <c r="S21" s="5" t="s">
        <v>118</v>
      </c>
      <c r="T21" s="12">
        <f t="shared" si="1"/>
        <v>0</v>
      </c>
      <c r="U21" s="5"/>
      <c r="V21" s="1"/>
      <c r="W21" s="1"/>
      <c r="X21" s="1"/>
      <c r="Y21" s="1"/>
      <c r="Z21" s="1"/>
    </row>
    <row r="22" spans="1:26">
      <c r="A22" s="5">
        <v>14</v>
      </c>
      <c r="B22" s="5" t="s">
        <v>106</v>
      </c>
      <c r="C22" s="5" t="s">
        <v>119</v>
      </c>
      <c r="D22" s="5" t="s">
        <v>11</v>
      </c>
      <c r="E22" s="9">
        <v>46213</v>
      </c>
      <c r="F22" s="9">
        <v>46213</v>
      </c>
      <c r="G22" s="10">
        <v>1</v>
      </c>
      <c r="H22" s="5" t="s">
        <v>28</v>
      </c>
      <c r="I22" s="5" t="s">
        <v>81</v>
      </c>
      <c r="J22" s="11" t="str">
        <f t="shared" si="2"/>
        <v/>
      </c>
      <c r="K22" s="11" t="str">
        <f t="shared" si="2"/>
        <v/>
      </c>
      <c r="L22" s="11" t="str">
        <f t="shared" si="2"/>
        <v/>
      </c>
      <c r="M22" s="11">
        <f t="shared" si="2"/>
        <v>1</v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5" t="s">
        <v>120</v>
      </c>
      <c r="S22" s="5" t="s">
        <v>121</v>
      </c>
      <c r="T22" s="12">
        <f t="shared" si="1"/>
        <v>0</v>
      </c>
      <c r="U22" s="5"/>
      <c r="V22" s="1"/>
      <c r="W22" s="1"/>
      <c r="X22" s="1"/>
      <c r="Y22" s="1"/>
      <c r="Z22" s="1"/>
    </row>
    <row r="23" spans="1:26" ht="27.6">
      <c r="A23" s="5">
        <v>15</v>
      </c>
      <c r="B23" s="5" t="s">
        <v>122</v>
      </c>
      <c r="C23" s="5" t="s">
        <v>123</v>
      </c>
      <c r="D23" s="5" t="s">
        <v>13</v>
      </c>
      <c r="E23" s="9">
        <v>46216</v>
      </c>
      <c r="F23" s="9">
        <v>46218</v>
      </c>
      <c r="G23" s="10">
        <v>3</v>
      </c>
      <c r="H23" s="5" t="s">
        <v>28</v>
      </c>
      <c r="I23" s="5" t="s">
        <v>81</v>
      </c>
      <c r="J23" s="11" t="str">
        <f t="shared" si="2"/>
        <v/>
      </c>
      <c r="K23" s="11" t="str">
        <f t="shared" si="2"/>
        <v/>
      </c>
      <c r="L23" s="11" t="str">
        <f t="shared" si="2"/>
        <v/>
      </c>
      <c r="M23" s="11" t="str">
        <f t="shared" si="2"/>
        <v/>
      </c>
      <c r="N23" s="11">
        <f t="shared" si="2"/>
        <v>1</v>
      </c>
      <c r="O23" s="11" t="str">
        <f t="shared" si="2"/>
        <v/>
      </c>
      <c r="P23" s="11" t="str">
        <f t="shared" si="2"/>
        <v/>
      </c>
      <c r="Q23" s="11" t="str">
        <f t="shared" si="2"/>
        <v/>
      </c>
      <c r="R23" s="5" t="s">
        <v>124</v>
      </c>
      <c r="S23" s="5" t="s">
        <v>125</v>
      </c>
      <c r="T23" s="12">
        <f t="shared" si="1"/>
        <v>0</v>
      </c>
      <c r="U23" s="5"/>
      <c r="V23" s="1"/>
      <c r="W23" s="1"/>
      <c r="X23" s="1"/>
      <c r="Y23" s="1"/>
      <c r="Z23" s="1"/>
    </row>
    <row r="24" spans="1:26" ht="27.6">
      <c r="A24" s="5">
        <v>16</v>
      </c>
      <c r="B24" s="5" t="s">
        <v>122</v>
      </c>
      <c r="C24" s="5" t="s">
        <v>126</v>
      </c>
      <c r="D24" s="5" t="s">
        <v>11</v>
      </c>
      <c r="E24" s="9">
        <v>46217</v>
      </c>
      <c r="F24" s="9">
        <v>46219</v>
      </c>
      <c r="G24" s="10">
        <v>3</v>
      </c>
      <c r="H24" s="5" t="s">
        <v>28</v>
      </c>
      <c r="I24" s="5" t="s">
        <v>81</v>
      </c>
      <c r="J24" s="11" t="str">
        <f t="shared" si="2"/>
        <v/>
      </c>
      <c r="K24" s="11" t="str">
        <f t="shared" si="2"/>
        <v/>
      </c>
      <c r="L24" s="11" t="str">
        <f t="shared" si="2"/>
        <v/>
      </c>
      <c r="M24" s="11" t="str">
        <f t="shared" si="2"/>
        <v/>
      </c>
      <c r="N24" s="11">
        <f t="shared" si="2"/>
        <v>1</v>
      </c>
      <c r="O24" s="11" t="str">
        <f t="shared" si="2"/>
        <v/>
      </c>
      <c r="P24" s="11" t="str">
        <f t="shared" si="2"/>
        <v/>
      </c>
      <c r="Q24" s="11" t="str">
        <f t="shared" si="2"/>
        <v/>
      </c>
      <c r="R24" s="5" t="s">
        <v>124</v>
      </c>
      <c r="S24" s="5" t="s">
        <v>127</v>
      </c>
      <c r="T24" s="12">
        <f t="shared" si="1"/>
        <v>0</v>
      </c>
      <c r="U24" s="5"/>
      <c r="V24" s="1"/>
      <c r="W24" s="1"/>
      <c r="X24" s="1"/>
      <c r="Y24" s="1"/>
      <c r="Z24" s="1"/>
    </row>
    <row r="25" spans="1:26" ht="27.6">
      <c r="A25" s="5">
        <v>17</v>
      </c>
      <c r="B25" s="5" t="s">
        <v>122</v>
      </c>
      <c r="C25" s="5" t="s">
        <v>128</v>
      </c>
      <c r="D25" s="5" t="s">
        <v>129</v>
      </c>
      <c r="E25" s="9">
        <v>46219</v>
      </c>
      <c r="F25" s="9">
        <v>46220</v>
      </c>
      <c r="G25" s="10">
        <v>2</v>
      </c>
      <c r="H25" s="5" t="s">
        <v>28</v>
      </c>
      <c r="I25" s="5" t="s">
        <v>87</v>
      </c>
      <c r="J25" s="11" t="str">
        <f t="shared" si="2"/>
        <v/>
      </c>
      <c r="K25" s="11" t="str">
        <f t="shared" si="2"/>
        <v/>
      </c>
      <c r="L25" s="11" t="str">
        <f t="shared" si="2"/>
        <v/>
      </c>
      <c r="M25" s="11" t="str">
        <f t="shared" si="2"/>
        <v/>
      </c>
      <c r="N25" s="11">
        <f t="shared" si="2"/>
        <v>1</v>
      </c>
      <c r="O25" s="11" t="str">
        <f t="shared" si="2"/>
        <v/>
      </c>
      <c r="P25" s="11" t="str">
        <f t="shared" si="2"/>
        <v/>
      </c>
      <c r="Q25" s="11" t="str">
        <f t="shared" si="2"/>
        <v/>
      </c>
      <c r="R25" s="5" t="s">
        <v>130</v>
      </c>
      <c r="S25" s="5" t="s">
        <v>131</v>
      </c>
      <c r="T25" s="12">
        <f t="shared" si="1"/>
        <v>0</v>
      </c>
      <c r="U25" s="5"/>
      <c r="V25" s="1"/>
      <c r="W25" s="1"/>
      <c r="X25" s="1"/>
      <c r="Y25" s="1"/>
      <c r="Z25" s="1"/>
    </row>
    <row r="26" spans="1:26" ht="27.6">
      <c r="A26" s="5">
        <v>18</v>
      </c>
      <c r="B26" s="5" t="s">
        <v>122</v>
      </c>
      <c r="C26" s="5" t="s">
        <v>132</v>
      </c>
      <c r="D26" s="5" t="s">
        <v>86</v>
      </c>
      <c r="E26" s="9">
        <v>46220</v>
      </c>
      <c r="F26" s="9">
        <v>46223</v>
      </c>
      <c r="G26" s="10">
        <v>4</v>
      </c>
      <c r="H26" s="5" t="s">
        <v>28</v>
      </c>
      <c r="I26" s="5" t="s">
        <v>87</v>
      </c>
      <c r="J26" s="11" t="str">
        <f t="shared" si="2"/>
        <v/>
      </c>
      <c r="K26" s="11" t="str">
        <f t="shared" si="2"/>
        <v/>
      </c>
      <c r="L26" s="11" t="str">
        <f t="shared" si="2"/>
        <v/>
      </c>
      <c r="M26" s="11" t="str">
        <f t="shared" si="2"/>
        <v/>
      </c>
      <c r="N26" s="11">
        <f t="shared" si="2"/>
        <v>1</v>
      </c>
      <c r="O26" s="11">
        <f t="shared" si="2"/>
        <v>1</v>
      </c>
      <c r="P26" s="11" t="str">
        <f t="shared" si="2"/>
        <v/>
      </c>
      <c r="Q26" s="11" t="str">
        <f t="shared" si="2"/>
        <v/>
      </c>
      <c r="R26" s="5" t="s">
        <v>133</v>
      </c>
      <c r="S26" s="5" t="s">
        <v>134</v>
      </c>
      <c r="T26" s="12">
        <f t="shared" si="1"/>
        <v>0</v>
      </c>
      <c r="U26" s="5"/>
      <c r="V26" s="1"/>
      <c r="W26" s="1"/>
      <c r="X26" s="1"/>
      <c r="Y26" s="1"/>
      <c r="Z26" s="1"/>
    </row>
    <row r="27" spans="1:26" ht="27.6">
      <c r="A27" s="5">
        <v>19</v>
      </c>
      <c r="B27" s="5" t="s">
        <v>122</v>
      </c>
      <c r="C27" s="5" t="s">
        <v>135</v>
      </c>
      <c r="D27" s="5" t="s">
        <v>11</v>
      </c>
      <c r="E27" s="9">
        <v>46224</v>
      </c>
      <c r="F27" s="9">
        <v>46224</v>
      </c>
      <c r="G27" s="10">
        <v>1</v>
      </c>
      <c r="H27" s="5" t="s">
        <v>28</v>
      </c>
      <c r="I27" s="5" t="s">
        <v>81</v>
      </c>
      <c r="J27" s="11" t="str">
        <f t="shared" si="2"/>
        <v/>
      </c>
      <c r="K27" s="11" t="str">
        <f t="shared" si="2"/>
        <v/>
      </c>
      <c r="L27" s="11" t="str">
        <f t="shared" si="2"/>
        <v/>
      </c>
      <c r="M27" s="11" t="str">
        <f t="shared" si="2"/>
        <v/>
      </c>
      <c r="N27" s="11" t="str">
        <f t="shared" si="2"/>
        <v/>
      </c>
      <c r="O27" s="11">
        <f t="shared" si="2"/>
        <v>1</v>
      </c>
      <c r="P27" s="11" t="str">
        <f t="shared" si="2"/>
        <v/>
      </c>
      <c r="Q27" s="11" t="str">
        <f t="shared" si="2"/>
        <v/>
      </c>
      <c r="R27" s="5" t="s">
        <v>136</v>
      </c>
      <c r="S27" s="5" t="s">
        <v>137</v>
      </c>
      <c r="T27" s="12">
        <f t="shared" si="1"/>
        <v>0</v>
      </c>
      <c r="U27" s="5"/>
      <c r="V27" s="1"/>
      <c r="W27" s="1"/>
      <c r="X27" s="1"/>
      <c r="Y27" s="1"/>
      <c r="Z27" s="1"/>
    </row>
    <row r="28" spans="1:26">
      <c r="A28" s="5">
        <v>20</v>
      </c>
      <c r="B28" s="5" t="s">
        <v>138</v>
      </c>
      <c r="C28" s="5" t="s">
        <v>139</v>
      </c>
      <c r="D28" s="5" t="s">
        <v>140</v>
      </c>
      <c r="E28" s="9">
        <v>46225</v>
      </c>
      <c r="F28" s="9">
        <v>46231</v>
      </c>
      <c r="G28" s="10">
        <v>7</v>
      </c>
      <c r="H28" s="5" t="s">
        <v>28</v>
      </c>
      <c r="I28" s="5" t="s">
        <v>81</v>
      </c>
      <c r="J28" s="11" t="str">
        <f t="shared" si="2"/>
        <v/>
      </c>
      <c r="K28" s="11" t="str">
        <f t="shared" si="2"/>
        <v/>
      </c>
      <c r="L28" s="11" t="str">
        <f t="shared" si="2"/>
        <v/>
      </c>
      <c r="M28" s="11" t="str">
        <f t="shared" si="2"/>
        <v/>
      </c>
      <c r="N28" s="11" t="str">
        <f t="shared" si="2"/>
        <v/>
      </c>
      <c r="O28" s="11">
        <f t="shared" si="2"/>
        <v>1</v>
      </c>
      <c r="P28" s="11">
        <f t="shared" si="2"/>
        <v>1</v>
      </c>
      <c r="Q28" s="11" t="str">
        <f t="shared" si="2"/>
        <v/>
      </c>
      <c r="R28" s="5" t="s">
        <v>141</v>
      </c>
      <c r="S28" s="5" t="s">
        <v>142</v>
      </c>
      <c r="T28" s="12">
        <f t="shared" si="1"/>
        <v>0</v>
      </c>
      <c r="U28" s="5"/>
      <c r="V28" s="1"/>
      <c r="W28" s="1"/>
      <c r="X28" s="1"/>
      <c r="Y28" s="1"/>
      <c r="Z28" s="1"/>
    </row>
    <row r="29" spans="1:26" ht="27.6">
      <c r="A29" s="5">
        <v>21</v>
      </c>
      <c r="B29" s="5" t="s">
        <v>138</v>
      </c>
      <c r="C29" s="5" t="s">
        <v>143</v>
      </c>
      <c r="D29" s="5" t="s">
        <v>13</v>
      </c>
      <c r="E29" s="9">
        <v>46225</v>
      </c>
      <c r="F29" s="9">
        <v>46233</v>
      </c>
      <c r="G29" s="10">
        <v>9</v>
      </c>
      <c r="H29" s="5" t="s">
        <v>28</v>
      </c>
      <c r="I29" s="5" t="s">
        <v>81</v>
      </c>
      <c r="J29" s="11" t="str">
        <f t="shared" ref="J29:Q34" si="3">IF(AND(J$8&lt;=$F29,J$8+6&gt;=$E29),1,"")</f>
        <v/>
      </c>
      <c r="K29" s="11" t="str">
        <f t="shared" si="3"/>
        <v/>
      </c>
      <c r="L29" s="11" t="str">
        <f t="shared" si="3"/>
        <v/>
      </c>
      <c r="M29" s="11" t="str">
        <f t="shared" si="3"/>
        <v/>
      </c>
      <c r="N29" s="11" t="str">
        <f t="shared" si="3"/>
        <v/>
      </c>
      <c r="O29" s="11">
        <f t="shared" si="3"/>
        <v>1</v>
      </c>
      <c r="P29" s="11">
        <f t="shared" si="3"/>
        <v>1</v>
      </c>
      <c r="Q29" s="11" t="str">
        <f t="shared" si="3"/>
        <v/>
      </c>
      <c r="R29" s="5" t="s">
        <v>144</v>
      </c>
      <c r="S29" s="5" t="s">
        <v>145</v>
      </c>
      <c r="T29" s="12">
        <f t="shared" si="1"/>
        <v>0</v>
      </c>
      <c r="U29" s="5"/>
      <c r="V29" s="1"/>
      <c r="W29" s="1"/>
      <c r="X29" s="1"/>
      <c r="Y29" s="1"/>
      <c r="Z29" s="1"/>
    </row>
    <row r="30" spans="1:26">
      <c r="A30" s="5">
        <v>22</v>
      </c>
      <c r="B30" s="5" t="s">
        <v>138</v>
      </c>
      <c r="C30" s="5" t="s">
        <v>146</v>
      </c>
      <c r="D30" s="5" t="s">
        <v>86</v>
      </c>
      <c r="E30" s="9">
        <v>46233</v>
      </c>
      <c r="F30" s="9">
        <v>46234</v>
      </c>
      <c r="G30" s="10">
        <v>2</v>
      </c>
      <c r="H30" s="5" t="s">
        <v>28</v>
      </c>
      <c r="I30" s="5" t="s">
        <v>81</v>
      </c>
      <c r="J30" s="11" t="str">
        <f t="shared" si="3"/>
        <v/>
      </c>
      <c r="K30" s="11" t="str">
        <f t="shared" si="3"/>
        <v/>
      </c>
      <c r="L30" s="11" t="str">
        <f t="shared" si="3"/>
        <v/>
      </c>
      <c r="M30" s="11" t="str">
        <f t="shared" si="3"/>
        <v/>
      </c>
      <c r="N30" s="11" t="str">
        <f t="shared" si="3"/>
        <v/>
      </c>
      <c r="O30" s="11" t="str">
        <f t="shared" si="3"/>
        <v/>
      </c>
      <c r="P30" s="11">
        <f t="shared" si="3"/>
        <v>1</v>
      </c>
      <c r="Q30" s="11" t="str">
        <f t="shared" si="3"/>
        <v/>
      </c>
      <c r="R30" s="5" t="s">
        <v>147</v>
      </c>
      <c r="S30" s="5" t="s">
        <v>148</v>
      </c>
      <c r="T30" s="12">
        <f t="shared" si="1"/>
        <v>0</v>
      </c>
      <c r="U30" s="5"/>
      <c r="V30" s="1"/>
      <c r="W30" s="1"/>
      <c r="X30" s="1"/>
      <c r="Y30" s="1"/>
      <c r="Z30" s="1"/>
    </row>
    <row r="31" spans="1:26">
      <c r="A31" s="5">
        <v>23</v>
      </c>
      <c r="B31" s="5" t="s">
        <v>138</v>
      </c>
      <c r="C31" s="5" t="s">
        <v>149</v>
      </c>
      <c r="D31" s="5" t="s">
        <v>11</v>
      </c>
      <c r="E31" s="9">
        <v>46234</v>
      </c>
      <c r="F31" s="9">
        <v>46234</v>
      </c>
      <c r="G31" s="10">
        <v>1</v>
      </c>
      <c r="H31" s="5" t="s">
        <v>28</v>
      </c>
      <c r="I31" s="5" t="s">
        <v>81</v>
      </c>
      <c r="J31" s="11" t="str">
        <f t="shared" si="3"/>
        <v/>
      </c>
      <c r="K31" s="11" t="str">
        <f t="shared" si="3"/>
        <v/>
      </c>
      <c r="L31" s="11" t="str">
        <f t="shared" si="3"/>
        <v/>
      </c>
      <c r="M31" s="11" t="str">
        <f t="shared" si="3"/>
        <v/>
      </c>
      <c r="N31" s="11" t="str">
        <f t="shared" si="3"/>
        <v/>
      </c>
      <c r="O31" s="11" t="str">
        <f t="shared" si="3"/>
        <v/>
      </c>
      <c r="P31" s="11">
        <f t="shared" si="3"/>
        <v>1</v>
      </c>
      <c r="Q31" s="11" t="str">
        <f t="shared" si="3"/>
        <v/>
      </c>
      <c r="R31" s="5" t="s">
        <v>150</v>
      </c>
      <c r="S31" s="5" t="s">
        <v>151</v>
      </c>
      <c r="T31" s="12">
        <f t="shared" si="1"/>
        <v>0</v>
      </c>
      <c r="U31" s="5"/>
      <c r="V31" s="1"/>
      <c r="W31" s="1"/>
      <c r="X31" s="1"/>
      <c r="Y31" s="1"/>
      <c r="Z31" s="1"/>
    </row>
    <row r="32" spans="1:26">
      <c r="A32" s="5">
        <v>24</v>
      </c>
      <c r="B32" s="5" t="s">
        <v>152</v>
      </c>
      <c r="C32" s="5" t="s">
        <v>153</v>
      </c>
      <c r="D32" s="5" t="s">
        <v>86</v>
      </c>
      <c r="E32" s="9">
        <v>46237</v>
      </c>
      <c r="F32" s="9">
        <v>46238</v>
      </c>
      <c r="G32" s="10">
        <v>2</v>
      </c>
      <c r="H32" s="5" t="s">
        <v>28</v>
      </c>
      <c r="I32" s="5" t="s">
        <v>87</v>
      </c>
      <c r="J32" s="11" t="str">
        <f t="shared" si="3"/>
        <v/>
      </c>
      <c r="K32" s="11" t="str">
        <f t="shared" si="3"/>
        <v/>
      </c>
      <c r="L32" s="11" t="str">
        <f t="shared" si="3"/>
        <v/>
      </c>
      <c r="M32" s="11" t="str">
        <f t="shared" si="3"/>
        <v/>
      </c>
      <c r="N32" s="11" t="str">
        <f t="shared" si="3"/>
        <v/>
      </c>
      <c r="O32" s="11" t="str">
        <f t="shared" si="3"/>
        <v/>
      </c>
      <c r="P32" s="11" t="str">
        <f t="shared" si="3"/>
        <v/>
      </c>
      <c r="Q32" s="11">
        <f t="shared" si="3"/>
        <v>1</v>
      </c>
      <c r="R32" s="5" t="s">
        <v>154</v>
      </c>
      <c r="S32" s="5" t="s">
        <v>155</v>
      </c>
      <c r="T32" s="12">
        <f t="shared" si="1"/>
        <v>0</v>
      </c>
      <c r="U32" s="5"/>
      <c r="V32" s="1"/>
      <c r="W32" s="1"/>
      <c r="X32" s="1"/>
      <c r="Y32" s="1"/>
      <c r="Z32" s="1"/>
    </row>
    <row r="33" spans="1:26">
      <c r="A33" s="5">
        <v>25</v>
      </c>
      <c r="B33" s="5" t="s">
        <v>152</v>
      </c>
      <c r="C33" s="5" t="s">
        <v>156</v>
      </c>
      <c r="D33" s="5" t="s">
        <v>11</v>
      </c>
      <c r="E33" s="9">
        <v>46239</v>
      </c>
      <c r="F33" s="9">
        <v>46240</v>
      </c>
      <c r="G33" s="10">
        <v>2</v>
      </c>
      <c r="H33" s="5" t="s">
        <v>28</v>
      </c>
      <c r="I33" s="5" t="s">
        <v>81</v>
      </c>
      <c r="J33" s="11" t="str">
        <f t="shared" si="3"/>
        <v/>
      </c>
      <c r="K33" s="11" t="str">
        <f t="shared" si="3"/>
        <v/>
      </c>
      <c r="L33" s="11" t="str">
        <f t="shared" si="3"/>
        <v/>
      </c>
      <c r="M33" s="11" t="str">
        <f t="shared" si="3"/>
        <v/>
      </c>
      <c r="N33" s="11" t="str">
        <f t="shared" si="3"/>
        <v/>
      </c>
      <c r="O33" s="11" t="str">
        <f t="shared" si="3"/>
        <v/>
      </c>
      <c r="P33" s="11" t="str">
        <f t="shared" si="3"/>
        <v/>
      </c>
      <c r="Q33" s="11">
        <f t="shared" si="3"/>
        <v>1</v>
      </c>
      <c r="R33" s="5" t="s">
        <v>157</v>
      </c>
      <c r="S33" s="5" t="s">
        <v>158</v>
      </c>
      <c r="T33" s="12">
        <f t="shared" si="1"/>
        <v>0</v>
      </c>
      <c r="U33" s="5"/>
      <c r="V33" s="1"/>
      <c r="W33" s="1"/>
      <c r="X33" s="1"/>
      <c r="Y33" s="1"/>
      <c r="Z33" s="1"/>
    </row>
    <row r="34" spans="1:26">
      <c r="A34" s="5">
        <v>26</v>
      </c>
      <c r="B34" s="5" t="s">
        <v>152</v>
      </c>
      <c r="C34" s="5" t="s">
        <v>159</v>
      </c>
      <c r="D34" s="5" t="s">
        <v>13</v>
      </c>
      <c r="E34" s="9">
        <v>46241</v>
      </c>
      <c r="F34" s="9">
        <v>46241</v>
      </c>
      <c r="G34" s="10">
        <v>1</v>
      </c>
      <c r="H34" s="5" t="s">
        <v>28</v>
      </c>
      <c r="I34" s="5" t="s">
        <v>81</v>
      </c>
      <c r="J34" s="11" t="str">
        <f t="shared" si="3"/>
        <v/>
      </c>
      <c r="K34" s="11" t="str">
        <f t="shared" si="3"/>
        <v/>
      </c>
      <c r="L34" s="11" t="str">
        <f t="shared" si="3"/>
        <v/>
      </c>
      <c r="M34" s="11" t="str">
        <f t="shared" si="3"/>
        <v/>
      </c>
      <c r="N34" s="11" t="str">
        <f t="shared" si="3"/>
        <v/>
      </c>
      <c r="O34" s="11" t="str">
        <f t="shared" si="3"/>
        <v/>
      </c>
      <c r="P34" s="11" t="str">
        <f t="shared" si="3"/>
        <v/>
      </c>
      <c r="Q34" s="11">
        <f t="shared" si="3"/>
        <v>1</v>
      </c>
      <c r="R34" s="5" t="s">
        <v>160</v>
      </c>
      <c r="S34" s="5" t="s">
        <v>161</v>
      </c>
      <c r="T34" s="12">
        <f t="shared" si="1"/>
        <v>0</v>
      </c>
      <c r="U34" s="5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A1:U2"/>
    <mergeCell ref="A3:U3"/>
    <mergeCell ref="B5:C5"/>
    <mergeCell ref="D5:E5"/>
    <mergeCell ref="F5:G5"/>
    <mergeCell ref="H5:I5"/>
  </mergeCells>
  <conditionalFormatting sqref="H9:H34">
    <cfRule type="expression" dxfId="13" priority="5">
      <formula>H9="Completed"</formula>
    </cfRule>
    <cfRule type="expression" dxfId="12" priority="6">
      <formula>H9="In Progress"</formula>
    </cfRule>
    <cfRule type="expression" dxfId="11" priority="7">
      <formula>H9="At Risk"</formula>
    </cfRule>
    <cfRule type="expression" dxfId="10" priority="8">
      <formula>H9="Blocked"</formula>
    </cfRule>
  </conditionalFormatting>
  <conditionalFormatting sqref="I9:I34">
    <cfRule type="expression" dxfId="9" priority="9">
      <formula>I9="High"</formula>
    </cfRule>
  </conditionalFormatting>
  <conditionalFormatting sqref="J9:Q34">
    <cfRule type="expression" dxfId="8" priority="1">
      <formula>J9=1</formula>
    </cfRule>
    <cfRule type="expression" dxfId="7" priority="2">
      <formula>AND(J9=1,ISNUMBER(SEARCH("Milestone",$C9)))</formula>
    </cfRule>
    <cfRule type="expression" dxfId="6" priority="3">
      <formula>AND(J9=1,$H9="At Risk")</formula>
    </cfRule>
    <cfRule type="expression" dxfId="5" priority="4">
      <formula>AND(J9=1,$H9="Completed")</formula>
    </cfRule>
  </conditionalFormatting>
  <dataValidations count="2">
    <dataValidation type="list" sqref="H9:H34" xr:uid="{00000000-0002-0000-0100-000000000000}">
      <formula1>"Not Started,In Progress,Completed,At Risk,Blocked"</formula1>
    </dataValidation>
    <dataValidation type="list" sqref="I9:I34" xr:uid="{00000000-0002-0000-0100-000001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K2"/>
    </sheetView>
  </sheetViews>
  <sheetFormatPr defaultRowHeight="13.8"/>
  <cols>
    <col min="1" max="1" width="6" customWidth="1"/>
    <col min="2" max="2" width="24" customWidth="1"/>
    <col min="3" max="3" width="48" customWidth="1"/>
    <col min="4" max="4" width="22" customWidth="1"/>
    <col min="5" max="6" width="13" customWidth="1"/>
    <col min="7" max="7" width="10" customWidth="1"/>
    <col min="8" max="9" width="14" customWidth="1"/>
    <col min="10" max="10" width="12" customWidth="1"/>
    <col min="11" max="11" width="44" customWidth="1"/>
    <col min="12" max="12" width="12" customWidth="1"/>
  </cols>
  <sheetData>
    <row r="1" spans="1:26">
      <c r="A1" s="16" t="s">
        <v>162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60</v>
      </c>
      <c r="B4" s="7" t="s">
        <v>61</v>
      </c>
      <c r="C4" s="7" t="s">
        <v>62</v>
      </c>
      <c r="D4" s="7" t="s">
        <v>63</v>
      </c>
      <c r="E4" s="7" t="s">
        <v>163</v>
      </c>
      <c r="F4" s="7" t="s">
        <v>164</v>
      </c>
      <c r="G4" s="7" t="s">
        <v>6</v>
      </c>
      <c r="H4" s="7" t="s">
        <v>14</v>
      </c>
      <c r="I4" s="7" t="s">
        <v>66</v>
      </c>
      <c r="J4" s="7" t="s">
        <v>165</v>
      </c>
      <c r="K4" s="7" t="s">
        <v>76</v>
      </c>
      <c r="L4" s="7" t="s">
        <v>166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>
        <v>1</v>
      </c>
      <c r="B5" s="5" t="s">
        <v>79</v>
      </c>
      <c r="C5" s="5" t="s">
        <v>80</v>
      </c>
      <c r="D5" s="5" t="s">
        <v>11</v>
      </c>
      <c r="E5" s="9">
        <v>46188</v>
      </c>
      <c r="F5" s="9">
        <v>46189</v>
      </c>
      <c r="G5" s="10">
        <f t="shared" ref="G5:G30" si="0">F5-E5+1</f>
        <v>2</v>
      </c>
      <c r="H5" s="5" t="s">
        <v>27</v>
      </c>
      <c r="I5" s="5" t="s">
        <v>81</v>
      </c>
      <c r="J5" s="5"/>
      <c r="K5" s="5" t="s">
        <v>82</v>
      </c>
      <c r="L5" s="12">
        <f t="shared" ref="L5:L30" si="1">IF(H5="Completed",1,IF(H5="In Progress",0.45,IF(H5="At Risk",0.25,0)))</f>
        <v>0.45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>
        <v>2</v>
      </c>
      <c r="B6" s="5" t="s">
        <v>79</v>
      </c>
      <c r="C6" s="5" t="s">
        <v>83</v>
      </c>
      <c r="D6" s="5" t="s">
        <v>13</v>
      </c>
      <c r="E6" s="9">
        <v>46189</v>
      </c>
      <c r="F6" s="9">
        <v>46190</v>
      </c>
      <c r="G6" s="10">
        <f t="shared" si="0"/>
        <v>2</v>
      </c>
      <c r="H6" s="5" t="s">
        <v>28</v>
      </c>
      <c r="I6" s="5" t="s">
        <v>81</v>
      </c>
      <c r="J6" s="5" t="s">
        <v>35</v>
      </c>
      <c r="K6" s="5" t="s">
        <v>84</v>
      </c>
      <c r="L6" s="12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>
        <v>3</v>
      </c>
      <c r="B7" s="5" t="s">
        <v>79</v>
      </c>
      <c r="C7" s="5" t="s">
        <v>85</v>
      </c>
      <c r="D7" s="5" t="s">
        <v>86</v>
      </c>
      <c r="E7" s="9">
        <v>46190</v>
      </c>
      <c r="F7" s="9">
        <v>46191</v>
      </c>
      <c r="G7" s="10">
        <f t="shared" si="0"/>
        <v>2</v>
      </c>
      <c r="H7" s="5" t="s">
        <v>28</v>
      </c>
      <c r="I7" s="5" t="s">
        <v>87</v>
      </c>
      <c r="J7" s="5" t="s">
        <v>35</v>
      </c>
      <c r="K7" s="5" t="s">
        <v>88</v>
      </c>
      <c r="L7" s="12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>
        <v>4</v>
      </c>
      <c r="B8" s="5" t="s">
        <v>79</v>
      </c>
      <c r="C8" s="5" t="s">
        <v>89</v>
      </c>
      <c r="D8" s="5" t="s">
        <v>11</v>
      </c>
      <c r="E8" s="9">
        <v>46192</v>
      </c>
      <c r="F8" s="9">
        <v>46192</v>
      </c>
      <c r="G8" s="10">
        <f t="shared" si="0"/>
        <v>1</v>
      </c>
      <c r="H8" s="5" t="s">
        <v>28</v>
      </c>
      <c r="I8" s="5" t="s">
        <v>81</v>
      </c>
      <c r="J8" s="5" t="s">
        <v>90</v>
      </c>
      <c r="K8" s="5" t="s">
        <v>91</v>
      </c>
      <c r="L8" s="12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>
        <v>5</v>
      </c>
      <c r="B9" s="5" t="s">
        <v>92</v>
      </c>
      <c r="C9" s="5" t="s">
        <v>93</v>
      </c>
      <c r="D9" s="5" t="s">
        <v>13</v>
      </c>
      <c r="E9" s="9">
        <v>46195</v>
      </c>
      <c r="F9" s="9">
        <v>46197</v>
      </c>
      <c r="G9" s="10">
        <f t="shared" si="0"/>
        <v>3</v>
      </c>
      <c r="H9" s="5" t="s">
        <v>28</v>
      </c>
      <c r="I9" s="5" t="s">
        <v>81</v>
      </c>
      <c r="J9" s="5" t="s">
        <v>47</v>
      </c>
      <c r="K9" s="5" t="s">
        <v>94</v>
      </c>
      <c r="L9" s="12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5">
        <v>6</v>
      </c>
      <c r="B10" s="5" t="s">
        <v>92</v>
      </c>
      <c r="C10" s="5" t="s">
        <v>95</v>
      </c>
      <c r="D10" s="5" t="s">
        <v>86</v>
      </c>
      <c r="E10" s="9">
        <v>46195</v>
      </c>
      <c r="F10" s="9">
        <v>46198</v>
      </c>
      <c r="G10" s="10">
        <f t="shared" si="0"/>
        <v>4</v>
      </c>
      <c r="H10" s="5" t="s">
        <v>28</v>
      </c>
      <c r="I10" s="5" t="s">
        <v>87</v>
      </c>
      <c r="J10" s="5" t="s">
        <v>47</v>
      </c>
      <c r="K10" s="5" t="s">
        <v>96</v>
      </c>
      <c r="L10" s="12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>
        <v>7</v>
      </c>
      <c r="B11" s="5" t="s">
        <v>92</v>
      </c>
      <c r="C11" s="5" t="s">
        <v>97</v>
      </c>
      <c r="D11" s="5" t="s">
        <v>98</v>
      </c>
      <c r="E11" s="9">
        <v>46197</v>
      </c>
      <c r="F11" s="9">
        <v>46199</v>
      </c>
      <c r="G11" s="10">
        <f t="shared" si="0"/>
        <v>3</v>
      </c>
      <c r="H11" s="5" t="s">
        <v>28</v>
      </c>
      <c r="I11" s="5" t="s">
        <v>81</v>
      </c>
      <c r="J11" s="5" t="s">
        <v>51</v>
      </c>
      <c r="K11" s="5" t="s">
        <v>99</v>
      </c>
      <c r="L11" s="12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>
        <v>8</v>
      </c>
      <c r="B12" s="5" t="s">
        <v>92</v>
      </c>
      <c r="C12" s="5" t="s">
        <v>100</v>
      </c>
      <c r="D12" s="5" t="s">
        <v>13</v>
      </c>
      <c r="E12" s="9">
        <v>46199</v>
      </c>
      <c r="F12" s="9">
        <v>46202</v>
      </c>
      <c r="G12" s="10">
        <f t="shared" si="0"/>
        <v>4</v>
      </c>
      <c r="H12" s="5" t="s">
        <v>28</v>
      </c>
      <c r="I12" s="5" t="s">
        <v>81</v>
      </c>
      <c r="J12" s="5" t="s">
        <v>101</v>
      </c>
      <c r="K12" s="5" t="s">
        <v>102</v>
      </c>
      <c r="L12" s="12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>
        <v>9</v>
      </c>
      <c r="B13" s="5" t="s">
        <v>92</v>
      </c>
      <c r="C13" s="5" t="s">
        <v>103</v>
      </c>
      <c r="D13" s="5" t="s">
        <v>11</v>
      </c>
      <c r="E13" s="9">
        <v>46203</v>
      </c>
      <c r="F13" s="9">
        <v>46203</v>
      </c>
      <c r="G13" s="10">
        <f t="shared" si="0"/>
        <v>1</v>
      </c>
      <c r="H13" s="5" t="s">
        <v>28</v>
      </c>
      <c r="I13" s="5" t="s">
        <v>81</v>
      </c>
      <c r="J13" s="5" t="s">
        <v>104</v>
      </c>
      <c r="K13" s="5" t="s">
        <v>105</v>
      </c>
      <c r="L13" s="12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>
        <v>10</v>
      </c>
      <c r="B14" s="5" t="s">
        <v>106</v>
      </c>
      <c r="C14" s="5" t="s">
        <v>107</v>
      </c>
      <c r="D14" s="5" t="s">
        <v>98</v>
      </c>
      <c r="E14" s="9">
        <v>46204</v>
      </c>
      <c r="F14" s="9">
        <v>46205</v>
      </c>
      <c r="G14" s="10">
        <f t="shared" si="0"/>
        <v>2</v>
      </c>
      <c r="H14" s="5" t="s">
        <v>28</v>
      </c>
      <c r="I14" s="5" t="s">
        <v>81</v>
      </c>
      <c r="J14" s="5" t="s">
        <v>108</v>
      </c>
      <c r="K14" s="5" t="s">
        <v>109</v>
      </c>
      <c r="L14" s="12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>
        <v>11</v>
      </c>
      <c r="B15" s="5" t="s">
        <v>106</v>
      </c>
      <c r="C15" s="5" t="s">
        <v>110</v>
      </c>
      <c r="D15" s="5" t="s">
        <v>98</v>
      </c>
      <c r="E15" s="9">
        <v>46205</v>
      </c>
      <c r="F15" s="9">
        <v>46209</v>
      </c>
      <c r="G15" s="10">
        <f t="shared" si="0"/>
        <v>5</v>
      </c>
      <c r="H15" s="5" t="s">
        <v>28</v>
      </c>
      <c r="I15" s="5" t="s">
        <v>81</v>
      </c>
      <c r="J15" s="5" t="s">
        <v>111</v>
      </c>
      <c r="K15" s="5" t="s">
        <v>112</v>
      </c>
      <c r="L15" s="12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>
        <v>12</v>
      </c>
      <c r="B16" s="5" t="s">
        <v>106</v>
      </c>
      <c r="C16" s="5" t="s">
        <v>113</v>
      </c>
      <c r="D16" s="5" t="s">
        <v>13</v>
      </c>
      <c r="E16" s="9">
        <v>46209</v>
      </c>
      <c r="F16" s="9">
        <v>46211</v>
      </c>
      <c r="G16" s="10">
        <f t="shared" si="0"/>
        <v>3</v>
      </c>
      <c r="H16" s="5" t="s">
        <v>28</v>
      </c>
      <c r="I16" s="5" t="s">
        <v>81</v>
      </c>
      <c r="J16" s="5" t="s">
        <v>114</v>
      </c>
      <c r="K16" s="5" t="s">
        <v>115</v>
      </c>
      <c r="L16" s="12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>
        <v>13</v>
      </c>
      <c r="B17" s="5" t="s">
        <v>106</v>
      </c>
      <c r="C17" s="5" t="s">
        <v>116</v>
      </c>
      <c r="D17" s="5" t="s">
        <v>86</v>
      </c>
      <c r="E17" s="9">
        <v>46211</v>
      </c>
      <c r="F17" s="9">
        <v>46213</v>
      </c>
      <c r="G17" s="10">
        <f t="shared" si="0"/>
        <v>3</v>
      </c>
      <c r="H17" s="5" t="s">
        <v>28</v>
      </c>
      <c r="I17" s="5" t="s">
        <v>87</v>
      </c>
      <c r="J17" s="5" t="s">
        <v>117</v>
      </c>
      <c r="K17" s="5" t="s">
        <v>118</v>
      </c>
      <c r="L17" s="12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>
        <v>14</v>
      </c>
      <c r="B18" s="5" t="s">
        <v>106</v>
      </c>
      <c r="C18" s="5" t="s">
        <v>119</v>
      </c>
      <c r="D18" s="5" t="s">
        <v>11</v>
      </c>
      <c r="E18" s="9">
        <v>46213</v>
      </c>
      <c r="F18" s="9">
        <v>46213</v>
      </c>
      <c r="G18" s="10">
        <f t="shared" si="0"/>
        <v>1</v>
      </c>
      <c r="H18" s="5" t="s">
        <v>28</v>
      </c>
      <c r="I18" s="5" t="s">
        <v>81</v>
      </c>
      <c r="J18" s="5" t="s">
        <v>120</v>
      </c>
      <c r="K18" s="5" t="s">
        <v>121</v>
      </c>
      <c r="L18" s="12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>
        <v>15</v>
      </c>
      <c r="B19" s="5" t="s">
        <v>122</v>
      </c>
      <c r="C19" s="5" t="s">
        <v>123</v>
      </c>
      <c r="D19" s="5" t="s">
        <v>13</v>
      </c>
      <c r="E19" s="9">
        <v>46216</v>
      </c>
      <c r="F19" s="9">
        <v>46218</v>
      </c>
      <c r="G19" s="10">
        <f t="shared" si="0"/>
        <v>3</v>
      </c>
      <c r="H19" s="5" t="s">
        <v>28</v>
      </c>
      <c r="I19" s="5" t="s">
        <v>81</v>
      </c>
      <c r="J19" s="5" t="s">
        <v>124</v>
      </c>
      <c r="K19" s="5" t="s">
        <v>125</v>
      </c>
      <c r="L19" s="12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5">
        <v>16</v>
      </c>
      <c r="B20" s="5" t="s">
        <v>122</v>
      </c>
      <c r="C20" s="5" t="s">
        <v>126</v>
      </c>
      <c r="D20" s="5" t="s">
        <v>11</v>
      </c>
      <c r="E20" s="9">
        <v>46217</v>
      </c>
      <c r="F20" s="9">
        <v>46219</v>
      </c>
      <c r="G20" s="10">
        <f t="shared" si="0"/>
        <v>3</v>
      </c>
      <c r="H20" s="5" t="s">
        <v>28</v>
      </c>
      <c r="I20" s="5" t="s">
        <v>81</v>
      </c>
      <c r="J20" s="5" t="s">
        <v>124</v>
      </c>
      <c r="K20" s="5" t="s">
        <v>127</v>
      </c>
      <c r="L20" s="12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5">
        <v>17</v>
      </c>
      <c r="B21" s="5" t="s">
        <v>122</v>
      </c>
      <c r="C21" s="5" t="s">
        <v>128</v>
      </c>
      <c r="D21" s="5" t="s">
        <v>129</v>
      </c>
      <c r="E21" s="9">
        <v>46219</v>
      </c>
      <c r="F21" s="9">
        <v>46220</v>
      </c>
      <c r="G21" s="10">
        <f t="shared" si="0"/>
        <v>2</v>
      </c>
      <c r="H21" s="5" t="s">
        <v>28</v>
      </c>
      <c r="I21" s="5" t="s">
        <v>87</v>
      </c>
      <c r="J21" s="5" t="s">
        <v>130</v>
      </c>
      <c r="K21" s="5" t="s">
        <v>131</v>
      </c>
      <c r="L21" s="12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">
        <v>18</v>
      </c>
      <c r="B22" s="5" t="s">
        <v>122</v>
      </c>
      <c r="C22" s="5" t="s">
        <v>132</v>
      </c>
      <c r="D22" s="5" t="s">
        <v>86</v>
      </c>
      <c r="E22" s="9">
        <v>46220</v>
      </c>
      <c r="F22" s="9">
        <v>46223</v>
      </c>
      <c r="G22" s="10">
        <f t="shared" si="0"/>
        <v>4</v>
      </c>
      <c r="H22" s="5" t="s">
        <v>28</v>
      </c>
      <c r="I22" s="5" t="s">
        <v>87</v>
      </c>
      <c r="J22" s="5" t="s">
        <v>133</v>
      </c>
      <c r="K22" s="5" t="s">
        <v>134</v>
      </c>
      <c r="L22" s="12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5">
        <v>19</v>
      </c>
      <c r="B23" s="5" t="s">
        <v>122</v>
      </c>
      <c r="C23" s="5" t="s">
        <v>135</v>
      </c>
      <c r="D23" s="5" t="s">
        <v>11</v>
      </c>
      <c r="E23" s="9">
        <v>46224</v>
      </c>
      <c r="F23" s="9">
        <v>46224</v>
      </c>
      <c r="G23" s="10">
        <f t="shared" si="0"/>
        <v>1</v>
      </c>
      <c r="H23" s="5" t="s">
        <v>28</v>
      </c>
      <c r="I23" s="5" t="s">
        <v>81</v>
      </c>
      <c r="J23" s="5" t="s">
        <v>136</v>
      </c>
      <c r="K23" s="5" t="s">
        <v>137</v>
      </c>
      <c r="L23" s="12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5">
        <v>20</v>
      </c>
      <c r="B24" s="5" t="s">
        <v>138</v>
      </c>
      <c r="C24" s="5" t="s">
        <v>139</v>
      </c>
      <c r="D24" s="5" t="s">
        <v>140</v>
      </c>
      <c r="E24" s="9">
        <v>46225</v>
      </c>
      <c r="F24" s="9">
        <v>46231</v>
      </c>
      <c r="G24" s="10">
        <f t="shared" si="0"/>
        <v>7</v>
      </c>
      <c r="H24" s="5" t="s">
        <v>28</v>
      </c>
      <c r="I24" s="5" t="s">
        <v>81</v>
      </c>
      <c r="J24" s="5" t="s">
        <v>141</v>
      </c>
      <c r="K24" s="5" t="s">
        <v>142</v>
      </c>
      <c r="L24" s="12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5">
        <v>21</v>
      </c>
      <c r="B25" s="5" t="s">
        <v>138</v>
      </c>
      <c r="C25" s="5" t="s">
        <v>143</v>
      </c>
      <c r="D25" s="5" t="s">
        <v>13</v>
      </c>
      <c r="E25" s="9">
        <v>46225</v>
      </c>
      <c r="F25" s="9">
        <v>46233</v>
      </c>
      <c r="G25" s="10">
        <f t="shared" si="0"/>
        <v>9</v>
      </c>
      <c r="H25" s="5" t="s">
        <v>28</v>
      </c>
      <c r="I25" s="5" t="s">
        <v>81</v>
      </c>
      <c r="J25" s="5" t="s">
        <v>144</v>
      </c>
      <c r="K25" s="5" t="s">
        <v>145</v>
      </c>
      <c r="L25" s="12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">
        <v>22</v>
      </c>
      <c r="B26" s="5" t="s">
        <v>138</v>
      </c>
      <c r="C26" s="5" t="s">
        <v>146</v>
      </c>
      <c r="D26" s="5" t="s">
        <v>86</v>
      </c>
      <c r="E26" s="9">
        <v>46233</v>
      </c>
      <c r="F26" s="9">
        <v>46234</v>
      </c>
      <c r="G26" s="10">
        <f t="shared" si="0"/>
        <v>2</v>
      </c>
      <c r="H26" s="5" t="s">
        <v>28</v>
      </c>
      <c r="I26" s="5" t="s">
        <v>81</v>
      </c>
      <c r="J26" s="5" t="s">
        <v>147</v>
      </c>
      <c r="K26" s="5" t="s">
        <v>148</v>
      </c>
      <c r="L26" s="12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5">
        <v>23</v>
      </c>
      <c r="B27" s="5" t="s">
        <v>138</v>
      </c>
      <c r="C27" s="5" t="s">
        <v>149</v>
      </c>
      <c r="D27" s="5" t="s">
        <v>11</v>
      </c>
      <c r="E27" s="9">
        <v>46234</v>
      </c>
      <c r="F27" s="9">
        <v>46234</v>
      </c>
      <c r="G27" s="10">
        <f t="shared" si="0"/>
        <v>1</v>
      </c>
      <c r="H27" s="5" t="s">
        <v>28</v>
      </c>
      <c r="I27" s="5" t="s">
        <v>81</v>
      </c>
      <c r="J27" s="5" t="s">
        <v>150</v>
      </c>
      <c r="K27" s="5" t="s">
        <v>151</v>
      </c>
      <c r="L27" s="12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5">
        <v>24</v>
      </c>
      <c r="B28" s="5" t="s">
        <v>152</v>
      </c>
      <c r="C28" s="5" t="s">
        <v>153</v>
      </c>
      <c r="D28" s="5" t="s">
        <v>86</v>
      </c>
      <c r="E28" s="9">
        <v>46237</v>
      </c>
      <c r="F28" s="9">
        <v>46238</v>
      </c>
      <c r="G28" s="10">
        <f t="shared" si="0"/>
        <v>2</v>
      </c>
      <c r="H28" s="5" t="s">
        <v>28</v>
      </c>
      <c r="I28" s="5" t="s">
        <v>87</v>
      </c>
      <c r="J28" s="5" t="s">
        <v>154</v>
      </c>
      <c r="K28" s="5" t="s">
        <v>155</v>
      </c>
      <c r="L28" s="12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5">
        <v>25</v>
      </c>
      <c r="B29" s="5" t="s">
        <v>152</v>
      </c>
      <c r="C29" s="5" t="s">
        <v>156</v>
      </c>
      <c r="D29" s="5" t="s">
        <v>11</v>
      </c>
      <c r="E29" s="9">
        <v>46239</v>
      </c>
      <c r="F29" s="9">
        <v>46240</v>
      </c>
      <c r="G29" s="10">
        <f t="shared" si="0"/>
        <v>2</v>
      </c>
      <c r="H29" s="5" t="s">
        <v>28</v>
      </c>
      <c r="I29" s="5" t="s">
        <v>81</v>
      </c>
      <c r="J29" s="5" t="s">
        <v>157</v>
      </c>
      <c r="K29" s="5" t="s">
        <v>158</v>
      </c>
      <c r="L29" s="12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5">
        <v>26</v>
      </c>
      <c r="B30" s="5" t="s">
        <v>152</v>
      </c>
      <c r="C30" s="5" t="s">
        <v>159</v>
      </c>
      <c r="D30" s="5" t="s">
        <v>13</v>
      </c>
      <c r="E30" s="9">
        <v>46241</v>
      </c>
      <c r="F30" s="9">
        <v>46241</v>
      </c>
      <c r="G30" s="10">
        <f t="shared" si="0"/>
        <v>1</v>
      </c>
      <c r="H30" s="5" t="s">
        <v>28</v>
      </c>
      <c r="I30" s="5" t="s">
        <v>81</v>
      </c>
      <c r="J30" s="5" t="s">
        <v>160</v>
      </c>
      <c r="K30" s="5" t="s">
        <v>161</v>
      </c>
      <c r="L30" s="12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K2"/>
  </mergeCells>
  <conditionalFormatting sqref="H5:H30">
    <cfRule type="expression" dxfId="4" priority="1">
      <formula>H5="Completed"</formula>
    </cfRule>
    <cfRule type="expression" dxfId="3" priority="2">
      <formula>H5="In Progress"</formula>
    </cfRule>
    <cfRule type="expression" dxfId="2" priority="3">
      <formula>H5="At Risk"</formula>
    </cfRule>
    <cfRule type="expression" dxfId="1" priority="4">
      <formula>H5="Blocked"</formula>
    </cfRule>
  </conditionalFormatting>
  <conditionalFormatting sqref="I5:I30">
    <cfRule type="expression" dxfId="0" priority="5">
      <formula>I5="High"</formula>
    </cfRule>
  </conditionalFormatting>
  <dataValidations count="2">
    <dataValidation type="list" sqref="H5:H30" xr:uid="{00000000-0002-0000-0200-000000000000}">
      <formula1>"Not Started,In Progress,Completed,At Risk,Blocked"</formula1>
    </dataValidation>
    <dataValidation type="list" sqref="I5:I30" xr:uid="{00000000-0002-0000-0200-000001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G2"/>
    </sheetView>
  </sheetViews>
  <sheetFormatPr defaultRowHeight="13.8"/>
  <cols>
    <col min="1" max="1" width="8" customWidth="1"/>
    <col min="2" max="2" width="30" customWidth="1"/>
    <col min="3" max="3" width="14" customWidth="1"/>
    <col min="4" max="4" width="38" customWidth="1"/>
    <col min="5" max="5" width="48" customWidth="1"/>
    <col min="6" max="6" width="22" customWidth="1"/>
    <col min="7" max="7" width="14" customWidth="1"/>
  </cols>
  <sheetData>
    <row r="1" spans="1:26">
      <c r="A1" s="16" t="s">
        <v>167</v>
      </c>
      <c r="B1" s="16"/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60</v>
      </c>
      <c r="B4" s="7" t="s">
        <v>59</v>
      </c>
      <c r="C4" s="7" t="s">
        <v>168</v>
      </c>
      <c r="D4" s="7" t="s">
        <v>76</v>
      </c>
      <c r="E4" s="7" t="s">
        <v>169</v>
      </c>
      <c r="F4" s="7" t="s">
        <v>63</v>
      </c>
      <c r="G4" s="7" t="s">
        <v>14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170</v>
      </c>
      <c r="B5" s="5" t="s">
        <v>171</v>
      </c>
      <c r="C5" s="9">
        <v>46192</v>
      </c>
      <c r="D5" s="5" t="s">
        <v>91</v>
      </c>
      <c r="E5" s="5" t="s">
        <v>172</v>
      </c>
      <c r="F5" s="5" t="s">
        <v>11</v>
      </c>
      <c r="G5" s="5" t="s">
        <v>28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173</v>
      </c>
      <c r="B6" s="5" t="s">
        <v>174</v>
      </c>
      <c r="C6" s="9">
        <v>46203</v>
      </c>
      <c r="D6" s="5" t="s">
        <v>175</v>
      </c>
      <c r="E6" s="5" t="s">
        <v>176</v>
      </c>
      <c r="F6" s="5" t="s">
        <v>11</v>
      </c>
      <c r="G6" s="5" t="s">
        <v>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177</v>
      </c>
      <c r="B7" s="5" t="s">
        <v>178</v>
      </c>
      <c r="C7" s="9">
        <v>46213</v>
      </c>
      <c r="D7" s="5" t="s">
        <v>179</v>
      </c>
      <c r="E7" s="5" t="s">
        <v>180</v>
      </c>
      <c r="F7" s="5" t="s">
        <v>98</v>
      </c>
      <c r="G7" s="5" t="s">
        <v>28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181</v>
      </c>
      <c r="B8" s="5" t="s">
        <v>182</v>
      </c>
      <c r="C8" s="9">
        <v>46224</v>
      </c>
      <c r="D8" s="5" t="s">
        <v>183</v>
      </c>
      <c r="E8" s="5" t="s">
        <v>184</v>
      </c>
      <c r="F8" s="5" t="s">
        <v>11</v>
      </c>
      <c r="G8" s="5" t="s">
        <v>28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 t="s">
        <v>185</v>
      </c>
      <c r="B9" s="5" t="s">
        <v>186</v>
      </c>
      <c r="C9" s="9">
        <v>46234</v>
      </c>
      <c r="D9" s="5" t="s">
        <v>187</v>
      </c>
      <c r="E9" s="5" t="s">
        <v>188</v>
      </c>
      <c r="F9" s="5" t="s">
        <v>11</v>
      </c>
      <c r="G9" s="5" t="s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189</v>
      </c>
      <c r="B10" s="5" t="s">
        <v>190</v>
      </c>
      <c r="C10" s="9">
        <v>46241</v>
      </c>
      <c r="D10" s="5" t="s">
        <v>159</v>
      </c>
      <c r="E10" s="5" t="s">
        <v>191</v>
      </c>
      <c r="F10" s="5" t="s">
        <v>13</v>
      </c>
      <c r="G10" s="5" t="s">
        <v>28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G2"/>
  </mergeCells>
  <dataValidations count="1">
    <dataValidation type="list" sqref="G5:G10" xr:uid="{00000000-0002-0000-0300-000000000000}">
      <formula1>"Not Started,In Progress,Completed,At Risk,Blocked"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H2"/>
    </sheetView>
  </sheetViews>
  <sheetFormatPr defaultRowHeight="13.8"/>
  <cols>
    <col min="1" max="1" width="34" customWidth="1"/>
    <col min="2" max="8" width="18" customWidth="1"/>
  </cols>
  <sheetData>
    <row r="1" spans="1:26">
      <c r="A1" s="16" t="s">
        <v>192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7" t="s">
        <v>193</v>
      </c>
      <c r="B4" s="7" t="s">
        <v>11</v>
      </c>
      <c r="C4" s="7" t="s">
        <v>13</v>
      </c>
      <c r="D4" s="7" t="s">
        <v>86</v>
      </c>
      <c r="E4" s="7" t="s">
        <v>98</v>
      </c>
      <c r="F4" s="7" t="s">
        <v>140</v>
      </c>
      <c r="G4" s="7" t="s">
        <v>129</v>
      </c>
      <c r="H4" s="7" t="s">
        <v>194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195</v>
      </c>
      <c r="B5" s="5" t="s">
        <v>196</v>
      </c>
      <c r="C5" s="5" t="s">
        <v>197</v>
      </c>
      <c r="D5" s="5" t="s">
        <v>198</v>
      </c>
      <c r="E5" s="5" t="s">
        <v>198</v>
      </c>
      <c r="F5" s="5" t="s">
        <v>199</v>
      </c>
      <c r="G5" s="5" t="s">
        <v>199</v>
      </c>
      <c r="H5" s="5" t="s">
        <v>199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200</v>
      </c>
      <c r="B6" s="5" t="s">
        <v>196</v>
      </c>
      <c r="C6" s="5" t="s">
        <v>197</v>
      </c>
      <c r="D6" s="5" t="s">
        <v>197</v>
      </c>
      <c r="E6" s="5" t="s">
        <v>198</v>
      </c>
      <c r="F6" s="5" t="s">
        <v>198</v>
      </c>
      <c r="G6" s="5" t="s">
        <v>198</v>
      </c>
      <c r="H6" s="5" t="s">
        <v>198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201</v>
      </c>
      <c r="B7" s="5" t="s">
        <v>196</v>
      </c>
      <c r="C7" s="5" t="s">
        <v>198</v>
      </c>
      <c r="D7" s="5" t="s">
        <v>198</v>
      </c>
      <c r="E7" s="5" t="s">
        <v>197</v>
      </c>
      <c r="F7" s="5" t="s">
        <v>199</v>
      </c>
      <c r="G7" s="5" t="s">
        <v>199</v>
      </c>
      <c r="H7" s="5" t="s">
        <v>199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202</v>
      </c>
      <c r="B8" s="5" t="s">
        <v>196</v>
      </c>
      <c r="C8" s="5" t="s">
        <v>197</v>
      </c>
      <c r="D8" s="5" t="s">
        <v>198</v>
      </c>
      <c r="E8" s="5" t="s">
        <v>198</v>
      </c>
      <c r="F8" s="5" t="s">
        <v>197</v>
      </c>
      <c r="G8" s="5" t="s">
        <v>198</v>
      </c>
      <c r="H8" s="5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 t="s">
        <v>203</v>
      </c>
      <c r="B9" s="5" t="s">
        <v>204</v>
      </c>
      <c r="C9" s="5" t="s">
        <v>198</v>
      </c>
      <c r="D9" s="5" t="s">
        <v>198</v>
      </c>
      <c r="E9" s="5" t="s">
        <v>199</v>
      </c>
      <c r="F9" s="5" t="s">
        <v>198</v>
      </c>
      <c r="G9" s="5" t="s">
        <v>199</v>
      </c>
      <c r="H9" s="5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205</v>
      </c>
      <c r="B10" s="5" t="s">
        <v>196</v>
      </c>
      <c r="C10" s="5" t="s">
        <v>198</v>
      </c>
      <c r="D10" s="5" t="s">
        <v>198</v>
      </c>
      <c r="E10" s="5" t="s">
        <v>199</v>
      </c>
      <c r="F10" s="5" t="s">
        <v>199</v>
      </c>
      <c r="G10" s="5" t="s">
        <v>197</v>
      </c>
      <c r="H10" s="5" t="s">
        <v>198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 t="s">
        <v>206</v>
      </c>
      <c r="B11" s="5" t="s">
        <v>196</v>
      </c>
      <c r="C11" s="5" t="s">
        <v>197</v>
      </c>
      <c r="D11" s="5" t="s">
        <v>197</v>
      </c>
      <c r="E11" s="5" t="s">
        <v>198</v>
      </c>
      <c r="F11" s="5" t="s">
        <v>197</v>
      </c>
      <c r="G11" s="5" t="s">
        <v>198</v>
      </c>
      <c r="H11" s="5" t="s">
        <v>197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 t="s">
        <v>207</v>
      </c>
      <c r="B12" s="5" t="s">
        <v>196</v>
      </c>
      <c r="C12" s="5" t="s">
        <v>197</v>
      </c>
      <c r="D12" s="5" t="s">
        <v>197</v>
      </c>
      <c r="E12" s="5" t="s">
        <v>199</v>
      </c>
      <c r="F12" s="5" t="s">
        <v>197</v>
      </c>
      <c r="G12" s="5" t="s">
        <v>197</v>
      </c>
      <c r="H12" s="5" t="s">
        <v>198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 t="s">
        <v>208</v>
      </c>
      <c r="B13" s="5" t="s">
        <v>196</v>
      </c>
      <c r="C13" s="5" t="s">
        <v>197</v>
      </c>
      <c r="D13" s="5" t="s">
        <v>198</v>
      </c>
      <c r="E13" s="5" t="s">
        <v>197</v>
      </c>
      <c r="F13" s="5" t="s">
        <v>199</v>
      </c>
      <c r="G13" s="5" t="s">
        <v>199</v>
      </c>
      <c r="H13" s="5" t="s">
        <v>199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0" t="s">
        <v>209</v>
      </c>
      <c r="B16" s="20"/>
      <c r="C16" s="20"/>
      <c r="D16" s="20"/>
      <c r="E16" s="20"/>
      <c r="F16" s="20"/>
      <c r="G16" s="20"/>
      <c r="H16" s="2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210</v>
      </c>
      <c r="B17" s="4" t="s">
        <v>211</v>
      </c>
      <c r="C17" s="4" t="s">
        <v>212</v>
      </c>
      <c r="D17" s="4" t="s">
        <v>213</v>
      </c>
      <c r="E17" s="27" t="s">
        <v>214</v>
      </c>
      <c r="F17" s="27"/>
      <c r="G17" s="27"/>
      <c r="H17" s="2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">
    <mergeCell ref="A1:H2"/>
    <mergeCell ref="A16:H16"/>
    <mergeCell ref="E17:H1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J2"/>
    </sheetView>
  </sheetViews>
  <sheetFormatPr defaultRowHeight="13.8"/>
  <cols>
    <col min="1" max="1" width="8" customWidth="1"/>
    <col min="2" max="2" width="18" customWidth="1"/>
    <col min="3" max="3" width="42" customWidth="1"/>
    <col min="4" max="6" width="12" customWidth="1"/>
    <col min="7" max="7" width="22" customWidth="1"/>
    <col min="8" max="9" width="48" customWidth="1"/>
    <col min="10" max="10" width="14" customWidth="1"/>
  </cols>
  <sheetData>
    <row r="1" spans="1:26">
      <c r="A1" s="16" t="s">
        <v>215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60</v>
      </c>
      <c r="B4" s="7" t="s">
        <v>216</v>
      </c>
      <c r="C4" s="7" t="s">
        <v>217</v>
      </c>
      <c r="D4" s="7" t="s">
        <v>218</v>
      </c>
      <c r="E4" s="7" t="s">
        <v>219</v>
      </c>
      <c r="F4" s="7" t="s">
        <v>220</v>
      </c>
      <c r="G4" s="7" t="s">
        <v>63</v>
      </c>
      <c r="H4" s="7" t="s">
        <v>221</v>
      </c>
      <c r="I4" s="7" t="s">
        <v>222</v>
      </c>
      <c r="J4" s="7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5" t="s">
        <v>223</v>
      </c>
      <c r="B5" s="5" t="s">
        <v>224</v>
      </c>
      <c r="C5" s="5" t="s">
        <v>225</v>
      </c>
      <c r="D5" s="5">
        <v>3</v>
      </c>
      <c r="E5" s="5">
        <v>4</v>
      </c>
      <c r="F5" s="5">
        <f t="shared" ref="F5:F11" si="0">D5*E5</f>
        <v>12</v>
      </c>
      <c r="G5" s="5" t="s">
        <v>86</v>
      </c>
      <c r="H5" s="5" t="s">
        <v>226</v>
      </c>
      <c r="I5" s="5" t="s">
        <v>227</v>
      </c>
      <c r="J5" s="5" t="s">
        <v>228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5" t="s">
        <v>229</v>
      </c>
      <c r="B6" s="5" t="s">
        <v>230</v>
      </c>
      <c r="C6" s="5" t="s">
        <v>231</v>
      </c>
      <c r="D6" s="5">
        <v>4</v>
      </c>
      <c r="E6" s="5">
        <v>5</v>
      </c>
      <c r="F6" s="5">
        <f t="shared" si="0"/>
        <v>20</v>
      </c>
      <c r="G6" s="5" t="s">
        <v>98</v>
      </c>
      <c r="H6" s="5" t="s">
        <v>232</v>
      </c>
      <c r="I6" s="5" t="s">
        <v>233</v>
      </c>
      <c r="J6" s="5" t="s">
        <v>228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5" t="s">
        <v>234</v>
      </c>
      <c r="B7" s="5" t="s">
        <v>235</v>
      </c>
      <c r="C7" s="5" t="s">
        <v>236</v>
      </c>
      <c r="D7" s="5">
        <v>3</v>
      </c>
      <c r="E7" s="5">
        <v>4</v>
      </c>
      <c r="F7" s="5">
        <f t="shared" si="0"/>
        <v>12</v>
      </c>
      <c r="G7" s="5" t="s">
        <v>11</v>
      </c>
      <c r="H7" s="5" t="s">
        <v>237</v>
      </c>
      <c r="I7" s="5" t="s">
        <v>238</v>
      </c>
      <c r="J7" s="5" t="s">
        <v>228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5" t="s">
        <v>239</v>
      </c>
      <c r="B8" s="5" t="s">
        <v>240</v>
      </c>
      <c r="C8" s="5" t="s">
        <v>241</v>
      </c>
      <c r="D8" s="5">
        <v>3</v>
      </c>
      <c r="E8" s="5">
        <v>5</v>
      </c>
      <c r="F8" s="5">
        <f t="shared" si="0"/>
        <v>15</v>
      </c>
      <c r="G8" s="5" t="s">
        <v>11</v>
      </c>
      <c r="H8" s="5" t="s">
        <v>242</v>
      </c>
      <c r="I8" s="5" t="s">
        <v>243</v>
      </c>
      <c r="J8" s="5" t="s">
        <v>228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5" t="s">
        <v>244</v>
      </c>
      <c r="B9" s="5" t="s">
        <v>49</v>
      </c>
      <c r="C9" s="5" t="s">
        <v>245</v>
      </c>
      <c r="D9" s="5">
        <v>3</v>
      </c>
      <c r="E9" s="5">
        <v>4</v>
      </c>
      <c r="F9" s="5">
        <f t="shared" si="0"/>
        <v>12</v>
      </c>
      <c r="G9" s="5" t="s">
        <v>129</v>
      </c>
      <c r="H9" s="5" t="s">
        <v>246</v>
      </c>
      <c r="I9" s="5" t="s">
        <v>247</v>
      </c>
      <c r="J9" s="5" t="s">
        <v>228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248</v>
      </c>
      <c r="B10" s="5" t="s">
        <v>249</v>
      </c>
      <c r="C10" s="5" t="s">
        <v>250</v>
      </c>
      <c r="D10" s="5">
        <v>2</v>
      </c>
      <c r="E10" s="5">
        <v>4</v>
      </c>
      <c r="F10" s="5">
        <f t="shared" si="0"/>
        <v>8</v>
      </c>
      <c r="G10" s="5" t="s">
        <v>98</v>
      </c>
      <c r="H10" s="5" t="s">
        <v>251</v>
      </c>
      <c r="I10" s="5" t="s">
        <v>252</v>
      </c>
      <c r="J10" s="5" t="s">
        <v>228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5" t="s">
        <v>253</v>
      </c>
      <c r="B11" s="5" t="s">
        <v>254</v>
      </c>
      <c r="C11" s="5" t="s">
        <v>255</v>
      </c>
      <c r="D11" s="5">
        <v>3</v>
      </c>
      <c r="E11" s="5">
        <v>3</v>
      </c>
      <c r="F11" s="5">
        <f t="shared" si="0"/>
        <v>9</v>
      </c>
      <c r="G11" s="5" t="s">
        <v>11</v>
      </c>
      <c r="H11" s="5" t="s">
        <v>256</v>
      </c>
      <c r="I11" s="5" t="s">
        <v>257</v>
      </c>
      <c r="J11" s="5" t="s">
        <v>228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J2"/>
  </mergeCells>
  <conditionalFormatting sqref="F5:F11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dataValidations count="1">
    <dataValidation type="list" sqref="J5:J11" xr:uid="{00000000-0002-0000-0500-000000000000}">
      <formula1>"Open,Monitoring,Closed,Escalated"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H2"/>
    </sheetView>
  </sheetViews>
  <sheetFormatPr defaultRowHeight="13.8"/>
  <cols>
    <col min="1" max="1" width="28" customWidth="1"/>
    <col min="2" max="2" width="35" customWidth="1"/>
    <col min="3" max="3" width="24" customWidth="1"/>
    <col min="4" max="4" width="20" customWidth="1"/>
    <col min="5" max="5" width="22" customWidth="1"/>
    <col min="6" max="6" width="18" customWidth="1"/>
    <col min="7" max="8" width="40" customWidth="1"/>
  </cols>
  <sheetData>
    <row r="1" spans="1:26">
      <c r="A1" s="16" t="s">
        <v>258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259</v>
      </c>
      <c r="B4" s="7" t="s">
        <v>260</v>
      </c>
      <c r="C4" s="7" t="s">
        <v>261</v>
      </c>
      <c r="D4" s="7" t="s">
        <v>262</v>
      </c>
      <c r="E4" s="7" t="s">
        <v>63</v>
      </c>
      <c r="F4" s="7" t="s">
        <v>263</v>
      </c>
      <c r="G4" s="7" t="s">
        <v>264</v>
      </c>
      <c r="H4" s="7" t="s">
        <v>265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5" t="s">
        <v>266</v>
      </c>
      <c r="B5" s="5" t="s">
        <v>267</v>
      </c>
      <c r="C5" s="5" t="s">
        <v>268</v>
      </c>
      <c r="D5" s="5" t="s">
        <v>21</v>
      </c>
      <c r="E5" s="5" t="s">
        <v>86</v>
      </c>
      <c r="F5" s="5" t="s">
        <v>269</v>
      </c>
      <c r="G5" s="5" t="s">
        <v>270</v>
      </c>
      <c r="H5" s="5" t="s">
        <v>271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5" t="s">
        <v>272</v>
      </c>
      <c r="B6" s="5" t="s">
        <v>273</v>
      </c>
      <c r="C6" s="5" t="s">
        <v>274</v>
      </c>
      <c r="D6" s="5" t="s">
        <v>275</v>
      </c>
      <c r="E6" s="5" t="s">
        <v>140</v>
      </c>
      <c r="F6" s="5" t="s">
        <v>276</v>
      </c>
      <c r="G6" s="5" t="s">
        <v>277</v>
      </c>
      <c r="H6" s="5" t="s">
        <v>278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5" t="s">
        <v>279</v>
      </c>
      <c r="B7" s="5" t="s">
        <v>280</v>
      </c>
      <c r="C7" s="5" t="s">
        <v>281</v>
      </c>
      <c r="D7" s="5" t="s">
        <v>21</v>
      </c>
      <c r="E7" s="5" t="s">
        <v>11</v>
      </c>
      <c r="F7" s="5" t="s">
        <v>282</v>
      </c>
      <c r="G7" s="5" t="s">
        <v>283</v>
      </c>
      <c r="H7" s="5" t="s">
        <v>284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5" t="s">
        <v>285</v>
      </c>
      <c r="B8" s="5" t="s">
        <v>286</v>
      </c>
      <c r="C8" s="5" t="s">
        <v>287</v>
      </c>
      <c r="D8" s="5" t="s">
        <v>21</v>
      </c>
      <c r="E8" s="5" t="s">
        <v>129</v>
      </c>
      <c r="F8" s="5" t="s">
        <v>288</v>
      </c>
      <c r="G8" s="5" t="s">
        <v>289</v>
      </c>
      <c r="H8" s="5" t="s">
        <v>290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5" t="s">
        <v>291</v>
      </c>
      <c r="B9" s="5" t="s">
        <v>292</v>
      </c>
      <c r="C9" s="5" t="s">
        <v>293</v>
      </c>
      <c r="D9" s="5" t="s">
        <v>21</v>
      </c>
      <c r="E9" s="5" t="s">
        <v>13</v>
      </c>
      <c r="F9" s="5" t="s">
        <v>294</v>
      </c>
      <c r="G9" s="5" t="s">
        <v>295</v>
      </c>
      <c r="H9" s="5" t="s">
        <v>296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5" t="s">
        <v>297</v>
      </c>
      <c r="B10" s="5" t="s">
        <v>298</v>
      </c>
      <c r="C10" s="5" t="s">
        <v>299</v>
      </c>
      <c r="D10" s="5" t="s">
        <v>300</v>
      </c>
      <c r="E10" s="5" t="s">
        <v>13</v>
      </c>
      <c r="F10" s="5" t="s">
        <v>301</v>
      </c>
      <c r="G10" s="5" t="s">
        <v>302</v>
      </c>
      <c r="H10" s="5" t="s">
        <v>303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tabSelected="1" workbookViewId="0">
      <selection sqref="A1:F2"/>
    </sheetView>
  </sheetViews>
  <sheetFormatPr defaultRowHeight="13.8"/>
  <cols>
    <col min="1" max="1" width="8" customWidth="1"/>
    <col min="2" max="2" width="42" customWidth="1"/>
    <col min="3" max="3" width="20" customWidth="1"/>
    <col min="4" max="4" width="32" customWidth="1"/>
    <col min="5" max="6" width="42" customWidth="1"/>
  </cols>
  <sheetData>
    <row r="1" spans="1:26">
      <c r="A1" s="16" t="s">
        <v>304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305</v>
      </c>
      <c r="B4" s="7" t="s">
        <v>306</v>
      </c>
      <c r="C4" s="7" t="s">
        <v>307</v>
      </c>
      <c r="D4" s="7" t="s">
        <v>308</v>
      </c>
      <c r="E4" s="7" t="s">
        <v>78</v>
      </c>
      <c r="F4" s="7" t="s">
        <v>309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5" t="s">
        <v>35</v>
      </c>
      <c r="B5" s="5" t="s">
        <v>310</v>
      </c>
      <c r="C5" s="5" t="s">
        <v>311</v>
      </c>
      <c r="D5" s="5" t="s">
        <v>312</v>
      </c>
      <c r="E5" s="5" t="s">
        <v>313</v>
      </c>
      <c r="F5" s="5" t="s">
        <v>314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5" t="s">
        <v>39</v>
      </c>
      <c r="B6" s="5" t="s">
        <v>315</v>
      </c>
      <c r="C6" s="5" t="s">
        <v>316</v>
      </c>
      <c r="D6" s="5" t="s">
        <v>317</v>
      </c>
      <c r="E6" s="5" t="s">
        <v>318</v>
      </c>
      <c r="F6" s="5" t="s">
        <v>319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5" t="s">
        <v>43</v>
      </c>
      <c r="B7" s="5" t="s">
        <v>320</v>
      </c>
      <c r="C7" s="5" t="s">
        <v>321</v>
      </c>
      <c r="D7" s="5" t="s">
        <v>322</v>
      </c>
      <c r="E7" s="5" t="s">
        <v>323</v>
      </c>
      <c r="F7" s="5" t="s">
        <v>324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47</v>
      </c>
      <c r="B8" s="5" t="s">
        <v>325</v>
      </c>
      <c r="C8" s="5" t="s">
        <v>31</v>
      </c>
      <c r="D8" s="5" t="s">
        <v>326</v>
      </c>
      <c r="E8" s="5" t="s">
        <v>327</v>
      </c>
      <c r="F8" s="5" t="s">
        <v>328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5" t="s">
        <v>51</v>
      </c>
      <c r="B9" s="5" t="s">
        <v>329</v>
      </c>
      <c r="C9" s="5" t="s">
        <v>330</v>
      </c>
      <c r="D9" s="5" t="s">
        <v>331</v>
      </c>
      <c r="E9" s="5" t="s">
        <v>332</v>
      </c>
      <c r="F9" s="5" t="s">
        <v>333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5" t="s">
        <v>334</v>
      </c>
      <c r="B10" s="5" t="s">
        <v>335</v>
      </c>
      <c r="C10" s="5" t="s">
        <v>336</v>
      </c>
      <c r="D10" s="5" t="s">
        <v>337</v>
      </c>
      <c r="E10" s="5" t="s">
        <v>338</v>
      </c>
      <c r="F10" s="5" t="s">
        <v>339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5" t="s">
        <v>340</v>
      </c>
      <c r="B11" s="5" t="s">
        <v>341</v>
      </c>
      <c r="C11" s="5" t="s">
        <v>342</v>
      </c>
      <c r="D11" s="5" t="s">
        <v>343</v>
      </c>
      <c r="E11" s="5" t="s">
        <v>344</v>
      </c>
      <c r="F11" s="5" t="s">
        <v>345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Gantt Chart</vt:lpstr>
      <vt:lpstr>Task Register</vt:lpstr>
      <vt:lpstr>Milestones</vt:lpstr>
      <vt:lpstr>Resources RACI</vt:lpstr>
      <vt:lpstr>Risk Register</vt:lpstr>
      <vt:lpstr>Communication Plan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2026-06-11T09:05:50Z</dcterms:modified>
</cp:coreProperties>
</file>
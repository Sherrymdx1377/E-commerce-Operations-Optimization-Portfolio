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13_ncr:1_{48E53531-1AA4-4CAE-83FF-265AFC48F7E3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Dashboard" sheetId="1" r:id="rId1"/>
    <sheet name="Simulated_Data" sheetId="2" r:id="rId2"/>
    <sheet name="Pareto_Analysis" sheetId="3" r:id="rId3"/>
    <sheet name="Control_Chart" sheetId="4" r:id="rId4"/>
    <sheet name="Root_Cause_Action_Plan" sheetId="5" r:id="rId5"/>
    <sheet name="Quality_Metrics" sheetId="6" r:id="rId6"/>
    <sheet name="Instruc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4" l="1"/>
  <c r="G13" i="4" s="1"/>
  <c r="D13" i="4"/>
  <c r="E12" i="4"/>
  <c r="G12" i="4" s="1"/>
  <c r="D12" i="4"/>
  <c r="F11" i="4"/>
  <c r="E11" i="4"/>
  <c r="G11" i="4" s="1"/>
  <c r="D11" i="4"/>
  <c r="E10" i="4"/>
  <c r="G10" i="4" s="1"/>
  <c r="D10" i="4"/>
  <c r="G9" i="4"/>
  <c r="F9" i="4"/>
  <c r="E9" i="4"/>
  <c r="D9" i="4"/>
  <c r="H9" i="4" s="1"/>
  <c r="G8" i="4"/>
  <c r="E8" i="4"/>
  <c r="F8" i="4" s="1"/>
  <c r="H8" i="4" s="1"/>
  <c r="D8" i="4"/>
  <c r="E7" i="4"/>
  <c r="G7" i="4" s="1"/>
  <c r="D7" i="4"/>
  <c r="G6" i="4"/>
  <c r="E6" i="4"/>
  <c r="F6" i="4" s="1"/>
  <c r="H6" i="4" s="1"/>
  <c r="D6" i="4"/>
  <c r="E5" i="4"/>
  <c r="G5" i="4" s="1"/>
  <c r="D5" i="4"/>
  <c r="E4" i="4"/>
  <c r="G4" i="4" s="1"/>
  <c r="D4" i="4"/>
  <c r="E3" i="4"/>
  <c r="G3" i="4" s="1"/>
  <c r="D3" i="4"/>
  <c r="E2" i="4"/>
  <c r="F2" i="4" s="1"/>
  <c r="D2" i="4"/>
  <c r="E7" i="3"/>
  <c r="D7" i="3"/>
  <c r="C7" i="3"/>
  <c r="E6" i="3"/>
  <c r="D6" i="3"/>
  <c r="C6" i="3"/>
  <c r="E5" i="3"/>
  <c r="D5" i="3"/>
  <c r="C5" i="3"/>
  <c r="D4" i="3"/>
  <c r="E4" i="3" s="1"/>
  <c r="C4" i="3"/>
  <c r="E3" i="3"/>
  <c r="D3" i="3"/>
  <c r="C3" i="3"/>
  <c r="E2" i="3"/>
  <c r="D2" i="3"/>
  <c r="C2" i="3"/>
  <c r="N13" i="2"/>
  <c r="M13" i="2"/>
  <c r="L13" i="2"/>
  <c r="P13" i="2" s="1"/>
  <c r="K13" i="2"/>
  <c r="N12" i="2"/>
  <c r="M12" i="2"/>
  <c r="K12" i="2"/>
  <c r="L12" i="2" s="1"/>
  <c r="N11" i="2"/>
  <c r="M11" i="2"/>
  <c r="L11" i="2"/>
  <c r="P11" i="2" s="1"/>
  <c r="K11" i="2"/>
  <c r="N10" i="2"/>
  <c r="M10" i="2"/>
  <c r="K10" i="2"/>
  <c r="L10" i="2" s="1"/>
  <c r="N9" i="2"/>
  <c r="M9" i="2"/>
  <c r="L9" i="2"/>
  <c r="P9" i="2" s="1"/>
  <c r="K9" i="2"/>
  <c r="N8" i="2"/>
  <c r="M8" i="2"/>
  <c r="K8" i="2"/>
  <c r="L8" i="2" s="1"/>
  <c r="N7" i="2"/>
  <c r="M7" i="2"/>
  <c r="L7" i="2"/>
  <c r="P7" i="2" s="1"/>
  <c r="K7" i="2"/>
  <c r="N6" i="2"/>
  <c r="M6" i="2"/>
  <c r="K6" i="2"/>
  <c r="L6" i="2" s="1"/>
  <c r="N5" i="2"/>
  <c r="M5" i="2"/>
  <c r="L5" i="2"/>
  <c r="P5" i="2" s="1"/>
  <c r="K5" i="2"/>
  <c r="N4" i="2"/>
  <c r="M4" i="2"/>
  <c r="K4" i="2"/>
  <c r="L4" i="2" s="1"/>
  <c r="N3" i="2"/>
  <c r="M3" i="2"/>
  <c r="L3" i="2"/>
  <c r="P3" i="2" s="1"/>
  <c r="K3" i="2"/>
  <c r="N2" i="2"/>
  <c r="M2" i="2"/>
  <c r="K2" i="2"/>
  <c r="L2" i="2" s="1"/>
  <c r="O10" i="2" l="1"/>
  <c r="P10" i="2"/>
  <c r="O8" i="2"/>
  <c r="P8" i="2"/>
  <c r="O4" i="2"/>
  <c r="P4" i="2"/>
  <c r="H10" i="4"/>
  <c r="H11" i="4"/>
  <c r="H12" i="4"/>
  <c r="O12" i="2"/>
  <c r="P12" i="2"/>
  <c r="O2" i="2"/>
  <c r="P2" i="2"/>
  <c r="O6" i="2"/>
  <c r="P6" i="2"/>
  <c r="F4" i="4"/>
  <c r="H4" i="4" s="1"/>
  <c r="G2" i="4"/>
  <c r="H2" i="4" s="1"/>
  <c r="F7" i="4"/>
  <c r="H7" i="4" s="1"/>
  <c r="O3" i="2"/>
  <c r="O5" i="2"/>
  <c r="O7" i="2"/>
  <c r="O9" i="2"/>
  <c r="O11" i="2"/>
  <c r="O13" i="2"/>
  <c r="F12" i="4"/>
  <c r="F5" i="4"/>
  <c r="H5" i="4" s="1"/>
  <c r="F10" i="4"/>
  <c r="F3" i="4"/>
  <c r="H3" i="4" s="1"/>
  <c r="F13" i="4"/>
  <c r="H13" i="4" s="1"/>
</calcChain>
</file>

<file path=xl/sharedStrings.xml><?xml version="1.0" encoding="utf-8"?>
<sst xmlns="http://schemas.openxmlformats.org/spreadsheetml/2006/main" count="283" uniqueCount="180">
  <si>
    <t>Quality Control and Operational Performance Dashboard</t>
  </si>
  <si>
    <t>Month</t>
  </si>
  <si>
    <t>Defect Rate</t>
  </si>
  <si>
    <t>UCL</t>
  </si>
  <si>
    <t>Center Line</t>
  </si>
  <si>
    <t>LCL</t>
  </si>
  <si>
    <t>Issue Type</t>
  </si>
  <si>
    <t>Incident Count</t>
  </si>
  <si>
    <t>Complaint Rate</t>
  </si>
  <si>
    <t>Scenario: E-commerce order fulfillment quality control using simulated monthly performance data for 2026.</t>
  </si>
  <si>
    <t>Jan 2026</t>
  </si>
  <si>
    <t>Late deliveries</t>
  </si>
  <si>
    <t>Feb 2026</t>
  </si>
  <si>
    <t>Picking errors</t>
  </si>
  <si>
    <t>KPI</t>
  </si>
  <si>
    <t>Value</t>
  </si>
  <si>
    <t>Meaning</t>
  </si>
  <si>
    <t>Target / Note</t>
  </si>
  <si>
    <t>Mar 2026</t>
  </si>
  <si>
    <t>Packing errors</t>
  </si>
  <si>
    <t>Total Orders</t>
  </si>
  <si>
    <t>Total processed orders</t>
  </si>
  <si>
    <t>Apr 2026</t>
  </si>
  <si>
    <t>Wrong item shipped</t>
  </si>
  <si>
    <t>Total Quality Incidents</t>
  </si>
  <si>
    <t>All late, picking, packing, wrong-item, damaged and processing issues</t>
  </si>
  <si>
    <t>May 2026</t>
  </si>
  <si>
    <t>Damaged items</t>
  </si>
  <si>
    <t>Average Defect Rate</t>
  </si>
  <si>
    <t>Quality incidents divided by total orders</t>
  </si>
  <si>
    <t>Target &lt;= 15%</t>
  </si>
  <si>
    <t>Jun 2026</t>
  </si>
  <si>
    <t>Processing/cancellation errors</t>
  </si>
  <si>
    <t>Average Order Accuracy</t>
  </si>
  <si>
    <t>Orders without picking, packing, wrong-item or damage issues</t>
  </si>
  <si>
    <t>Target &gt;= 94%</t>
  </si>
  <si>
    <t>Jul 2026</t>
  </si>
  <si>
    <t>Average Complaint Rate</t>
  </si>
  <si>
    <t>Customer complaints divided by total orders</t>
  </si>
  <si>
    <t>Target &lt;= 5%</t>
  </si>
  <si>
    <t>Aug 2026</t>
  </si>
  <si>
    <t>Average Processing Time</t>
  </si>
  <si>
    <t>Weighted average processing hours</t>
  </si>
  <si>
    <t>Target &lt;= 24 hrs</t>
  </si>
  <si>
    <t>Sep 2026</t>
  </si>
  <si>
    <t>Top Issue Category</t>
  </si>
  <si>
    <t>Largest defect driver by volume</t>
  </si>
  <si>
    <t>Oct 2026</t>
  </si>
  <si>
    <t>Months Above UCL</t>
  </si>
  <si>
    <t>Control chart months above upper control limit</t>
  </si>
  <si>
    <t>Nov 2026</t>
  </si>
  <si>
    <t>Dec 2026</t>
  </si>
  <si>
    <t>Finding</t>
  </si>
  <si>
    <t>Evidence</t>
  </si>
  <si>
    <t>Operational meaning</t>
  </si>
  <si>
    <t>Action priority</t>
  </si>
  <si>
    <t>Late deliveries dominate defects</t>
  </si>
  <si>
    <t>6,700 cases</t>
  </si>
  <si>
    <t>Courier handoff and delivery reliability are the biggest quality risks</t>
  </si>
  <si>
    <t>High</t>
  </si>
  <si>
    <t>Peak months breach control limits</t>
  </si>
  <si>
    <t>Nov and Dec above UCL</t>
  </si>
  <si>
    <t>Demand peaks are creating unstable performance</t>
  </si>
  <si>
    <t>Picking and packing errors are material</t>
  </si>
  <si>
    <t>3,363 combined cases</t>
  </si>
  <si>
    <t>Warehouse quality gates require stronger checks</t>
  </si>
  <si>
    <t>Medium</t>
  </si>
  <si>
    <t>Complaints rise with defect rate</t>
  </si>
  <si>
    <t>Complaint rate reaches 7.0% in Dec</t>
  </si>
  <si>
    <t>Customer experience declines when defects are not controlled early</t>
  </si>
  <si>
    <t>Late Deliveries</t>
  </si>
  <si>
    <t>Picking Errors</t>
  </si>
  <si>
    <t>Packing Errors</t>
  </si>
  <si>
    <t>Damaged Items</t>
  </si>
  <si>
    <t>Wrong Item Shipped</t>
  </si>
  <si>
    <t>Processing/Cancellation Errors</t>
  </si>
  <si>
    <t>Customer Complaints</t>
  </si>
  <si>
    <t>Avg Processing Time (hrs)</t>
  </si>
  <si>
    <t>Order Accuracy Rate</t>
  </si>
  <si>
    <t>First-Time-Right Rate</t>
  </si>
  <si>
    <t>Quality Status</t>
  </si>
  <si>
    <t>Issue Count</t>
  </si>
  <si>
    <t>Share of Total</t>
  </si>
  <si>
    <t>Cumulative Count</t>
  </si>
  <si>
    <t>Cumulative %</t>
  </si>
  <si>
    <t>Primary Root Cause</t>
  </si>
  <si>
    <t>Corrective Action</t>
  </si>
  <si>
    <t>Courier capacity gaps, peak-season handoff delays, weak exception alerts</t>
  </si>
  <si>
    <t>Introduce courier SLA review, delay alerts, and daily at-risk order list</t>
  </si>
  <si>
    <t>Manual pick verification, similar SKU locations, limited barcode checks</t>
  </si>
  <si>
    <t>Implement barcode scan before packing and slot high-risk SKUs separately</t>
  </si>
  <si>
    <t>Incomplete packing checklist, rushed packing during high-volume periods</t>
  </si>
  <si>
    <t>Add final packing checklist and quality gate before dispatch</t>
  </si>
  <si>
    <t>Incorrect SKU confirmation and inconsistent final dispatch validation</t>
  </si>
  <si>
    <t>Require SKU validation at pack-out and dispatch stage</t>
  </si>
  <si>
    <t>Packaging material mismatch and inadequate damage inspection</t>
  </si>
  <si>
    <t>Use category-specific packaging standards and random outbound checks</t>
  </si>
  <si>
    <t>Manual order updates, cancellation timing gaps, incomplete status checks</t>
  </si>
  <si>
    <t>Standardize order status fields and add same-day exception review</t>
  </si>
  <si>
    <t>Control Status</t>
  </si>
  <si>
    <t>Failure Point</t>
  </si>
  <si>
    <t>Evidence / Trigger</t>
  </si>
  <si>
    <t>Root Cause</t>
  </si>
  <si>
    <t>Owner</t>
  </si>
  <si>
    <t>Priority</t>
  </si>
  <si>
    <t>Target Timeline</t>
  </si>
  <si>
    <t>Expected KPI Impact</t>
  </si>
  <si>
    <t>Late deliveries after dispatch</t>
  </si>
  <si>
    <t>Late deliveries are the largest issue category</t>
  </si>
  <si>
    <t>Courier capacity gaps and weak SLA visibility</t>
  </si>
  <si>
    <t>Create courier SLA tracker, daily delay alerts and escalation process</t>
  </si>
  <si>
    <t>Operations Coordinator</t>
  </si>
  <si>
    <t>2 weeks</t>
  </si>
  <si>
    <t>Reduce late delivery rate by 10-15%</t>
  </si>
  <si>
    <t>Picking errors in warehouse</t>
  </si>
  <si>
    <t>Picking errors are second-largest issue category</t>
  </si>
  <si>
    <t>Manual picking and similar SKU locations</t>
  </si>
  <si>
    <t>Use barcode scanning, pick-list validation and high-risk SKU separation</t>
  </si>
  <si>
    <t>Warehouse Supervisor</t>
  </si>
  <si>
    <t>3 weeks</t>
  </si>
  <si>
    <t>Improve order accuracy by 1.5-2.0 pp</t>
  </si>
  <si>
    <t>Packing errors before handoff</t>
  </si>
  <si>
    <t>Packing errors increase during high-volume months</t>
  </si>
  <si>
    <t>Incomplete checklist and rushed pack-out</t>
  </si>
  <si>
    <t>Add final packing checklist, double-check for fragile/high-value items</t>
  </si>
  <si>
    <t>Packing Lead</t>
  </si>
  <si>
    <t>Reduce packing errors by 15%</t>
  </si>
  <si>
    <t>Wrong item rate increases in peak months</t>
  </si>
  <si>
    <t>SKU confirmation not repeated at dispatch</t>
  </si>
  <si>
    <t>Add final SKU validation at dispatch and exception log</t>
  </si>
  <si>
    <t>Quality Control Assistant</t>
  </si>
  <si>
    <t>Improve first-time-right rate</t>
  </si>
  <si>
    <t>Damage cases increase with volume</t>
  </si>
  <si>
    <t>Packaging standards not matched by category</t>
  </si>
  <si>
    <t>Create category packaging matrix and random outbound checks</t>
  </si>
  <si>
    <t>4 weeks</t>
  </si>
  <si>
    <t>Reduce damage cases by 10%</t>
  </si>
  <si>
    <t>Manual update errors and delayed status checks</t>
  </si>
  <si>
    <t>Inconsistent order status ownership</t>
  </si>
  <si>
    <t>Standardize status updates and same-day exception review</t>
  </si>
  <si>
    <t>Customer Service Lead</t>
  </si>
  <si>
    <t>Lower complaint rate and status disputes</t>
  </si>
  <si>
    <t>Metric</t>
  </si>
  <si>
    <t>Formula / Definition</t>
  </si>
  <si>
    <t>Operational Use</t>
  </si>
  <si>
    <t>Target</t>
  </si>
  <si>
    <t>Total quality incidents / Total orders</t>
  </si>
  <si>
    <t>Shows the share of orders affected by quality issues</t>
  </si>
  <si>
    <t>&lt;= 15%</t>
  </si>
  <si>
    <t>1 - (picking + packing + damaged + wrong item issues) / Total orders</t>
  </si>
  <si>
    <t>Measures fulfillment accuracy before and during dispatch</t>
  </si>
  <si>
    <t>&gt;= 94%</t>
  </si>
  <si>
    <t>Customer complaints / Total orders</t>
  </si>
  <si>
    <t>Captures customer-facing quality impact</t>
  </si>
  <si>
    <t>&lt;= 5%</t>
  </si>
  <si>
    <t>1 - Defect rate</t>
  </si>
  <si>
    <t>Shows the proportion of orders completed without quality incident</t>
  </si>
  <si>
    <t>&gt;= 85%</t>
  </si>
  <si>
    <t>Average hours from order confirmation to warehouse dispatch</t>
  </si>
  <si>
    <t>Shows warehouse throughput speed</t>
  </si>
  <si>
    <t>&lt;= 24 hrs</t>
  </si>
  <si>
    <t>Control Chart UCL/LCL</t>
  </si>
  <si>
    <t>Center line +/- 3 standard errors</t>
  </si>
  <si>
    <t>Detects unstable quality performance and special-cause variation</t>
  </si>
  <si>
    <t>Stay within limits</t>
  </si>
  <si>
    <t>How to Use This Workbook</t>
  </si>
  <si>
    <t>Step</t>
  </si>
  <si>
    <t>Instruction</t>
  </si>
  <si>
    <t>1</t>
  </si>
  <si>
    <t>Use the Simulated_Data sheet to review or edit monthly operational performance figures.</t>
  </si>
  <si>
    <t>2</t>
  </si>
  <si>
    <t>The formulas calculate total incidents, defect rate, order accuracy, complaint rate and first-time-right rate.</t>
  </si>
  <si>
    <t>3</t>
  </si>
  <si>
    <t>The Pareto_Analysis sheet ranks issue categories by volume and links each to root causes and corrective actions.</t>
  </si>
  <si>
    <t>4</t>
  </si>
  <si>
    <t>The Control_Chart sheet applies a p-chart style approach using the monthly defect rate, center line, UCL and LCL.</t>
  </si>
  <si>
    <t>5</t>
  </si>
  <si>
    <t>The Dashboard summarizes KPIs and key findings for the Word report.</t>
  </si>
  <si>
    <t>6</t>
  </si>
  <si>
    <t>If you edit underlying simulated data, formulas will update automatically; review chart ranges if you add new months or issue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</si>
</sst>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>
    <font>
      <sz val="11"/>
      <name val="Carlito"/>
    </font>
    <font>
      <b/>
      <sz val="18"/>
      <color rgb="FFFFFFFF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DC2626"/>
      </font>
      <fill>
        <patternFill patternType="solid">
          <bgColor rgb="FFFEE2E2"/>
        </patternFill>
      </fill>
    </dxf>
    <dxf>
      <font>
        <b/>
        <color rgb="FFDC2626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Defect Rate vs Control Limits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Defect Rate</c:v>
          </c:tx>
          <c:cat>
            <c:strRef>
              <c:f>Dashboard!$P$2:$P$13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Dashboard!$Q$2:$Q$13</c:f>
              <c:numCache>
                <c:formatCode>0.0%</c:formatCode>
                <c:ptCount val="12"/>
                <c:pt idx="0">
                  <c:v>0.1348076923076923</c:v>
                </c:pt>
                <c:pt idx="1">
                  <c:v>0.13500000000000001</c:v>
                </c:pt>
                <c:pt idx="2">
                  <c:v>0.13634782608695653</c:v>
                </c:pt>
                <c:pt idx="3">
                  <c:v>0.14466666666666667</c:v>
                </c:pt>
                <c:pt idx="4">
                  <c:v>0.14713178294573642</c:v>
                </c:pt>
                <c:pt idx="5">
                  <c:v>0.15478260869565216</c:v>
                </c:pt>
                <c:pt idx="6">
                  <c:v>0.16137931034482758</c:v>
                </c:pt>
                <c:pt idx="7">
                  <c:v>0.15507042253521128</c:v>
                </c:pt>
                <c:pt idx="8">
                  <c:v>0.14573529411764705</c:v>
                </c:pt>
                <c:pt idx="9">
                  <c:v>0.16256756756756757</c:v>
                </c:pt>
                <c:pt idx="10">
                  <c:v>0.17646341463414633</c:v>
                </c:pt>
                <c:pt idx="11">
                  <c:v>0.18472527472527472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98-47CF-A4E1-B4B3EBEF4397}"/>
            </c:ext>
          </c:extLst>
        </c:ser>
        <c:ser>
          <c:idx val="1"/>
          <c:order val="1"/>
          <c:tx>
            <c:v>UCL</c:v>
          </c:tx>
          <c:cat>
            <c:strRef>
              <c:f>Dashboard!$P$2:$P$13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Dashboard!$R$2:$R$13</c:f>
              <c:numCache>
                <c:formatCode>0.0%</c:formatCode>
                <c:ptCount val="12"/>
                <c:pt idx="0">
                  <c:v>0.17071584779748589</c:v>
                </c:pt>
                <c:pt idx="1">
                  <c:v>0.17043393008338992</c:v>
                </c:pt>
                <c:pt idx="2">
                  <c:v>0.1699764440451953</c:v>
                </c:pt>
                <c:pt idx="3">
                  <c:v>0.16967447624674376</c:v>
                </c:pt>
                <c:pt idx="4">
                  <c:v>0.16917585837845447</c:v>
                </c:pt>
                <c:pt idx="5">
                  <c:v>0.16872685075811134</c:v>
                </c:pt>
                <c:pt idx="6">
                  <c:v>0.16840692145315575</c:v>
                </c:pt>
                <c:pt idx="7">
                  <c:v>0.16854113538153129</c:v>
                </c:pt>
                <c:pt idx="8">
                  <c:v>0.16882276611178312</c:v>
                </c:pt>
                <c:pt idx="9">
                  <c:v>0.16827680931901831</c:v>
                </c:pt>
                <c:pt idx="10">
                  <c:v>0.16764429212701648</c:v>
                </c:pt>
                <c:pt idx="11">
                  <c:v>0.16703494687376846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98-47CF-A4E1-B4B3EBEF4397}"/>
            </c:ext>
          </c:extLst>
        </c:ser>
        <c:ser>
          <c:idx val="2"/>
          <c:order val="2"/>
          <c:tx>
            <c:v>Center Line</c:v>
          </c:tx>
          <c:cat>
            <c:strRef>
              <c:f>Dashboard!$P$2:$P$13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Dashboard!$S$2:$S$13</c:f>
              <c:numCache>
                <c:formatCode>0.0%</c:formatCode>
                <c:ptCount val="12"/>
                <c:pt idx="0">
                  <c:v>0.15563458001226241</c:v>
                </c:pt>
                <c:pt idx="1">
                  <c:v>0.15563458001226241</c:v>
                </c:pt>
                <c:pt idx="2">
                  <c:v>0.15563458001226241</c:v>
                </c:pt>
                <c:pt idx="3">
                  <c:v>0.15563458001226241</c:v>
                </c:pt>
                <c:pt idx="4">
                  <c:v>0.15563458001226241</c:v>
                </c:pt>
                <c:pt idx="5">
                  <c:v>0.15563458001226241</c:v>
                </c:pt>
                <c:pt idx="6">
                  <c:v>0.15563458001226241</c:v>
                </c:pt>
                <c:pt idx="7">
                  <c:v>0.15563458001226241</c:v>
                </c:pt>
                <c:pt idx="8">
                  <c:v>0.15563458001226241</c:v>
                </c:pt>
                <c:pt idx="9">
                  <c:v>0.15563458001226241</c:v>
                </c:pt>
                <c:pt idx="10">
                  <c:v>0.15563458001226241</c:v>
                </c:pt>
                <c:pt idx="11">
                  <c:v>0.15563458001226241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98-47CF-A4E1-B4B3EBEF4397}"/>
            </c:ext>
          </c:extLst>
        </c:ser>
        <c:ser>
          <c:idx val="3"/>
          <c:order val="3"/>
          <c:tx>
            <c:v>LCL</c:v>
          </c:tx>
          <c:cat>
            <c:strRef>
              <c:f>Dashboard!$P$2:$P$13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Dashboard!$T$2:$T$13</c:f>
              <c:numCache>
                <c:formatCode>0.0%</c:formatCode>
                <c:ptCount val="12"/>
                <c:pt idx="0">
                  <c:v>0.14055331222703893</c:v>
                </c:pt>
                <c:pt idx="1">
                  <c:v>0.1408352299411349</c:v>
                </c:pt>
                <c:pt idx="2">
                  <c:v>0.14129271597932952</c:v>
                </c:pt>
                <c:pt idx="3">
                  <c:v>0.14159468377778106</c:v>
                </c:pt>
                <c:pt idx="4">
                  <c:v>0.14209330164607034</c:v>
                </c:pt>
                <c:pt idx="5">
                  <c:v>0.14254230926641348</c:v>
                </c:pt>
                <c:pt idx="6">
                  <c:v>0.14286223857136907</c:v>
                </c:pt>
                <c:pt idx="7">
                  <c:v>0.14272802464299353</c:v>
                </c:pt>
                <c:pt idx="8">
                  <c:v>0.14244639391274169</c:v>
                </c:pt>
                <c:pt idx="9">
                  <c:v>0.1429923507055065</c:v>
                </c:pt>
                <c:pt idx="10">
                  <c:v>0.14362486789750833</c:v>
                </c:pt>
                <c:pt idx="11">
                  <c:v>0.14423421315075635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98-47CF-A4E1-B4B3EBEF4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Quality Issue Categories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Incident Count</c:v>
          </c:tx>
          <c:invertIfNegative val="1"/>
          <c:cat>
            <c:strRef>
              <c:f>Dashboard!$V$2:$V$7</c:f>
              <c:strCache>
                <c:ptCount val="6"/>
                <c:pt idx="0">
                  <c:v>Late deliveries</c:v>
                </c:pt>
                <c:pt idx="1">
                  <c:v>Picking errors</c:v>
                </c:pt>
                <c:pt idx="2">
                  <c:v>Packing errors</c:v>
                </c:pt>
                <c:pt idx="3">
                  <c:v>Wrong item shipped</c:v>
                </c:pt>
                <c:pt idx="4">
                  <c:v>Damaged items</c:v>
                </c:pt>
                <c:pt idx="5">
                  <c:v>Processing/cancellation errors</c:v>
                </c:pt>
              </c:strCache>
            </c:strRef>
          </c:cat>
          <c:val>
            <c:numRef>
              <c:f>Dashboard!$W$2:$W$7</c:f>
              <c:numCache>
                <c:formatCode>#,##0</c:formatCode>
                <c:ptCount val="6"/>
                <c:pt idx="0">
                  <c:v>6700</c:v>
                </c:pt>
                <c:pt idx="1">
                  <c:v>1970</c:v>
                </c:pt>
                <c:pt idx="2">
                  <c:v>1393</c:v>
                </c:pt>
                <c:pt idx="3">
                  <c:v>969</c:v>
                </c:pt>
                <c:pt idx="4">
                  <c:v>949</c:v>
                </c:pt>
                <c:pt idx="5">
                  <c:v>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5-406A-ACC4-59BDA4D82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Complaint Rate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Complaint Rate</c:v>
          </c:tx>
          <c:cat>
            <c:strRef>
              <c:f>Dashboard!$Y$2:$Y$13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Dashboard!$Z$2:$Z$13</c:f>
              <c:numCache>
                <c:formatCode>0.0%</c:formatCode>
                <c:ptCount val="12"/>
                <c:pt idx="0">
                  <c:v>4.230769230769231E-2</c:v>
                </c:pt>
                <c:pt idx="1">
                  <c:v>4.2592592592592592E-2</c:v>
                </c:pt>
                <c:pt idx="2">
                  <c:v>4.3478260869565216E-2</c:v>
                </c:pt>
                <c:pt idx="3">
                  <c:v>4.6666666666666669E-2</c:v>
                </c:pt>
                <c:pt idx="4">
                  <c:v>4.8837209302325581E-2</c:v>
                </c:pt>
                <c:pt idx="5">
                  <c:v>5.1449275362318837E-2</c:v>
                </c:pt>
                <c:pt idx="6">
                  <c:v>5.3793103448275863E-2</c:v>
                </c:pt>
                <c:pt idx="7">
                  <c:v>5.1408450704225353E-2</c:v>
                </c:pt>
                <c:pt idx="8">
                  <c:v>4.8529411764705883E-2</c:v>
                </c:pt>
                <c:pt idx="9">
                  <c:v>5.4729729729729733E-2</c:v>
                </c:pt>
                <c:pt idx="10">
                  <c:v>6.3414634146341464E-2</c:v>
                </c:pt>
                <c:pt idx="11">
                  <c:v>7.032967032967033E-2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99-41AA-895B-07DC4C243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Pareto Chart - Quality Issues by Volume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Issue Count</c:v>
          </c:tx>
          <c:invertIfNegative val="1"/>
          <c:cat>
            <c:strRef>
              <c:f>Pareto_Analysis!$A$2:$A$7</c:f>
              <c:strCache>
                <c:ptCount val="6"/>
                <c:pt idx="0">
                  <c:v>Late deliveries</c:v>
                </c:pt>
                <c:pt idx="1">
                  <c:v>Picking errors</c:v>
                </c:pt>
                <c:pt idx="2">
                  <c:v>Packing errors</c:v>
                </c:pt>
                <c:pt idx="3">
                  <c:v>Wrong item shipped</c:v>
                </c:pt>
                <c:pt idx="4">
                  <c:v>Damaged items</c:v>
                </c:pt>
                <c:pt idx="5">
                  <c:v>Processing/cancellation errors</c:v>
                </c:pt>
              </c:strCache>
            </c:strRef>
          </c:cat>
          <c:val>
            <c:numRef>
              <c:f>Pareto_Analysis!$B$2:$B$7</c:f>
              <c:numCache>
                <c:formatCode>#,##0</c:formatCode>
                <c:ptCount val="6"/>
                <c:pt idx="0">
                  <c:v>6700</c:v>
                </c:pt>
                <c:pt idx="1">
                  <c:v>1970</c:v>
                </c:pt>
                <c:pt idx="2">
                  <c:v>1393</c:v>
                </c:pt>
                <c:pt idx="3">
                  <c:v>969</c:v>
                </c:pt>
                <c:pt idx="4">
                  <c:v>949</c:v>
                </c:pt>
                <c:pt idx="5">
                  <c:v>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F-4228-97F4-461804E47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Pareto Cumulative Percentage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Cumulative %</c:v>
          </c:tx>
          <c:cat>
            <c:strRef>
              <c:f>Pareto_Analysis!$I$2:$I$7</c:f>
              <c:strCache>
                <c:ptCount val="6"/>
                <c:pt idx="0">
                  <c:v>Late deliveries</c:v>
                </c:pt>
                <c:pt idx="1">
                  <c:v>Picking errors</c:v>
                </c:pt>
                <c:pt idx="2">
                  <c:v>Packing errors</c:v>
                </c:pt>
                <c:pt idx="3">
                  <c:v>Wrong item shipped</c:v>
                </c:pt>
                <c:pt idx="4">
                  <c:v>Damaged items</c:v>
                </c:pt>
                <c:pt idx="5">
                  <c:v>Processing/cancellation errors</c:v>
                </c:pt>
              </c:strCache>
            </c:strRef>
          </c:cat>
          <c:val>
            <c:numRef>
              <c:f>Pareto_Analysis!$J$2:$J$7</c:f>
              <c:numCache>
                <c:formatCode>0.0%</c:formatCode>
                <c:ptCount val="6"/>
                <c:pt idx="0">
                  <c:v>0.52789158525055158</c:v>
                </c:pt>
                <c:pt idx="1">
                  <c:v>0.6831074692719824</c:v>
                </c:pt>
                <c:pt idx="2">
                  <c:v>0.79286164513079105</c:v>
                </c:pt>
                <c:pt idx="3">
                  <c:v>0.86920895052001257</c:v>
                </c:pt>
                <c:pt idx="4">
                  <c:v>0.94398046013236681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7-4D8C-BEFD-EF5F9DB10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Control Chart - Monthly Defect Rate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Defect Rate</c:v>
          </c:tx>
          <c:cat>
            <c:strRef>
              <c:f>Control_Chart!$J$2:$J$13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Control_Chart!$K$2:$K$13</c:f>
              <c:numCache>
                <c:formatCode>0.0%</c:formatCode>
                <c:ptCount val="12"/>
                <c:pt idx="0">
                  <c:v>0.1348076923076923</c:v>
                </c:pt>
                <c:pt idx="1">
                  <c:v>0.13500000000000001</c:v>
                </c:pt>
                <c:pt idx="2">
                  <c:v>0.13634782608695653</c:v>
                </c:pt>
                <c:pt idx="3">
                  <c:v>0.14466666666666667</c:v>
                </c:pt>
                <c:pt idx="4">
                  <c:v>0.14713178294573642</c:v>
                </c:pt>
                <c:pt idx="5">
                  <c:v>0.15478260869565216</c:v>
                </c:pt>
                <c:pt idx="6">
                  <c:v>0.16137931034482758</c:v>
                </c:pt>
                <c:pt idx="7">
                  <c:v>0.15507042253521128</c:v>
                </c:pt>
                <c:pt idx="8">
                  <c:v>0.14573529411764705</c:v>
                </c:pt>
                <c:pt idx="9">
                  <c:v>0.16256756756756757</c:v>
                </c:pt>
                <c:pt idx="10">
                  <c:v>0.17646341463414633</c:v>
                </c:pt>
                <c:pt idx="11">
                  <c:v>0.18472527472527472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1F-4B2D-9492-68259E789AAD}"/>
            </c:ext>
          </c:extLst>
        </c:ser>
        <c:ser>
          <c:idx val="1"/>
          <c:order val="1"/>
          <c:tx>
            <c:v>Center Line</c:v>
          </c:tx>
          <c:cat>
            <c:strRef>
              <c:f>Control_Chart!$J$2:$J$13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Control_Chart!$L$2:$L$13</c:f>
              <c:numCache>
                <c:formatCode>0.0%</c:formatCode>
                <c:ptCount val="12"/>
                <c:pt idx="0">
                  <c:v>0.15563458001226241</c:v>
                </c:pt>
                <c:pt idx="1">
                  <c:v>0.15563458001226241</c:v>
                </c:pt>
                <c:pt idx="2">
                  <c:v>0.15563458001226241</c:v>
                </c:pt>
                <c:pt idx="3">
                  <c:v>0.15563458001226241</c:v>
                </c:pt>
                <c:pt idx="4">
                  <c:v>0.15563458001226241</c:v>
                </c:pt>
                <c:pt idx="5">
                  <c:v>0.15563458001226241</c:v>
                </c:pt>
                <c:pt idx="6">
                  <c:v>0.15563458001226241</c:v>
                </c:pt>
                <c:pt idx="7">
                  <c:v>0.15563458001226241</c:v>
                </c:pt>
                <c:pt idx="8">
                  <c:v>0.15563458001226241</c:v>
                </c:pt>
                <c:pt idx="9">
                  <c:v>0.15563458001226241</c:v>
                </c:pt>
                <c:pt idx="10">
                  <c:v>0.15563458001226241</c:v>
                </c:pt>
                <c:pt idx="11">
                  <c:v>0.15563458001226241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1F-4B2D-9492-68259E789AAD}"/>
            </c:ext>
          </c:extLst>
        </c:ser>
        <c:ser>
          <c:idx val="2"/>
          <c:order val="2"/>
          <c:tx>
            <c:v>UCL</c:v>
          </c:tx>
          <c:cat>
            <c:strRef>
              <c:f>Control_Chart!$J$2:$J$13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Control_Chart!$M$2:$M$13</c:f>
              <c:numCache>
                <c:formatCode>0.0%</c:formatCode>
                <c:ptCount val="12"/>
                <c:pt idx="0">
                  <c:v>0.17071584779748589</c:v>
                </c:pt>
                <c:pt idx="1">
                  <c:v>0.17043393008338992</c:v>
                </c:pt>
                <c:pt idx="2">
                  <c:v>0.1699764440451953</c:v>
                </c:pt>
                <c:pt idx="3">
                  <c:v>0.16967447624674376</c:v>
                </c:pt>
                <c:pt idx="4">
                  <c:v>0.16917585837845447</c:v>
                </c:pt>
                <c:pt idx="5">
                  <c:v>0.16872685075811134</c:v>
                </c:pt>
                <c:pt idx="6">
                  <c:v>0.16840692145315575</c:v>
                </c:pt>
                <c:pt idx="7">
                  <c:v>0.16854113538153129</c:v>
                </c:pt>
                <c:pt idx="8">
                  <c:v>0.16882276611178312</c:v>
                </c:pt>
                <c:pt idx="9">
                  <c:v>0.16827680931901831</c:v>
                </c:pt>
                <c:pt idx="10">
                  <c:v>0.16764429212701648</c:v>
                </c:pt>
                <c:pt idx="11">
                  <c:v>0.16703494687376846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1F-4B2D-9492-68259E789AAD}"/>
            </c:ext>
          </c:extLst>
        </c:ser>
        <c:ser>
          <c:idx val="3"/>
          <c:order val="3"/>
          <c:tx>
            <c:v>LCL</c:v>
          </c:tx>
          <c:cat>
            <c:strRef>
              <c:f>Control_Chart!$J$2:$J$13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Control_Chart!$N$2:$N$13</c:f>
              <c:numCache>
                <c:formatCode>0.0%</c:formatCode>
                <c:ptCount val="12"/>
                <c:pt idx="0">
                  <c:v>0.14055331222703893</c:v>
                </c:pt>
                <c:pt idx="1">
                  <c:v>0.1408352299411349</c:v>
                </c:pt>
                <c:pt idx="2">
                  <c:v>0.14129271597932952</c:v>
                </c:pt>
                <c:pt idx="3">
                  <c:v>0.14159468377778106</c:v>
                </c:pt>
                <c:pt idx="4">
                  <c:v>0.14209330164607034</c:v>
                </c:pt>
                <c:pt idx="5">
                  <c:v>0.14254230926641348</c:v>
                </c:pt>
                <c:pt idx="6">
                  <c:v>0.14286223857136907</c:v>
                </c:pt>
                <c:pt idx="7">
                  <c:v>0.14272802464299353</c:v>
                </c:pt>
                <c:pt idx="8">
                  <c:v>0.14244639391274169</c:v>
                </c:pt>
                <c:pt idx="9">
                  <c:v>0.1429923507055065</c:v>
                </c:pt>
                <c:pt idx="10">
                  <c:v>0.14362486789750833</c:v>
                </c:pt>
                <c:pt idx="11">
                  <c:v>0.14423421315075635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1F-4B2D-9492-68259E789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lityDataTable" displayName="QualityDataTable" ref="A1:P13">
  <tableColumns count="16">
    <tableColumn id="1" xr3:uid="{00000000-0010-0000-0000-000001000000}" name="Month"/>
    <tableColumn id="2" xr3:uid="{00000000-0010-0000-0000-000002000000}" name="Total Orders"/>
    <tableColumn id="3" xr3:uid="{00000000-0010-0000-0000-000003000000}" name="Late Deliveries"/>
    <tableColumn id="4" xr3:uid="{00000000-0010-0000-0000-000004000000}" name="Picking Errors"/>
    <tableColumn id="5" xr3:uid="{00000000-0010-0000-0000-000005000000}" name="Packing Errors"/>
    <tableColumn id="6" xr3:uid="{00000000-0010-0000-0000-000006000000}" name="Damaged Items"/>
    <tableColumn id="7" xr3:uid="{00000000-0010-0000-0000-000007000000}" name="Wrong Item Shipped"/>
    <tableColumn id="8" xr3:uid="{00000000-0010-0000-0000-000008000000}" name="Processing/Cancellation Errors"/>
    <tableColumn id="9" xr3:uid="{00000000-0010-0000-0000-000009000000}" name="Customer Complaints"/>
    <tableColumn id="10" xr3:uid="{00000000-0010-0000-0000-00000A000000}" name="Avg Processing Time (hrs)"/>
    <tableColumn id="11" xr3:uid="{00000000-0010-0000-0000-00000B000000}" name="Total Quality Incidents"/>
    <tableColumn id="12" xr3:uid="{00000000-0010-0000-0000-00000C000000}" name="Defect Rate"/>
    <tableColumn id="13" xr3:uid="{00000000-0010-0000-0000-00000D000000}" name="Order Accuracy Rate"/>
    <tableColumn id="14" xr3:uid="{00000000-0010-0000-0000-00000E000000}" name="Complaint Rate"/>
    <tableColumn id="15" xr3:uid="{00000000-0010-0000-0000-00000F000000}" name="First-Time-Right Rate"/>
    <tableColumn id="16" xr3:uid="{00000000-0010-0000-0000-000010000000}" name="Quality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etoTable" displayName="ParetoTable" ref="A1:G7">
  <tableColumns count="7">
    <tableColumn id="1" xr3:uid="{00000000-0010-0000-0100-000001000000}" name="Issue Type"/>
    <tableColumn id="2" xr3:uid="{00000000-0010-0000-0100-000002000000}" name="Issue Count"/>
    <tableColumn id="3" xr3:uid="{00000000-0010-0000-0100-000003000000}" name="Share of Total"/>
    <tableColumn id="4" xr3:uid="{00000000-0010-0000-0100-000004000000}" name="Cumulative Count"/>
    <tableColumn id="5" xr3:uid="{00000000-0010-0000-0100-000005000000}" name="Cumulative %"/>
    <tableColumn id="6" xr3:uid="{00000000-0010-0000-0100-000006000000}" name="Primary Root Cause"/>
    <tableColumn id="7" xr3:uid="{00000000-0010-0000-0100-000007000000}" name="Corrective A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trolChartTable" displayName="ControlChartTable" ref="A1:H13">
  <tableColumns count="8">
    <tableColumn id="1" xr3:uid="{00000000-0010-0000-0200-000001000000}" name="Month"/>
    <tableColumn id="2" xr3:uid="{00000000-0010-0000-0200-000002000000}" name="Total Orders"/>
    <tableColumn id="3" xr3:uid="{00000000-0010-0000-0200-000003000000}" name="Total Quality Incidents"/>
    <tableColumn id="4" xr3:uid="{00000000-0010-0000-0200-000004000000}" name="Defect Rate"/>
    <tableColumn id="5" xr3:uid="{00000000-0010-0000-0200-000005000000}" name="Center Line"/>
    <tableColumn id="6" xr3:uid="{00000000-0010-0000-0200-000006000000}" name="UCL"/>
    <tableColumn id="7" xr3:uid="{00000000-0010-0000-0200-000007000000}" name="LCL"/>
    <tableColumn id="8" xr3:uid="{00000000-0010-0000-0200-000008000000}" name="Control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topLeftCell="I1" workbookViewId="0">
      <selection activeCell="AA6" sqref="AA6"/>
    </sheetView>
  </sheetViews>
  <sheetFormatPr defaultRowHeight="13.8"/>
  <cols>
    <col min="1" max="1" width="24" customWidth="1"/>
    <col min="2" max="2" width="20" customWidth="1"/>
    <col min="3" max="3" width="43" customWidth="1"/>
    <col min="4" max="4" width="24" customWidth="1"/>
    <col min="5" max="5" width="2" customWidth="1"/>
    <col min="6" max="14" width="18" customWidth="1"/>
    <col min="22" max="22" width="25.3984375" bestFit="1" customWidth="1"/>
    <col min="26" max="26" width="8.09765625" bestFit="1" customWidth="1"/>
  </cols>
  <sheetData>
    <row r="1" spans="1:26" ht="27.6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V1" s="1" t="s">
        <v>6</v>
      </c>
      <c r="W1" s="1" t="s">
        <v>7</v>
      </c>
      <c r="Y1" s="1" t="s">
        <v>1</v>
      </c>
      <c r="Z1" s="1" t="s">
        <v>8</v>
      </c>
    </row>
    <row r="2" spans="1:26" ht="14.4">
      <c r="A2" s="15" t="s">
        <v>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P2" t="s">
        <v>10</v>
      </c>
      <c r="Q2" s="7">
        <v>0.1348076923076923</v>
      </c>
      <c r="R2" s="7">
        <v>0.17071584779748589</v>
      </c>
      <c r="S2" s="7">
        <v>0.15563458001226241</v>
      </c>
      <c r="T2" s="7">
        <v>0.14055331222703893</v>
      </c>
      <c r="V2" t="s">
        <v>11</v>
      </c>
      <c r="W2" s="8">
        <v>6700</v>
      </c>
      <c r="Y2" t="s">
        <v>10</v>
      </c>
      <c r="Z2" s="7">
        <v>4.230769230769231E-2</v>
      </c>
    </row>
    <row r="3" spans="1:26">
      <c r="P3" t="s">
        <v>12</v>
      </c>
      <c r="Q3" s="7">
        <v>0.13500000000000001</v>
      </c>
      <c r="R3" s="7">
        <v>0.17043393008338992</v>
      </c>
      <c r="S3" s="7">
        <v>0.15563458001226241</v>
      </c>
      <c r="T3" s="7">
        <v>0.1408352299411349</v>
      </c>
      <c r="V3" t="s">
        <v>13</v>
      </c>
      <c r="W3" s="8">
        <v>1970</v>
      </c>
      <c r="Y3" t="s">
        <v>12</v>
      </c>
      <c r="Z3" s="7">
        <v>4.2592592592592592E-2</v>
      </c>
    </row>
    <row r="4" spans="1:26">
      <c r="A4" s="1" t="s">
        <v>14</v>
      </c>
      <c r="B4" s="1" t="s">
        <v>15</v>
      </c>
      <c r="C4" s="1" t="s">
        <v>16</v>
      </c>
      <c r="D4" s="1" t="s">
        <v>17</v>
      </c>
      <c r="P4" t="s">
        <v>18</v>
      </c>
      <c r="Q4" s="7">
        <v>0.13634782608695653</v>
      </c>
      <c r="R4" s="7">
        <v>0.1699764440451953</v>
      </c>
      <c r="S4" s="7">
        <v>0.15563458001226241</v>
      </c>
      <c r="T4" s="7">
        <v>0.14129271597932952</v>
      </c>
      <c r="V4" t="s">
        <v>19</v>
      </c>
      <c r="W4" s="8">
        <v>1393</v>
      </c>
      <c r="Y4" t="s">
        <v>18</v>
      </c>
      <c r="Z4" s="7">
        <v>4.3478260869565216E-2</v>
      </c>
    </row>
    <row r="5" spans="1:26">
      <c r="A5" s="2" t="s">
        <v>20</v>
      </c>
      <c r="B5" s="3">
        <v>81550</v>
      </c>
      <c r="C5" s="2" t="s">
        <v>21</v>
      </c>
      <c r="D5" s="2"/>
      <c r="P5" t="s">
        <v>22</v>
      </c>
      <c r="Q5" s="7">
        <v>0.14466666666666667</v>
      </c>
      <c r="R5" s="7">
        <v>0.16967447624674376</v>
      </c>
      <c r="S5" s="7">
        <v>0.15563458001226241</v>
      </c>
      <c r="T5" s="7">
        <v>0.14159468377778106</v>
      </c>
      <c r="V5" t="s">
        <v>23</v>
      </c>
      <c r="W5" s="8">
        <v>969</v>
      </c>
      <c r="Y5" t="s">
        <v>22</v>
      </c>
      <c r="Z5" s="7">
        <v>4.6666666666666669E-2</v>
      </c>
    </row>
    <row r="6" spans="1:26" ht="27.6">
      <c r="A6" s="2" t="s">
        <v>24</v>
      </c>
      <c r="B6" s="3">
        <v>12692</v>
      </c>
      <c r="C6" s="2" t="s">
        <v>25</v>
      </c>
      <c r="D6" s="2"/>
      <c r="P6" t="s">
        <v>26</v>
      </c>
      <c r="Q6" s="7">
        <v>0.14713178294573642</v>
      </c>
      <c r="R6" s="7">
        <v>0.16917585837845447</v>
      </c>
      <c r="S6" s="7">
        <v>0.15563458001226241</v>
      </c>
      <c r="T6" s="7">
        <v>0.14209330164607034</v>
      </c>
      <c r="V6" t="s">
        <v>27</v>
      </c>
      <c r="W6" s="8">
        <v>949</v>
      </c>
      <c r="Y6" t="s">
        <v>26</v>
      </c>
      <c r="Z6" s="7">
        <v>4.8837209302325581E-2</v>
      </c>
    </row>
    <row r="7" spans="1:26">
      <c r="A7" s="2" t="s">
        <v>28</v>
      </c>
      <c r="B7" s="4">
        <v>0.15563458001226241</v>
      </c>
      <c r="C7" s="2" t="s">
        <v>29</v>
      </c>
      <c r="D7" s="2" t="s">
        <v>30</v>
      </c>
      <c r="P7" t="s">
        <v>31</v>
      </c>
      <c r="Q7" s="7">
        <v>0.15478260869565216</v>
      </c>
      <c r="R7" s="7">
        <v>0.16872685075811134</v>
      </c>
      <c r="S7" s="7">
        <v>0.15563458001226241</v>
      </c>
      <c r="T7" s="7">
        <v>0.14254230926641348</v>
      </c>
      <c r="V7" t="s">
        <v>32</v>
      </c>
      <c r="W7" s="8">
        <v>711</v>
      </c>
      <c r="Y7" t="s">
        <v>31</v>
      </c>
      <c r="Z7" s="7">
        <v>5.1449275362318837E-2</v>
      </c>
    </row>
    <row r="8" spans="1:26" ht="27.6">
      <c r="A8" s="2" t="s">
        <v>33</v>
      </c>
      <c r="B8" s="4">
        <v>0.93524218270999382</v>
      </c>
      <c r="C8" s="2" t="s">
        <v>34</v>
      </c>
      <c r="D8" s="2" t="s">
        <v>35</v>
      </c>
      <c r="P8" t="s">
        <v>36</v>
      </c>
      <c r="Q8" s="7">
        <v>0.16137931034482758</v>
      </c>
      <c r="R8" s="7">
        <v>0.16840692145315575</v>
      </c>
      <c r="S8" s="7">
        <v>0.15563458001226241</v>
      </c>
      <c r="T8" s="7">
        <v>0.14286223857136907</v>
      </c>
      <c r="Y8" t="s">
        <v>36</v>
      </c>
      <c r="Z8" s="7">
        <v>5.3793103448275863E-2</v>
      </c>
    </row>
    <row r="9" spans="1:26">
      <c r="A9" s="2" t="s">
        <v>37</v>
      </c>
      <c r="B9" s="4">
        <v>5.2728387492335993E-2</v>
      </c>
      <c r="C9" s="2" t="s">
        <v>38</v>
      </c>
      <c r="D9" s="2" t="s">
        <v>39</v>
      </c>
      <c r="P9" t="s">
        <v>40</v>
      </c>
      <c r="Q9" s="7">
        <v>0.15507042253521128</v>
      </c>
      <c r="R9" s="7">
        <v>0.16854113538153129</v>
      </c>
      <c r="S9" s="7">
        <v>0.15563458001226241</v>
      </c>
      <c r="T9" s="7">
        <v>0.14272802464299353</v>
      </c>
      <c r="Y9" t="s">
        <v>40</v>
      </c>
      <c r="Z9" s="7">
        <v>5.1408450704225353E-2</v>
      </c>
    </row>
    <row r="10" spans="1:26">
      <c r="A10" s="2" t="s">
        <v>41</v>
      </c>
      <c r="B10" s="5">
        <v>25.463641937461681</v>
      </c>
      <c r="C10" s="2" t="s">
        <v>42</v>
      </c>
      <c r="D10" s="2" t="s">
        <v>43</v>
      </c>
      <c r="P10" t="s">
        <v>44</v>
      </c>
      <c r="Q10" s="7">
        <v>0.14573529411764705</v>
      </c>
      <c r="R10" s="7">
        <v>0.16882276611178312</v>
      </c>
      <c r="S10" s="7">
        <v>0.15563458001226241</v>
      </c>
      <c r="T10" s="7">
        <v>0.14244639391274169</v>
      </c>
      <c r="Y10" t="s">
        <v>44</v>
      </c>
      <c r="Z10" s="7">
        <v>4.8529411764705883E-2</v>
      </c>
    </row>
    <row r="11" spans="1:26">
      <c r="A11" s="2" t="s">
        <v>45</v>
      </c>
      <c r="B11" s="2" t="s">
        <v>11</v>
      </c>
      <c r="C11" s="2" t="s">
        <v>46</v>
      </c>
      <c r="D11" s="2"/>
      <c r="P11" t="s">
        <v>47</v>
      </c>
      <c r="Q11" s="7">
        <v>0.16256756756756757</v>
      </c>
      <c r="R11" s="7">
        <v>0.16827680931901831</v>
      </c>
      <c r="S11" s="7">
        <v>0.15563458001226241</v>
      </c>
      <c r="T11" s="7">
        <v>0.1429923507055065</v>
      </c>
      <c r="Y11" t="s">
        <v>47</v>
      </c>
      <c r="Z11" s="7">
        <v>5.4729729729729733E-2</v>
      </c>
    </row>
    <row r="12" spans="1:26">
      <c r="A12" s="2" t="s">
        <v>48</v>
      </c>
      <c r="B12" s="6">
        <v>2</v>
      </c>
      <c r="C12" s="2" t="s">
        <v>49</v>
      </c>
      <c r="D12" s="2"/>
      <c r="P12" t="s">
        <v>50</v>
      </c>
      <c r="Q12" s="7">
        <v>0.17646341463414633</v>
      </c>
      <c r="R12" s="7">
        <v>0.16764429212701648</v>
      </c>
      <c r="S12" s="7">
        <v>0.15563458001226241</v>
      </c>
      <c r="T12" s="7">
        <v>0.14362486789750833</v>
      </c>
      <c r="Y12" t="s">
        <v>50</v>
      </c>
      <c r="Z12" s="7">
        <v>6.3414634146341464E-2</v>
      </c>
    </row>
    <row r="13" spans="1:26">
      <c r="P13" t="s">
        <v>51</v>
      </c>
      <c r="Q13" s="7">
        <v>0.18472527472527472</v>
      </c>
      <c r="R13" s="7">
        <v>0.16703494687376846</v>
      </c>
      <c r="S13" s="7">
        <v>0.15563458001226241</v>
      </c>
      <c r="T13" s="7">
        <v>0.14423421315075635</v>
      </c>
      <c r="Y13" t="s">
        <v>51</v>
      </c>
      <c r="Z13" s="7">
        <v>7.032967032967033E-2</v>
      </c>
    </row>
    <row r="15" spans="1:26">
      <c r="A15" s="1" t="s">
        <v>52</v>
      </c>
      <c r="B15" s="1" t="s">
        <v>53</v>
      </c>
      <c r="C15" s="1" t="s">
        <v>54</v>
      </c>
      <c r="D15" s="1" t="s">
        <v>55</v>
      </c>
    </row>
    <row r="16" spans="1:26" ht="27.6">
      <c r="A16" s="2" t="s">
        <v>56</v>
      </c>
      <c r="B16" s="2" t="s">
        <v>57</v>
      </c>
      <c r="C16" s="2" t="s">
        <v>58</v>
      </c>
      <c r="D16" s="2" t="s">
        <v>59</v>
      </c>
    </row>
    <row r="17" spans="1:4" ht="27.6">
      <c r="A17" s="2" t="s">
        <v>60</v>
      </c>
      <c r="B17" s="2" t="s">
        <v>61</v>
      </c>
      <c r="C17" s="2" t="s">
        <v>62</v>
      </c>
      <c r="D17" s="2" t="s">
        <v>59</v>
      </c>
    </row>
    <row r="18" spans="1:4" ht="27.6">
      <c r="A18" s="2" t="s">
        <v>63</v>
      </c>
      <c r="B18" s="2" t="s">
        <v>64</v>
      </c>
      <c r="C18" s="2" t="s">
        <v>65</v>
      </c>
      <c r="D18" s="2" t="s">
        <v>66</v>
      </c>
    </row>
    <row r="19" spans="1:4" ht="27.6">
      <c r="A19" s="2" t="s">
        <v>67</v>
      </c>
      <c r="B19" s="2" t="s">
        <v>68</v>
      </c>
      <c r="C19" s="2" t="s">
        <v>69</v>
      </c>
      <c r="D19" s="2" t="s">
        <v>59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"/>
  <sheetViews>
    <sheetView workbookViewId="0">
      <selection activeCell="M11" sqref="M11"/>
    </sheetView>
  </sheetViews>
  <sheetFormatPr defaultRowHeight="13.8"/>
  <cols>
    <col min="1" max="2" width="14" customWidth="1"/>
    <col min="3" max="3" width="16" customWidth="1"/>
    <col min="4" max="5" width="15" customWidth="1"/>
    <col min="6" max="6" width="14" customWidth="1"/>
    <col min="7" max="7" width="18" customWidth="1"/>
    <col min="8" max="8" width="30" customWidth="1"/>
    <col min="9" max="9" width="18" customWidth="1"/>
    <col min="10" max="11" width="24" customWidth="1"/>
    <col min="12" max="12" width="14" customWidth="1"/>
    <col min="13" max="13" width="18" customWidth="1"/>
    <col min="14" max="14" width="16" customWidth="1"/>
    <col min="15" max="15" width="19" customWidth="1"/>
    <col min="16" max="16" width="16" customWidth="1"/>
  </cols>
  <sheetData>
    <row r="1" spans="1:16" ht="27.6">
      <c r="A1" s="1" t="s">
        <v>1</v>
      </c>
      <c r="B1" s="1" t="s">
        <v>20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24</v>
      </c>
      <c r="L1" s="1" t="s">
        <v>2</v>
      </c>
      <c r="M1" s="1" t="s">
        <v>78</v>
      </c>
      <c r="N1" s="1" t="s">
        <v>8</v>
      </c>
      <c r="O1" s="1" t="s">
        <v>79</v>
      </c>
      <c r="P1" s="1" t="s">
        <v>80</v>
      </c>
    </row>
    <row r="2" spans="1:16">
      <c r="A2" s="9" t="s">
        <v>10</v>
      </c>
      <c r="B2" s="10">
        <v>5200</v>
      </c>
      <c r="C2" s="10">
        <v>390</v>
      </c>
      <c r="D2" s="10">
        <v>105</v>
      </c>
      <c r="E2" s="10">
        <v>78</v>
      </c>
      <c r="F2" s="10">
        <v>44</v>
      </c>
      <c r="G2" s="10">
        <v>51</v>
      </c>
      <c r="H2" s="10">
        <v>33</v>
      </c>
      <c r="I2" s="10">
        <v>220</v>
      </c>
      <c r="J2" s="11">
        <v>22.5</v>
      </c>
      <c r="K2" s="10">
        <f t="shared" ref="K2:K13" si="0">SUM(C2:H2)</f>
        <v>701</v>
      </c>
      <c r="L2" s="12">
        <f t="shared" ref="L2:L13" si="1">K2/B2</f>
        <v>0.1348076923076923</v>
      </c>
      <c r="M2" s="12">
        <f t="shared" ref="M2:M13" si="2">1-((D2+E2+F2+G2)/B2)</f>
        <v>0.94653846153846155</v>
      </c>
      <c r="N2" s="12">
        <f t="shared" ref="N2:N13" si="3">I2/B2</f>
        <v>4.230769230769231E-2</v>
      </c>
      <c r="O2" s="12">
        <f t="shared" ref="O2:O13" si="4">1-L2</f>
        <v>0.8651923076923077</v>
      </c>
      <c r="P2" s="9" t="str">
        <f t="shared" ref="P2:P13" si="5">IF(L2&gt;0.17,"High Risk",IF(L2&gt;0.15,"Watch","On Track"))</f>
        <v>On Track</v>
      </c>
    </row>
    <row r="3" spans="1:16">
      <c r="A3" s="9" t="s">
        <v>12</v>
      </c>
      <c r="B3" s="10">
        <v>5400</v>
      </c>
      <c r="C3" s="10">
        <v>410</v>
      </c>
      <c r="D3" s="10">
        <v>112</v>
      </c>
      <c r="E3" s="10">
        <v>74</v>
      </c>
      <c r="F3" s="10">
        <v>50</v>
      </c>
      <c r="G3" s="10">
        <v>48</v>
      </c>
      <c r="H3" s="10">
        <v>35</v>
      </c>
      <c r="I3" s="10">
        <v>230</v>
      </c>
      <c r="J3" s="11">
        <v>22.1</v>
      </c>
      <c r="K3" s="10">
        <f t="shared" si="0"/>
        <v>729</v>
      </c>
      <c r="L3" s="12">
        <f t="shared" si="1"/>
        <v>0.13500000000000001</v>
      </c>
      <c r="M3" s="12">
        <f t="shared" si="2"/>
        <v>0.94740740740740736</v>
      </c>
      <c r="N3" s="12">
        <f t="shared" si="3"/>
        <v>4.2592592592592592E-2</v>
      </c>
      <c r="O3" s="12">
        <f t="shared" si="4"/>
        <v>0.86499999999999999</v>
      </c>
      <c r="P3" s="9" t="str">
        <f t="shared" si="5"/>
        <v>On Track</v>
      </c>
    </row>
    <row r="4" spans="1:16">
      <c r="A4" s="9" t="s">
        <v>18</v>
      </c>
      <c r="B4" s="10">
        <v>5750</v>
      </c>
      <c r="C4" s="10">
        <v>430</v>
      </c>
      <c r="D4" s="10">
        <v>118</v>
      </c>
      <c r="E4" s="10">
        <v>82</v>
      </c>
      <c r="F4" s="10">
        <v>58</v>
      </c>
      <c r="G4" s="10">
        <v>55</v>
      </c>
      <c r="H4" s="10">
        <v>41</v>
      </c>
      <c r="I4" s="10">
        <v>250</v>
      </c>
      <c r="J4" s="11">
        <v>21.7</v>
      </c>
      <c r="K4" s="10">
        <f t="shared" si="0"/>
        <v>784</v>
      </c>
      <c r="L4" s="12">
        <f t="shared" si="1"/>
        <v>0.13634782608695653</v>
      </c>
      <c r="M4" s="12">
        <f t="shared" si="2"/>
        <v>0.94556521739130439</v>
      </c>
      <c r="N4" s="12">
        <f t="shared" si="3"/>
        <v>4.3478260869565216E-2</v>
      </c>
      <c r="O4" s="12">
        <f t="shared" si="4"/>
        <v>0.8636521739130435</v>
      </c>
      <c r="P4" s="9" t="str">
        <f t="shared" si="5"/>
        <v>On Track</v>
      </c>
    </row>
    <row r="5" spans="1:16">
      <c r="A5" s="9" t="s">
        <v>22</v>
      </c>
      <c r="B5" s="10">
        <v>6000</v>
      </c>
      <c r="C5" s="10">
        <v>465</v>
      </c>
      <c r="D5" s="10">
        <v>135</v>
      </c>
      <c r="E5" s="10">
        <v>95</v>
      </c>
      <c r="F5" s="10">
        <v>66</v>
      </c>
      <c r="G5" s="10">
        <v>62</v>
      </c>
      <c r="H5" s="10">
        <v>45</v>
      </c>
      <c r="I5" s="10">
        <v>280</v>
      </c>
      <c r="J5" s="11">
        <v>22.9</v>
      </c>
      <c r="K5" s="10">
        <f t="shared" si="0"/>
        <v>868</v>
      </c>
      <c r="L5" s="12">
        <f t="shared" si="1"/>
        <v>0.14466666666666667</v>
      </c>
      <c r="M5" s="12">
        <f t="shared" si="2"/>
        <v>0.94033333333333335</v>
      </c>
      <c r="N5" s="12">
        <f t="shared" si="3"/>
        <v>4.6666666666666669E-2</v>
      </c>
      <c r="O5" s="12">
        <f t="shared" si="4"/>
        <v>0.85533333333333328</v>
      </c>
      <c r="P5" s="9" t="str">
        <f t="shared" si="5"/>
        <v>On Track</v>
      </c>
    </row>
    <row r="6" spans="1:16">
      <c r="A6" s="9" t="s">
        <v>26</v>
      </c>
      <c r="B6" s="10">
        <v>6450</v>
      </c>
      <c r="C6" s="10">
        <v>505</v>
      </c>
      <c r="D6" s="10">
        <v>149</v>
      </c>
      <c r="E6" s="10">
        <v>102</v>
      </c>
      <c r="F6" s="10">
        <v>72</v>
      </c>
      <c r="G6" s="10">
        <v>70</v>
      </c>
      <c r="H6" s="10">
        <v>51</v>
      </c>
      <c r="I6" s="10">
        <v>315</v>
      </c>
      <c r="J6" s="11">
        <v>24.3</v>
      </c>
      <c r="K6" s="10">
        <f t="shared" si="0"/>
        <v>949</v>
      </c>
      <c r="L6" s="12">
        <f t="shared" si="1"/>
        <v>0.14713178294573642</v>
      </c>
      <c r="M6" s="12">
        <f t="shared" si="2"/>
        <v>0.93906976744186044</v>
      </c>
      <c r="N6" s="12">
        <f t="shared" si="3"/>
        <v>4.8837209302325581E-2</v>
      </c>
      <c r="O6" s="12">
        <f t="shared" si="4"/>
        <v>0.85286821705426363</v>
      </c>
      <c r="P6" s="9" t="str">
        <f t="shared" si="5"/>
        <v>On Track</v>
      </c>
    </row>
    <row r="7" spans="1:16">
      <c r="A7" s="9" t="s">
        <v>31</v>
      </c>
      <c r="B7" s="10">
        <v>6900</v>
      </c>
      <c r="C7" s="10">
        <v>565</v>
      </c>
      <c r="D7" s="10">
        <v>168</v>
      </c>
      <c r="E7" s="10">
        <v>113</v>
      </c>
      <c r="F7" s="10">
        <v>80</v>
      </c>
      <c r="G7" s="10">
        <v>82</v>
      </c>
      <c r="H7" s="10">
        <v>60</v>
      </c>
      <c r="I7" s="10">
        <v>355</v>
      </c>
      <c r="J7" s="11">
        <v>25.1</v>
      </c>
      <c r="K7" s="10">
        <f t="shared" si="0"/>
        <v>1068</v>
      </c>
      <c r="L7" s="12">
        <f t="shared" si="1"/>
        <v>0.15478260869565216</v>
      </c>
      <c r="M7" s="12">
        <f t="shared" si="2"/>
        <v>0.93579710144927541</v>
      </c>
      <c r="N7" s="12">
        <f t="shared" si="3"/>
        <v>5.1449275362318837E-2</v>
      </c>
      <c r="O7" s="12">
        <f t="shared" si="4"/>
        <v>0.84521739130434781</v>
      </c>
      <c r="P7" s="9" t="str">
        <f t="shared" si="5"/>
        <v>Watch</v>
      </c>
    </row>
    <row r="8" spans="1:16">
      <c r="A8" s="9" t="s">
        <v>36</v>
      </c>
      <c r="B8" s="10">
        <v>7250</v>
      </c>
      <c r="C8" s="10">
        <v>610</v>
      </c>
      <c r="D8" s="10">
        <v>184</v>
      </c>
      <c r="E8" s="10">
        <v>130</v>
      </c>
      <c r="F8" s="10">
        <v>88</v>
      </c>
      <c r="G8" s="10">
        <v>91</v>
      </c>
      <c r="H8" s="10">
        <v>67</v>
      </c>
      <c r="I8" s="10">
        <v>390</v>
      </c>
      <c r="J8" s="11">
        <v>25.8</v>
      </c>
      <c r="K8" s="10">
        <f t="shared" si="0"/>
        <v>1170</v>
      </c>
      <c r="L8" s="12">
        <f t="shared" si="1"/>
        <v>0.16137931034482758</v>
      </c>
      <c r="M8" s="12">
        <f t="shared" si="2"/>
        <v>0.93199999999999994</v>
      </c>
      <c r="N8" s="12">
        <f t="shared" si="3"/>
        <v>5.3793103448275863E-2</v>
      </c>
      <c r="O8" s="12">
        <f t="shared" si="4"/>
        <v>0.83862068965517245</v>
      </c>
      <c r="P8" s="9" t="str">
        <f t="shared" si="5"/>
        <v>Watch</v>
      </c>
    </row>
    <row r="9" spans="1:16">
      <c r="A9" s="9" t="s">
        <v>40</v>
      </c>
      <c r="B9" s="10">
        <v>7100</v>
      </c>
      <c r="C9" s="10">
        <v>580</v>
      </c>
      <c r="D9" s="10">
        <v>170</v>
      </c>
      <c r="E9" s="10">
        <v>122</v>
      </c>
      <c r="F9" s="10">
        <v>83</v>
      </c>
      <c r="G9" s="10">
        <v>84</v>
      </c>
      <c r="H9" s="10">
        <v>62</v>
      </c>
      <c r="I9" s="10">
        <v>365</v>
      </c>
      <c r="J9" s="11">
        <v>24.9</v>
      </c>
      <c r="K9" s="10">
        <f t="shared" si="0"/>
        <v>1101</v>
      </c>
      <c r="L9" s="12">
        <f t="shared" si="1"/>
        <v>0.15507042253521128</v>
      </c>
      <c r="M9" s="12">
        <f t="shared" si="2"/>
        <v>0.93535211267605634</v>
      </c>
      <c r="N9" s="12">
        <f t="shared" si="3"/>
        <v>5.1408450704225353E-2</v>
      </c>
      <c r="O9" s="12">
        <f t="shared" si="4"/>
        <v>0.84492957746478869</v>
      </c>
      <c r="P9" s="9" t="str">
        <f t="shared" si="5"/>
        <v>Watch</v>
      </c>
    </row>
    <row r="10" spans="1:16">
      <c r="A10" s="9" t="s">
        <v>44</v>
      </c>
      <c r="B10" s="10">
        <v>6800</v>
      </c>
      <c r="C10" s="10">
        <v>520</v>
      </c>
      <c r="D10" s="10">
        <v>156</v>
      </c>
      <c r="E10" s="10">
        <v>108</v>
      </c>
      <c r="F10" s="10">
        <v>78</v>
      </c>
      <c r="G10" s="10">
        <v>75</v>
      </c>
      <c r="H10" s="10">
        <v>54</v>
      </c>
      <c r="I10" s="10">
        <v>330</v>
      </c>
      <c r="J10" s="11">
        <v>23.4</v>
      </c>
      <c r="K10" s="10">
        <f t="shared" si="0"/>
        <v>991</v>
      </c>
      <c r="L10" s="12">
        <f t="shared" si="1"/>
        <v>0.14573529411764705</v>
      </c>
      <c r="M10" s="12">
        <f t="shared" si="2"/>
        <v>0.93867647058823533</v>
      </c>
      <c r="N10" s="12">
        <f t="shared" si="3"/>
        <v>4.8529411764705883E-2</v>
      </c>
      <c r="O10" s="12">
        <f t="shared" si="4"/>
        <v>0.85426470588235293</v>
      </c>
      <c r="P10" s="9" t="str">
        <f t="shared" si="5"/>
        <v>On Track</v>
      </c>
    </row>
    <row r="11" spans="1:16">
      <c r="A11" s="9" t="s">
        <v>47</v>
      </c>
      <c r="B11" s="10">
        <v>7400</v>
      </c>
      <c r="C11" s="10">
        <v>620</v>
      </c>
      <c r="D11" s="10">
        <v>188</v>
      </c>
      <c r="E11" s="10">
        <v>136</v>
      </c>
      <c r="F11" s="10">
        <v>92</v>
      </c>
      <c r="G11" s="10">
        <v>95</v>
      </c>
      <c r="H11" s="10">
        <v>72</v>
      </c>
      <c r="I11" s="10">
        <v>405</v>
      </c>
      <c r="J11" s="11">
        <v>26.2</v>
      </c>
      <c r="K11" s="10">
        <f t="shared" si="0"/>
        <v>1203</v>
      </c>
      <c r="L11" s="12">
        <f t="shared" si="1"/>
        <v>0.16256756756756757</v>
      </c>
      <c r="M11" s="12">
        <f t="shared" si="2"/>
        <v>0.93094594594594593</v>
      </c>
      <c r="N11" s="12">
        <f t="shared" si="3"/>
        <v>5.4729729729729733E-2</v>
      </c>
      <c r="O11" s="12">
        <f t="shared" si="4"/>
        <v>0.83743243243243248</v>
      </c>
      <c r="P11" s="9" t="str">
        <f t="shared" si="5"/>
        <v>Watch</v>
      </c>
    </row>
    <row r="12" spans="1:16">
      <c r="A12" s="9" t="s">
        <v>50</v>
      </c>
      <c r="B12" s="10">
        <v>8200</v>
      </c>
      <c r="C12" s="10">
        <v>745</v>
      </c>
      <c r="D12" s="10">
        <v>225</v>
      </c>
      <c r="E12" s="10">
        <v>162</v>
      </c>
      <c r="F12" s="10">
        <v>110</v>
      </c>
      <c r="G12" s="10">
        <v>117</v>
      </c>
      <c r="H12" s="10">
        <v>88</v>
      </c>
      <c r="I12" s="10">
        <v>520</v>
      </c>
      <c r="J12" s="11">
        <v>29.5</v>
      </c>
      <c r="K12" s="10">
        <f t="shared" si="0"/>
        <v>1447</v>
      </c>
      <c r="L12" s="12">
        <f t="shared" si="1"/>
        <v>0.17646341463414633</v>
      </c>
      <c r="M12" s="12">
        <f t="shared" si="2"/>
        <v>0.92512195121951224</v>
      </c>
      <c r="N12" s="12">
        <f t="shared" si="3"/>
        <v>6.3414634146341464E-2</v>
      </c>
      <c r="O12" s="12">
        <f t="shared" si="4"/>
        <v>0.82353658536585361</v>
      </c>
      <c r="P12" s="9" t="str">
        <f t="shared" si="5"/>
        <v>High Risk</v>
      </c>
    </row>
    <row r="13" spans="1:16">
      <c r="A13" s="9" t="s">
        <v>51</v>
      </c>
      <c r="B13" s="10">
        <v>9100</v>
      </c>
      <c r="C13" s="10">
        <v>860</v>
      </c>
      <c r="D13" s="10">
        <v>260</v>
      </c>
      <c r="E13" s="10">
        <v>191</v>
      </c>
      <c r="F13" s="10">
        <v>128</v>
      </c>
      <c r="G13" s="10">
        <v>139</v>
      </c>
      <c r="H13" s="10">
        <v>103</v>
      </c>
      <c r="I13" s="10">
        <v>640</v>
      </c>
      <c r="J13" s="11">
        <v>31.8</v>
      </c>
      <c r="K13" s="10">
        <f t="shared" si="0"/>
        <v>1681</v>
      </c>
      <c r="L13" s="12">
        <f t="shared" si="1"/>
        <v>0.18472527472527472</v>
      </c>
      <c r="M13" s="12">
        <f t="shared" si="2"/>
        <v>0.92109890109890113</v>
      </c>
      <c r="N13" s="12">
        <f t="shared" si="3"/>
        <v>7.032967032967033E-2</v>
      </c>
      <c r="O13" s="12">
        <f t="shared" si="4"/>
        <v>0.81527472527472522</v>
      </c>
      <c r="P13" s="9" t="str">
        <f t="shared" si="5"/>
        <v>High Risk</v>
      </c>
    </row>
  </sheetData>
  <conditionalFormatting sqref="L2:L13">
    <cfRule type="cellIs" dxfId="1" priority="1" operator="greaterThan">
      <formula>0.17</formula>
    </cfRule>
  </conditionalFormatting>
  <conditionalFormatting sqref="M2:M13">
    <cfRule type="cellIs" dxfId="0" priority="2" operator="lessThan">
      <formula>0.94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selection activeCell="B5" sqref="B5"/>
    </sheetView>
  </sheetViews>
  <sheetFormatPr defaultRowHeight="13.8"/>
  <cols>
    <col min="1" max="1" width="28" customWidth="1"/>
    <col min="2" max="3" width="14" customWidth="1"/>
    <col min="4" max="4" width="18" customWidth="1"/>
    <col min="5" max="5" width="14" customWidth="1"/>
    <col min="6" max="7" width="48" customWidth="1"/>
    <col min="9" max="9" width="28" customWidth="1"/>
    <col min="10" max="10" width="14" customWidth="1"/>
  </cols>
  <sheetData>
    <row r="1" spans="1:10">
      <c r="A1" s="1" t="s">
        <v>6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I1" s="1" t="s">
        <v>6</v>
      </c>
      <c r="J1" s="1" t="s">
        <v>84</v>
      </c>
    </row>
    <row r="2" spans="1:10" ht="27.6">
      <c r="A2" s="2" t="s">
        <v>11</v>
      </c>
      <c r="B2" s="3">
        <v>6700</v>
      </c>
      <c r="C2" s="4">
        <f t="shared" ref="C2:C7" si="0">B2/SUM($B$2:$B$7)</f>
        <v>0.52789158525055158</v>
      </c>
      <c r="D2" s="3">
        <f>SUM($B$2:B2)</f>
        <v>6700</v>
      </c>
      <c r="E2" s="4">
        <f t="shared" ref="E2:E7" si="1">D2/SUM($B$2:$B$7)</f>
        <v>0.52789158525055158</v>
      </c>
      <c r="F2" s="2" t="s">
        <v>87</v>
      </c>
      <c r="G2" s="2" t="s">
        <v>88</v>
      </c>
      <c r="I2" t="s">
        <v>11</v>
      </c>
      <c r="J2" s="7">
        <v>0.52789158525055158</v>
      </c>
    </row>
    <row r="3" spans="1:10" ht="27.6">
      <c r="A3" s="2" t="s">
        <v>13</v>
      </c>
      <c r="B3" s="3">
        <v>1970</v>
      </c>
      <c r="C3" s="4">
        <f t="shared" si="0"/>
        <v>0.15521588402143083</v>
      </c>
      <c r="D3" s="3">
        <f>SUM($B$2:B3)</f>
        <v>8670</v>
      </c>
      <c r="E3" s="4">
        <f t="shared" si="1"/>
        <v>0.6831074692719824</v>
      </c>
      <c r="F3" s="2" t="s">
        <v>89</v>
      </c>
      <c r="G3" s="2" t="s">
        <v>90</v>
      </c>
      <c r="I3" t="s">
        <v>13</v>
      </c>
      <c r="J3" s="7">
        <v>0.6831074692719824</v>
      </c>
    </row>
    <row r="4" spans="1:10" ht="27.6">
      <c r="A4" s="2" t="s">
        <v>19</v>
      </c>
      <c r="B4" s="3">
        <v>1393</v>
      </c>
      <c r="C4" s="4">
        <f t="shared" si="0"/>
        <v>0.1097541758588087</v>
      </c>
      <c r="D4" s="3">
        <f>SUM($B$2:B4)</f>
        <v>10063</v>
      </c>
      <c r="E4" s="4">
        <f t="shared" si="1"/>
        <v>0.79286164513079105</v>
      </c>
      <c r="F4" s="2" t="s">
        <v>91</v>
      </c>
      <c r="G4" s="2" t="s">
        <v>92</v>
      </c>
      <c r="I4" t="s">
        <v>19</v>
      </c>
      <c r="J4" s="7">
        <v>0.79286164513079105</v>
      </c>
    </row>
    <row r="5" spans="1:10" ht="27.6">
      <c r="A5" s="2" t="s">
        <v>23</v>
      </c>
      <c r="B5" s="3">
        <v>969</v>
      </c>
      <c r="C5" s="4">
        <f t="shared" si="0"/>
        <v>7.6347305389221562E-2</v>
      </c>
      <c r="D5" s="3">
        <f>SUM($B$2:B5)</f>
        <v>11032</v>
      </c>
      <c r="E5" s="4">
        <f t="shared" si="1"/>
        <v>0.86920895052001257</v>
      </c>
      <c r="F5" s="2" t="s">
        <v>93</v>
      </c>
      <c r="G5" s="2" t="s">
        <v>94</v>
      </c>
      <c r="I5" t="s">
        <v>23</v>
      </c>
      <c r="J5" s="7">
        <v>0.86920895052001257</v>
      </c>
    </row>
    <row r="6" spans="1:10" ht="27.6">
      <c r="A6" s="2" t="s">
        <v>27</v>
      </c>
      <c r="B6" s="3">
        <v>949</v>
      </c>
      <c r="C6" s="4">
        <f t="shared" si="0"/>
        <v>7.4771509612354237E-2</v>
      </c>
      <c r="D6" s="3">
        <f>SUM($B$2:B6)</f>
        <v>11981</v>
      </c>
      <c r="E6" s="4">
        <f t="shared" si="1"/>
        <v>0.94398046013236681</v>
      </c>
      <c r="F6" s="2" t="s">
        <v>95</v>
      </c>
      <c r="G6" s="2" t="s">
        <v>96</v>
      </c>
      <c r="I6" t="s">
        <v>27</v>
      </c>
      <c r="J6" s="7">
        <v>0.94398046013236681</v>
      </c>
    </row>
    <row r="7" spans="1:10" ht="27.6">
      <c r="A7" s="2" t="s">
        <v>32</v>
      </c>
      <c r="B7" s="3">
        <v>711</v>
      </c>
      <c r="C7" s="4">
        <f t="shared" si="0"/>
        <v>5.6019539867633153E-2</v>
      </c>
      <c r="D7" s="3">
        <f>SUM($B$2:B7)</f>
        <v>12692</v>
      </c>
      <c r="E7" s="4">
        <f t="shared" si="1"/>
        <v>1</v>
      </c>
      <c r="F7" s="2" t="s">
        <v>97</v>
      </c>
      <c r="G7" s="2" t="s">
        <v>98</v>
      </c>
      <c r="I7" t="s">
        <v>32</v>
      </c>
      <c r="J7" s="7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workbookViewId="0"/>
  </sheetViews>
  <sheetFormatPr defaultRowHeight="13.8"/>
  <cols>
    <col min="1" max="2" width="14" customWidth="1"/>
    <col min="3" max="3" width="24" customWidth="1"/>
    <col min="4" max="7" width="14" customWidth="1"/>
    <col min="8" max="8" width="18" customWidth="1"/>
    <col min="10" max="14" width="14" customWidth="1"/>
  </cols>
  <sheetData>
    <row r="1" spans="1:14">
      <c r="A1" s="1" t="s">
        <v>1</v>
      </c>
      <c r="B1" s="1" t="s">
        <v>20</v>
      </c>
      <c r="C1" s="1" t="s">
        <v>24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99</v>
      </c>
      <c r="J1" s="1" t="s">
        <v>1</v>
      </c>
      <c r="K1" s="1" t="s">
        <v>2</v>
      </c>
      <c r="L1" s="1" t="s">
        <v>4</v>
      </c>
      <c r="M1" s="1" t="s">
        <v>3</v>
      </c>
      <c r="N1" s="1" t="s">
        <v>5</v>
      </c>
    </row>
    <row r="2" spans="1:14">
      <c r="A2" s="9" t="s">
        <v>10</v>
      </c>
      <c r="B2" s="10">
        <v>5200</v>
      </c>
      <c r="C2" s="10">
        <v>701</v>
      </c>
      <c r="D2" s="12">
        <f t="shared" ref="D2:D13" si="0">C2/B2</f>
        <v>0.1348076923076923</v>
      </c>
      <c r="E2" s="12">
        <f t="shared" ref="E2:E13" si="1">SUM($C$2:$C$13)/SUM($B$2:$B$13)</f>
        <v>0.15563458001226241</v>
      </c>
      <c r="F2" s="12">
        <f t="shared" ref="F2:F13" si="2">E2+3*SQRT(E2*(1-E2)/B2)</f>
        <v>0.17071584779748589</v>
      </c>
      <c r="G2" s="12">
        <f t="shared" ref="G2:G13" si="3">MAX(0,E2-3*SQRT(E2*(1-E2)/B2))</f>
        <v>0.14055331222703893</v>
      </c>
      <c r="H2" s="9" t="str">
        <f t="shared" ref="H2:H13" si="4">IF(D2&gt;F2,"Above UCL",IF(D2&lt;G2,"Below LCL","Stable"))</f>
        <v>Below LCL</v>
      </c>
      <c r="J2" t="s">
        <v>10</v>
      </c>
      <c r="K2" s="7">
        <v>0.1348076923076923</v>
      </c>
      <c r="L2" s="7">
        <v>0.15563458001226241</v>
      </c>
      <c r="M2" s="7">
        <v>0.17071584779748589</v>
      </c>
      <c r="N2" s="7">
        <v>0.14055331222703893</v>
      </c>
    </row>
    <row r="3" spans="1:14">
      <c r="A3" s="9" t="s">
        <v>12</v>
      </c>
      <c r="B3" s="10">
        <v>5400</v>
      </c>
      <c r="C3" s="10">
        <v>729</v>
      </c>
      <c r="D3" s="12">
        <f t="shared" si="0"/>
        <v>0.13500000000000001</v>
      </c>
      <c r="E3" s="12">
        <f t="shared" si="1"/>
        <v>0.15563458001226241</v>
      </c>
      <c r="F3" s="12">
        <f t="shared" si="2"/>
        <v>0.17043393008338992</v>
      </c>
      <c r="G3" s="12">
        <f t="shared" si="3"/>
        <v>0.1408352299411349</v>
      </c>
      <c r="H3" s="9" t="str">
        <f t="shared" si="4"/>
        <v>Below LCL</v>
      </c>
      <c r="J3" t="s">
        <v>12</v>
      </c>
      <c r="K3" s="7">
        <v>0.13500000000000001</v>
      </c>
      <c r="L3" s="7">
        <v>0.15563458001226241</v>
      </c>
      <c r="M3" s="7">
        <v>0.17043393008338992</v>
      </c>
      <c r="N3" s="7">
        <v>0.1408352299411349</v>
      </c>
    </row>
    <row r="4" spans="1:14">
      <c r="A4" s="9" t="s">
        <v>18</v>
      </c>
      <c r="B4" s="10">
        <v>5750</v>
      </c>
      <c r="C4" s="10">
        <v>784</v>
      </c>
      <c r="D4" s="12">
        <f t="shared" si="0"/>
        <v>0.13634782608695653</v>
      </c>
      <c r="E4" s="12">
        <f t="shared" si="1"/>
        <v>0.15563458001226241</v>
      </c>
      <c r="F4" s="12">
        <f t="shared" si="2"/>
        <v>0.1699764440451953</v>
      </c>
      <c r="G4" s="12">
        <f t="shared" si="3"/>
        <v>0.14129271597932952</v>
      </c>
      <c r="H4" s="9" t="str">
        <f t="shared" si="4"/>
        <v>Below LCL</v>
      </c>
      <c r="J4" t="s">
        <v>18</v>
      </c>
      <c r="K4" s="7">
        <v>0.13634782608695653</v>
      </c>
      <c r="L4" s="7">
        <v>0.15563458001226241</v>
      </c>
      <c r="M4" s="7">
        <v>0.1699764440451953</v>
      </c>
      <c r="N4" s="7">
        <v>0.14129271597932952</v>
      </c>
    </row>
    <row r="5" spans="1:14">
      <c r="A5" s="9" t="s">
        <v>22</v>
      </c>
      <c r="B5" s="10">
        <v>6000</v>
      </c>
      <c r="C5" s="10">
        <v>868</v>
      </c>
      <c r="D5" s="12">
        <f t="shared" si="0"/>
        <v>0.14466666666666667</v>
      </c>
      <c r="E5" s="12">
        <f t="shared" si="1"/>
        <v>0.15563458001226241</v>
      </c>
      <c r="F5" s="12">
        <f t="shared" si="2"/>
        <v>0.16967447624674376</v>
      </c>
      <c r="G5" s="12">
        <f t="shared" si="3"/>
        <v>0.14159468377778106</v>
      </c>
      <c r="H5" s="9" t="str">
        <f t="shared" si="4"/>
        <v>Stable</v>
      </c>
      <c r="J5" t="s">
        <v>22</v>
      </c>
      <c r="K5" s="7">
        <v>0.14466666666666667</v>
      </c>
      <c r="L5" s="7">
        <v>0.15563458001226241</v>
      </c>
      <c r="M5" s="7">
        <v>0.16967447624674376</v>
      </c>
      <c r="N5" s="7">
        <v>0.14159468377778106</v>
      </c>
    </row>
    <row r="6" spans="1:14">
      <c r="A6" s="9" t="s">
        <v>26</v>
      </c>
      <c r="B6" s="10">
        <v>6450</v>
      </c>
      <c r="C6" s="10">
        <v>949</v>
      </c>
      <c r="D6" s="12">
        <f t="shared" si="0"/>
        <v>0.14713178294573642</v>
      </c>
      <c r="E6" s="12">
        <f t="shared" si="1"/>
        <v>0.15563458001226241</v>
      </c>
      <c r="F6" s="12">
        <f t="shared" si="2"/>
        <v>0.16917585837845447</v>
      </c>
      <c r="G6" s="12">
        <f t="shared" si="3"/>
        <v>0.14209330164607034</v>
      </c>
      <c r="H6" s="9" t="str">
        <f t="shared" si="4"/>
        <v>Stable</v>
      </c>
      <c r="J6" t="s">
        <v>26</v>
      </c>
      <c r="K6" s="7">
        <v>0.14713178294573642</v>
      </c>
      <c r="L6" s="7">
        <v>0.15563458001226241</v>
      </c>
      <c r="M6" s="7">
        <v>0.16917585837845447</v>
      </c>
      <c r="N6" s="7">
        <v>0.14209330164607034</v>
      </c>
    </row>
    <row r="7" spans="1:14">
      <c r="A7" s="9" t="s">
        <v>31</v>
      </c>
      <c r="B7" s="10">
        <v>6900</v>
      </c>
      <c r="C7" s="10">
        <v>1068</v>
      </c>
      <c r="D7" s="12">
        <f t="shared" si="0"/>
        <v>0.15478260869565216</v>
      </c>
      <c r="E7" s="12">
        <f t="shared" si="1"/>
        <v>0.15563458001226241</v>
      </c>
      <c r="F7" s="12">
        <f t="shared" si="2"/>
        <v>0.16872685075811134</v>
      </c>
      <c r="G7" s="12">
        <f t="shared" si="3"/>
        <v>0.14254230926641348</v>
      </c>
      <c r="H7" s="9" t="str">
        <f t="shared" si="4"/>
        <v>Stable</v>
      </c>
      <c r="J7" t="s">
        <v>31</v>
      </c>
      <c r="K7" s="7">
        <v>0.15478260869565216</v>
      </c>
      <c r="L7" s="7">
        <v>0.15563458001226241</v>
      </c>
      <c r="M7" s="7">
        <v>0.16872685075811134</v>
      </c>
      <c r="N7" s="7">
        <v>0.14254230926641348</v>
      </c>
    </row>
    <row r="8" spans="1:14">
      <c r="A8" s="9" t="s">
        <v>36</v>
      </c>
      <c r="B8" s="10">
        <v>7250</v>
      </c>
      <c r="C8" s="10">
        <v>1170</v>
      </c>
      <c r="D8" s="12">
        <f t="shared" si="0"/>
        <v>0.16137931034482758</v>
      </c>
      <c r="E8" s="12">
        <f t="shared" si="1"/>
        <v>0.15563458001226241</v>
      </c>
      <c r="F8" s="12">
        <f t="shared" si="2"/>
        <v>0.16840692145315575</v>
      </c>
      <c r="G8" s="12">
        <f t="shared" si="3"/>
        <v>0.14286223857136907</v>
      </c>
      <c r="H8" s="9" t="str">
        <f t="shared" si="4"/>
        <v>Stable</v>
      </c>
      <c r="J8" t="s">
        <v>36</v>
      </c>
      <c r="K8" s="7">
        <v>0.16137931034482758</v>
      </c>
      <c r="L8" s="7">
        <v>0.15563458001226241</v>
      </c>
      <c r="M8" s="7">
        <v>0.16840692145315575</v>
      </c>
      <c r="N8" s="7">
        <v>0.14286223857136907</v>
      </c>
    </row>
    <row r="9" spans="1:14">
      <c r="A9" s="9" t="s">
        <v>40</v>
      </c>
      <c r="B9" s="10">
        <v>7100</v>
      </c>
      <c r="C9" s="10">
        <v>1101</v>
      </c>
      <c r="D9" s="12">
        <f t="shared" si="0"/>
        <v>0.15507042253521128</v>
      </c>
      <c r="E9" s="12">
        <f t="shared" si="1"/>
        <v>0.15563458001226241</v>
      </c>
      <c r="F9" s="12">
        <f t="shared" si="2"/>
        <v>0.16854113538153129</v>
      </c>
      <c r="G9" s="12">
        <f t="shared" si="3"/>
        <v>0.14272802464299353</v>
      </c>
      <c r="H9" s="9" t="str">
        <f t="shared" si="4"/>
        <v>Stable</v>
      </c>
      <c r="J9" t="s">
        <v>40</v>
      </c>
      <c r="K9" s="7">
        <v>0.15507042253521128</v>
      </c>
      <c r="L9" s="7">
        <v>0.15563458001226241</v>
      </c>
      <c r="M9" s="7">
        <v>0.16854113538153129</v>
      </c>
      <c r="N9" s="7">
        <v>0.14272802464299353</v>
      </c>
    </row>
    <row r="10" spans="1:14">
      <c r="A10" s="9" t="s">
        <v>44</v>
      </c>
      <c r="B10" s="10">
        <v>6800</v>
      </c>
      <c r="C10" s="10">
        <v>991</v>
      </c>
      <c r="D10" s="12">
        <f t="shared" si="0"/>
        <v>0.14573529411764705</v>
      </c>
      <c r="E10" s="12">
        <f t="shared" si="1"/>
        <v>0.15563458001226241</v>
      </c>
      <c r="F10" s="12">
        <f t="shared" si="2"/>
        <v>0.16882276611178312</v>
      </c>
      <c r="G10" s="12">
        <f t="shared" si="3"/>
        <v>0.14244639391274169</v>
      </c>
      <c r="H10" s="9" t="str">
        <f t="shared" si="4"/>
        <v>Stable</v>
      </c>
      <c r="J10" t="s">
        <v>44</v>
      </c>
      <c r="K10" s="7">
        <v>0.14573529411764705</v>
      </c>
      <c r="L10" s="7">
        <v>0.15563458001226241</v>
      </c>
      <c r="M10" s="7">
        <v>0.16882276611178312</v>
      </c>
      <c r="N10" s="7">
        <v>0.14244639391274169</v>
      </c>
    </row>
    <row r="11" spans="1:14">
      <c r="A11" s="9" t="s">
        <v>47</v>
      </c>
      <c r="B11" s="10">
        <v>7400</v>
      </c>
      <c r="C11" s="10">
        <v>1203</v>
      </c>
      <c r="D11" s="12">
        <f t="shared" si="0"/>
        <v>0.16256756756756757</v>
      </c>
      <c r="E11" s="12">
        <f t="shared" si="1"/>
        <v>0.15563458001226241</v>
      </c>
      <c r="F11" s="12">
        <f t="shared" si="2"/>
        <v>0.16827680931901831</v>
      </c>
      <c r="G11" s="12">
        <f t="shared" si="3"/>
        <v>0.1429923507055065</v>
      </c>
      <c r="H11" s="9" t="str">
        <f t="shared" si="4"/>
        <v>Stable</v>
      </c>
      <c r="J11" t="s">
        <v>47</v>
      </c>
      <c r="K11" s="7">
        <v>0.16256756756756757</v>
      </c>
      <c r="L11" s="7">
        <v>0.15563458001226241</v>
      </c>
      <c r="M11" s="7">
        <v>0.16827680931901831</v>
      </c>
      <c r="N11" s="7">
        <v>0.1429923507055065</v>
      </c>
    </row>
    <row r="12" spans="1:14">
      <c r="A12" s="9" t="s">
        <v>50</v>
      </c>
      <c r="B12" s="10">
        <v>8200</v>
      </c>
      <c r="C12" s="10">
        <v>1447</v>
      </c>
      <c r="D12" s="12">
        <f t="shared" si="0"/>
        <v>0.17646341463414633</v>
      </c>
      <c r="E12" s="12">
        <f t="shared" si="1"/>
        <v>0.15563458001226241</v>
      </c>
      <c r="F12" s="12">
        <f t="shared" si="2"/>
        <v>0.16764429212701648</v>
      </c>
      <c r="G12" s="12">
        <f t="shared" si="3"/>
        <v>0.14362486789750833</v>
      </c>
      <c r="H12" s="9" t="str">
        <f t="shared" si="4"/>
        <v>Above UCL</v>
      </c>
      <c r="J12" t="s">
        <v>50</v>
      </c>
      <c r="K12" s="7">
        <v>0.17646341463414633</v>
      </c>
      <c r="L12" s="7">
        <v>0.15563458001226241</v>
      </c>
      <c r="M12" s="7">
        <v>0.16764429212701648</v>
      </c>
      <c r="N12" s="7">
        <v>0.14362486789750833</v>
      </c>
    </row>
    <row r="13" spans="1:14">
      <c r="A13" s="9" t="s">
        <v>51</v>
      </c>
      <c r="B13" s="10">
        <v>9100</v>
      </c>
      <c r="C13" s="10">
        <v>1681</v>
      </c>
      <c r="D13" s="12">
        <f t="shared" si="0"/>
        <v>0.18472527472527472</v>
      </c>
      <c r="E13" s="12">
        <f t="shared" si="1"/>
        <v>0.15563458001226241</v>
      </c>
      <c r="F13" s="12">
        <f t="shared" si="2"/>
        <v>0.16703494687376846</v>
      </c>
      <c r="G13" s="12">
        <f t="shared" si="3"/>
        <v>0.14423421315075635</v>
      </c>
      <c r="H13" s="9" t="str">
        <f t="shared" si="4"/>
        <v>Above UCL</v>
      </c>
      <c r="J13" t="s">
        <v>51</v>
      </c>
      <c r="K13" s="7">
        <v>0.18472527472527472</v>
      </c>
      <c r="L13" s="7">
        <v>0.15563458001226241</v>
      </c>
      <c r="M13" s="7">
        <v>0.16703494687376846</v>
      </c>
      <c r="N13" s="7">
        <v>0.14423421315075635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/>
  </sheetViews>
  <sheetFormatPr defaultRowHeight="13.8"/>
  <cols>
    <col min="1" max="1" width="24" customWidth="1"/>
    <col min="2" max="2" width="30" customWidth="1"/>
    <col min="3" max="3" width="34" customWidth="1"/>
    <col min="4" max="4" width="44" customWidth="1"/>
    <col min="5" max="5" width="24" customWidth="1"/>
    <col min="6" max="6" width="14" customWidth="1"/>
    <col min="7" max="7" width="18" customWidth="1"/>
    <col min="8" max="8" width="28" customWidth="1"/>
  </cols>
  <sheetData>
    <row r="1" spans="1:8">
      <c r="A1" s="1" t="s">
        <v>100</v>
      </c>
      <c r="B1" s="1" t="s">
        <v>101</v>
      </c>
      <c r="C1" s="1" t="s">
        <v>102</v>
      </c>
      <c r="D1" s="1" t="s">
        <v>86</v>
      </c>
      <c r="E1" s="1" t="s">
        <v>103</v>
      </c>
      <c r="F1" s="1" t="s">
        <v>104</v>
      </c>
      <c r="G1" s="1" t="s">
        <v>105</v>
      </c>
      <c r="H1" s="1" t="s">
        <v>106</v>
      </c>
    </row>
    <row r="2" spans="1:8" ht="27.6">
      <c r="A2" s="2" t="s">
        <v>107</v>
      </c>
      <c r="B2" s="2" t="s">
        <v>108</v>
      </c>
      <c r="C2" s="2" t="s">
        <v>109</v>
      </c>
      <c r="D2" s="2" t="s">
        <v>110</v>
      </c>
      <c r="E2" s="2" t="s">
        <v>111</v>
      </c>
      <c r="F2" s="2" t="s">
        <v>59</v>
      </c>
      <c r="G2" s="2" t="s">
        <v>112</v>
      </c>
      <c r="H2" s="2" t="s">
        <v>113</v>
      </c>
    </row>
    <row r="3" spans="1:8" ht="27.6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59</v>
      </c>
      <c r="G3" s="2" t="s">
        <v>119</v>
      </c>
      <c r="H3" s="2" t="s">
        <v>120</v>
      </c>
    </row>
    <row r="4" spans="1:8" ht="27.6">
      <c r="A4" s="2" t="s">
        <v>121</v>
      </c>
      <c r="B4" s="2" t="s">
        <v>122</v>
      </c>
      <c r="C4" s="2" t="s">
        <v>123</v>
      </c>
      <c r="D4" s="2" t="s">
        <v>124</v>
      </c>
      <c r="E4" s="2" t="s">
        <v>125</v>
      </c>
      <c r="F4" s="2" t="s">
        <v>66</v>
      </c>
      <c r="G4" s="2" t="s">
        <v>119</v>
      </c>
      <c r="H4" s="2" t="s">
        <v>126</v>
      </c>
    </row>
    <row r="5" spans="1:8" ht="27.6">
      <c r="A5" s="2" t="s">
        <v>23</v>
      </c>
      <c r="B5" s="2" t="s">
        <v>127</v>
      </c>
      <c r="C5" s="2" t="s">
        <v>128</v>
      </c>
      <c r="D5" s="2" t="s">
        <v>129</v>
      </c>
      <c r="E5" s="2" t="s">
        <v>130</v>
      </c>
      <c r="F5" s="2" t="s">
        <v>66</v>
      </c>
      <c r="G5" s="2" t="s">
        <v>112</v>
      </c>
      <c r="H5" s="2" t="s">
        <v>131</v>
      </c>
    </row>
    <row r="6" spans="1:8" ht="27.6">
      <c r="A6" s="2" t="s">
        <v>27</v>
      </c>
      <c r="B6" s="2" t="s">
        <v>132</v>
      </c>
      <c r="C6" s="2" t="s">
        <v>133</v>
      </c>
      <c r="D6" s="2" t="s">
        <v>134</v>
      </c>
      <c r="E6" s="2" t="s">
        <v>118</v>
      </c>
      <c r="F6" s="2" t="s">
        <v>66</v>
      </c>
      <c r="G6" s="2" t="s">
        <v>135</v>
      </c>
      <c r="H6" s="2" t="s">
        <v>136</v>
      </c>
    </row>
    <row r="7" spans="1:8" ht="27.6">
      <c r="A7" s="2" t="s">
        <v>32</v>
      </c>
      <c r="B7" s="2" t="s">
        <v>137</v>
      </c>
      <c r="C7" s="2" t="s">
        <v>138</v>
      </c>
      <c r="D7" s="2" t="s">
        <v>139</v>
      </c>
      <c r="E7" s="2" t="s">
        <v>140</v>
      </c>
      <c r="F7" s="2" t="s">
        <v>66</v>
      </c>
      <c r="G7" s="2" t="s">
        <v>112</v>
      </c>
      <c r="H7" s="2" t="s">
        <v>141</v>
      </c>
    </row>
  </sheetData>
  <dataValidations count="1">
    <dataValidation type="list" sqref="F2:F7" xr:uid="{00000000-0002-0000-0400-000000000000}">
      <formula1>"High,Medium,Low"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/>
  </sheetViews>
  <sheetFormatPr defaultRowHeight="13.8"/>
  <cols>
    <col min="1" max="1" width="24" customWidth="1"/>
    <col min="2" max="2" width="44" customWidth="1"/>
    <col min="3" max="3" width="48" customWidth="1"/>
    <col min="4" max="4" width="18" customWidth="1"/>
  </cols>
  <sheetData>
    <row r="1" spans="1:4">
      <c r="A1" s="1" t="s">
        <v>142</v>
      </c>
      <c r="B1" s="1" t="s">
        <v>143</v>
      </c>
      <c r="C1" s="1" t="s">
        <v>144</v>
      </c>
      <c r="D1" s="1" t="s">
        <v>145</v>
      </c>
    </row>
    <row r="2" spans="1:4">
      <c r="A2" s="2" t="s">
        <v>2</v>
      </c>
      <c r="B2" s="2" t="s">
        <v>146</v>
      </c>
      <c r="C2" s="2" t="s">
        <v>147</v>
      </c>
      <c r="D2" s="2" t="s">
        <v>148</v>
      </c>
    </row>
    <row r="3" spans="1:4" ht="27.6">
      <c r="A3" s="2" t="s">
        <v>78</v>
      </c>
      <c r="B3" s="2" t="s">
        <v>149</v>
      </c>
      <c r="C3" s="2" t="s">
        <v>150</v>
      </c>
      <c r="D3" s="2" t="s">
        <v>151</v>
      </c>
    </row>
    <row r="4" spans="1:4">
      <c r="A4" s="2" t="s">
        <v>8</v>
      </c>
      <c r="B4" s="2" t="s">
        <v>152</v>
      </c>
      <c r="C4" s="2" t="s">
        <v>153</v>
      </c>
      <c r="D4" s="2" t="s">
        <v>154</v>
      </c>
    </row>
    <row r="5" spans="1:4" ht="27.6">
      <c r="A5" s="2" t="s">
        <v>79</v>
      </c>
      <c r="B5" s="2" t="s">
        <v>155</v>
      </c>
      <c r="C5" s="2" t="s">
        <v>156</v>
      </c>
      <c r="D5" s="2" t="s">
        <v>157</v>
      </c>
    </row>
    <row r="6" spans="1:4" ht="27.6">
      <c r="A6" s="2" t="s">
        <v>41</v>
      </c>
      <c r="B6" s="2" t="s">
        <v>158</v>
      </c>
      <c r="C6" s="2" t="s">
        <v>159</v>
      </c>
      <c r="D6" s="2" t="s">
        <v>160</v>
      </c>
    </row>
    <row r="7" spans="1:4" ht="27.6">
      <c r="A7" s="2" t="s">
        <v>161</v>
      </c>
      <c r="B7" s="2" t="s">
        <v>162</v>
      </c>
      <c r="C7" s="2" t="s">
        <v>163</v>
      </c>
      <c r="D7" s="2" t="s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tabSelected="1" workbookViewId="0">
      <selection sqref="A1:F1"/>
    </sheetView>
  </sheetViews>
  <sheetFormatPr defaultRowHeight="13.8"/>
  <cols>
    <col min="1" max="1" width="14" customWidth="1"/>
    <col min="2" max="2" width="90" customWidth="1"/>
  </cols>
  <sheetData>
    <row r="1" spans="1:6" ht="21">
      <c r="A1" s="16" t="s">
        <v>165</v>
      </c>
      <c r="B1" s="14"/>
      <c r="C1" s="14"/>
      <c r="D1" s="14"/>
      <c r="E1" s="14"/>
      <c r="F1" s="14"/>
    </row>
    <row r="3" spans="1:6">
      <c r="A3" s="1" t="s">
        <v>166</v>
      </c>
      <c r="B3" s="1" t="s">
        <v>167</v>
      </c>
    </row>
    <row r="4" spans="1:6">
      <c r="A4" s="2" t="s">
        <v>168</v>
      </c>
      <c r="B4" s="2" t="s">
        <v>169</v>
      </c>
    </row>
    <row r="5" spans="1:6">
      <c r="A5" s="2" t="s">
        <v>170</v>
      </c>
      <c r="B5" s="2" t="s">
        <v>171</v>
      </c>
    </row>
    <row r="6" spans="1:6" ht="27.6">
      <c r="A6" s="2" t="s">
        <v>172</v>
      </c>
      <c r="B6" s="2" t="s">
        <v>173</v>
      </c>
    </row>
    <row r="7" spans="1:6" ht="27.6">
      <c r="A7" s="2" t="s">
        <v>174</v>
      </c>
      <c r="B7" s="2" t="s">
        <v>175</v>
      </c>
    </row>
    <row r="8" spans="1:6">
      <c r="A8" s="2" t="s">
        <v>176</v>
      </c>
      <c r="B8" s="2" t="s">
        <v>177</v>
      </c>
    </row>
    <row r="9" spans="1:6" ht="27.6">
      <c r="A9" s="2" t="s">
        <v>178</v>
      </c>
      <c r="B9" s="2" t="s">
        <v>179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Simulated_Data</vt:lpstr>
      <vt:lpstr>Pareto_Analysis</vt:lpstr>
      <vt:lpstr>Control_Chart</vt:lpstr>
      <vt:lpstr>Root_Cause_Action_Plan</vt:lpstr>
      <vt:lpstr>Quality_Metrics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Sherry Haghbin</cp:lastModifiedBy>
  <dcterms:modified xsi:type="dcterms:W3CDTF">2026-06-11T09:28:37Z</dcterms:modified>
</cp:coreProperties>
</file>
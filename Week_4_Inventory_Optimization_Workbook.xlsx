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F26EC947-BACE-4539-B8D8-A5BD24FDDC26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Dashboard" sheetId="1" r:id="rId1"/>
    <sheet name="Assumptions" sheetId="2" r:id="rId2"/>
    <sheet name="Demand History" sheetId="3" r:id="rId3"/>
    <sheet name="Forecast Model" sheetId="4" r:id="rId4"/>
    <sheet name="Reorder Plan" sheetId="5" r:id="rId5"/>
    <sheet name="Resource Plan" sheetId="6" r:id="rId6"/>
    <sheet name="Risk Register" sheetId="7" r:id="rId7"/>
    <sheet name="Recommenda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D10" i="5"/>
  <c r="L9" i="5"/>
  <c r="J9" i="5"/>
  <c r="L8" i="5"/>
  <c r="J8" i="5"/>
  <c r="L7" i="5"/>
  <c r="J7" i="5"/>
  <c r="L6" i="5"/>
  <c r="J6" i="5"/>
  <c r="L5" i="5"/>
  <c r="J5" i="5"/>
  <c r="L4" i="5"/>
  <c r="J4" i="5"/>
  <c r="L3" i="5"/>
  <c r="J3" i="5"/>
  <c r="L2" i="5"/>
  <c r="L10" i="5" s="1"/>
  <c r="J2" i="5"/>
  <c r="J10" i="5" s="1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P9" i="4" s="1"/>
  <c r="N8" i="4"/>
  <c r="P8" i="4" s="1"/>
  <c r="N7" i="4"/>
  <c r="P7" i="4" s="1"/>
  <c r="N6" i="4"/>
  <c r="P6" i="4" s="1"/>
  <c r="N5" i="4"/>
  <c r="P5" i="4" s="1"/>
  <c r="N4" i="4"/>
  <c r="P4" i="4" s="1"/>
  <c r="N3" i="4"/>
  <c r="N10" i="4" s="1"/>
  <c r="N2" i="4"/>
  <c r="P2" i="4" s="1"/>
  <c r="F5" i="5" l="1"/>
  <c r="T5" i="4"/>
  <c r="H5" i="5" s="1"/>
  <c r="R5" i="4"/>
  <c r="G5" i="5" s="1"/>
  <c r="F6" i="5"/>
  <c r="R6" i="4"/>
  <c r="G6" i="5" s="1"/>
  <c r="P6" i="5"/>
  <c r="P5" i="5"/>
  <c r="F4" i="5"/>
  <c r="R4" i="4"/>
  <c r="G4" i="5" s="1"/>
  <c r="T9" i="4"/>
  <c r="H9" i="5" s="1"/>
  <c r="R9" i="4"/>
  <c r="G9" i="5" s="1"/>
  <c r="F9" i="5"/>
  <c r="F7" i="5"/>
  <c r="R7" i="4"/>
  <c r="G7" i="5" s="1"/>
  <c r="P9" i="5"/>
  <c r="F2" i="5"/>
  <c r="P10" i="4"/>
  <c r="T2" i="4"/>
  <c r="R2" i="4"/>
  <c r="F8" i="5"/>
  <c r="R8" i="4"/>
  <c r="G8" i="5" s="1"/>
  <c r="P8" i="5" s="1"/>
  <c r="P3" i="4"/>
  <c r="N4" i="5"/>
  <c r="N5" i="5"/>
  <c r="N6" i="5"/>
  <c r="N7" i="5"/>
  <c r="N9" i="5"/>
  <c r="H2" i="5" l="1"/>
  <c r="T4" i="4"/>
  <c r="H4" i="5" s="1"/>
  <c r="I4" i="5"/>
  <c r="K4" i="5" s="1"/>
  <c r="O4" i="5" s="1"/>
  <c r="Q4" i="5" s="1"/>
  <c r="M4" i="5"/>
  <c r="S4" i="5" s="1"/>
  <c r="N2" i="5"/>
  <c r="T7" i="4"/>
  <c r="H7" i="5" s="1"/>
  <c r="F3" i="5"/>
  <c r="R3" i="4"/>
  <c r="G3" i="5" s="1"/>
  <c r="P4" i="5"/>
  <c r="M7" i="5"/>
  <c r="S7" i="5" s="1"/>
  <c r="I7" i="5"/>
  <c r="K7" i="5" s="1"/>
  <c r="O7" i="5" s="1"/>
  <c r="Q7" i="5" s="1"/>
  <c r="T6" i="4"/>
  <c r="H6" i="5" s="1"/>
  <c r="M6" i="5"/>
  <c r="S6" i="5" s="1"/>
  <c r="I6" i="5"/>
  <c r="K6" i="5" s="1"/>
  <c r="O6" i="5" s="1"/>
  <c r="Q6" i="5" s="1"/>
  <c r="T8" i="4"/>
  <c r="H8" i="5" s="1"/>
  <c r="P7" i="5"/>
  <c r="I2" i="5"/>
  <c r="K2" i="5" s="1"/>
  <c r="M2" i="5"/>
  <c r="F10" i="5"/>
  <c r="N8" i="5"/>
  <c r="M8" i="5"/>
  <c r="S8" i="5" s="1"/>
  <c r="I8" i="5"/>
  <c r="K8" i="5" s="1"/>
  <c r="O8" i="5" s="1"/>
  <c r="Q8" i="5" s="1"/>
  <c r="M9" i="5"/>
  <c r="S9" i="5" s="1"/>
  <c r="I9" i="5"/>
  <c r="K9" i="5" s="1"/>
  <c r="O9" i="5" s="1"/>
  <c r="Q9" i="5" s="1"/>
  <c r="G2" i="5"/>
  <c r="I5" i="5"/>
  <c r="K5" i="5" s="1"/>
  <c r="O5" i="5" s="1"/>
  <c r="Q5" i="5" s="1"/>
  <c r="M5" i="5"/>
  <c r="S5" i="5" s="1"/>
  <c r="T3" i="4" l="1"/>
  <c r="I3" i="5"/>
  <c r="K3" i="5" s="1"/>
  <c r="O3" i="5" s="1"/>
  <c r="Q3" i="5" s="1"/>
  <c r="M3" i="5"/>
  <c r="S3" i="5" s="1"/>
  <c r="P3" i="5"/>
  <c r="N3" i="5"/>
  <c r="N10" i="5"/>
  <c r="M10" i="5"/>
  <c r="S2" i="5"/>
  <c r="S10" i="5" s="1"/>
  <c r="K10" i="5"/>
  <c r="O2" i="5"/>
  <c r="Q2" i="5" s="1"/>
  <c r="G10" i="5"/>
  <c r="R10" i="4"/>
  <c r="P2" i="5"/>
  <c r="H3" i="5" l="1"/>
  <c r="H10" i="5" s="1"/>
  <c r="T10" i="4"/>
</calcChain>
</file>

<file path=xl/sharedStrings.xml><?xml version="1.0" encoding="utf-8"?>
<sst xmlns="http://schemas.openxmlformats.org/spreadsheetml/2006/main" count="276" uniqueCount="190">
  <si>
    <t>Week 4: Operational Inventory and Resource Optimization</t>
  </si>
  <si>
    <t>Scenario: E-commerce fulfillment center using moving-average forecasting, reorder points, safety stock and resource planning.</t>
  </si>
  <si>
    <t>KPI</t>
  </si>
  <si>
    <t>Value</t>
  </si>
  <si>
    <t>Interpretation</t>
  </si>
  <si>
    <t>Action</t>
  </si>
  <si>
    <t>Jan Forecast Demand</t>
  </si>
  <si>
    <t>Expected units required next month</t>
  </si>
  <si>
    <t>Plan purchasing and warehouse capacity</t>
  </si>
  <si>
    <t>Current Stock</t>
  </si>
  <si>
    <t>Units currently available</t>
  </si>
  <si>
    <t>Compare with forecast and reorder point</t>
  </si>
  <si>
    <t>On Order</t>
  </si>
  <si>
    <t>Units already committed from suppliers</t>
  </si>
  <si>
    <t>Track supplier delivery dates</t>
  </si>
  <si>
    <t>Recommended Order Qty</t>
  </si>
  <si>
    <t>Suggested purchase quantity</t>
  </si>
  <si>
    <t>Prioritize high-risk categories</t>
  </si>
  <si>
    <t>High Stockout Risk Categories</t>
  </si>
  <si>
    <t>Categories below reorder point</t>
  </si>
  <si>
    <t>Escalate immediately</t>
  </si>
  <si>
    <t>High Overstock Risk Categories</t>
  </si>
  <si>
    <t>Categories with excess inventory</t>
  </si>
  <si>
    <t>Promotion or purchasing freeze</t>
  </si>
  <si>
    <t>Average Supplier Lead Time</t>
  </si>
  <si>
    <t>Average days to replenish</t>
  </si>
  <si>
    <t>Monitor supplier reliability</t>
  </si>
  <si>
    <t>Month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</si>
  <si>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</si>
  <si>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</si>
  <si>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</si>
  <si>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</si>
  <si>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</si>
  <si>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</si>
  <si>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</si>
  <si>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</si>
  <si>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</si>
  <si>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</si>
  <si>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</si>
  <si>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</si>
  <si>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</si>
  <si>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</si>
  <si>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</si>
  <si>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 Demand</t>
  </si>
  <si>
    <t>Category</t>
  </si>
  <si>
    <t>Reorder Point</t>
  </si>
  <si>
    <t>Risk Level</t>
  </si>
  <si>
    <t>Count</t>
  </si>
  <si>
    <t>Consumer Electronics</t>
  </si>
  <si>
    <t>High</t>
  </si>
  <si>
    <t>Beauty &amp; Personal Care</t>
  </si>
  <si>
    <t>Medium</t>
  </si>
  <si>
    <t>Home &amp; Kitchen</t>
  </si>
  <si>
    <t>Low</t>
  </si>
  <si>
    <t>Fashion Accessories</t>
  </si>
  <si>
    <t>Health &amp; Wellness</t>
  </si>
  <si>
    <t>Toys &amp; Games</t>
  </si>
  <si>
    <t>Office Supplies</t>
  </si>
  <si>
    <t>Sports &amp; Outdoor</t>
  </si>
  <si>
    <t>Inventory Optimization Assumptions and Methodology</t>
  </si>
  <si>
    <t>Input / Method</t>
  </si>
  <si>
    <t>Formula</t>
  </si>
  <si>
    <t>Use in workbook</t>
  </si>
  <si>
    <t>Scenario</t>
  </si>
  <si>
    <t>E-commerce fulfillment operation managing multi-category inventory and warehouse resources</t>
  </si>
  <si>
    <t>3-Month Moving Average</t>
  </si>
  <si>
    <t>Average of the last three demand periods to smooth short-term fluctuation.</t>
  </si>
  <si>
    <t>Forecasting method</t>
  </si>
  <si>
    <t>3-month moving average with category-specific seasonal adjustment</t>
  </si>
  <si>
    <t>Seasonal Forecast</t>
  </si>
  <si>
    <t>Moving average multiplied by seasonal adjustment factor for the next month.</t>
  </si>
  <si>
    <t>Planning horizon</t>
  </si>
  <si>
    <t>January to March 2026</t>
  </si>
  <si>
    <t>Safety Stock</t>
  </si>
  <si>
    <t>Historical demand variation adjusted by supplier lead time and service factor.</t>
  </si>
  <si>
    <t>Demand unit</t>
  </si>
  <si>
    <t>Order units by product category</t>
  </si>
  <si>
    <t>Expected demand during lead time plus safety stock.</t>
  </si>
  <si>
    <t>Service level target</t>
  </si>
  <si>
    <t>95% availability for A and B priority categories</t>
  </si>
  <si>
    <t>Recommended Order Quantity</t>
  </si>
  <si>
    <t>Target coverage requirement minus inventory position, constrained to zero minimum.</t>
  </si>
  <si>
    <t>Safety stock factor</t>
  </si>
  <si>
    <t>Target coverage days</t>
  </si>
  <si>
    <t>Warehouse working days per month</t>
  </si>
  <si>
    <t>Pick/pack productivity</t>
  </si>
  <si>
    <t>85 order units per associate per day</t>
  </si>
  <si>
    <t>Receiving productivity</t>
  </si>
  <si>
    <t>220 units per receiving associate per day</t>
  </si>
  <si>
    <t>Customer service planning</t>
  </si>
  <si>
    <t>1 agent per 550 forecasted service tickets</t>
  </si>
  <si>
    <t>Source</t>
  </si>
  <si>
    <t>Simulated operational dataset built from realistic e-commerce fulfillment assumptions for this Week 4 task</t>
  </si>
  <si>
    <t>Total Actual Demand</t>
  </si>
  <si>
    <t>Average Monthly Demand</t>
  </si>
  <si>
    <t>3-Month Avg</t>
  </si>
  <si>
    <t>Jan Seasonality</t>
  </si>
  <si>
    <t>Jan-26 Forecast</t>
  </si>
  <si>
    <t>Feb Seasonality</t>
  </si>
  <si>
    <t>Feb-26 Forecast</t>
  </si>
  <si>
    <t>Mar Seasonality</t>
  </si>
  <si>
    <t>Mar-26 Forecast</t>
  </si>
  <si>
    <t>Total</t>
  </si>
  <si>
    <t>ABC Class</t>
  </si>
  <si>
    <t>Supplier Lead Time (days)</t>
  </si>
  <si>
    <t>Daily Demand</t>
  </si>
  <si>
    <t>Inventory Position</t>
  </si>
  <si>
    <t>Projected Ending Stock</t>
  </si>
  <si>
    <t>Stockout Risk</t>
  </si>
  <si>
    <t>Overstock Risk</t>
  </si>
  <si>
    <t>Priority</t>
  </si>
  <si>
    <t>Unit Cost</t>
  </si>
  <si>
    <t>Estimated Purchase Cost</t>
  </si>
  <si>
    <t>A</t>
  </si>
  <si>
    <t>B</t>
  </si>
  <si>
    <t>C</t>
  </si>
  <si>
    <t>Total / Summary</t>
  </si>
  <si>
    <t>Forecasted Units</t>
  </si>
  <si>
    <t>Expected Customer Service Tickets</t>
  </si>
  <si>
    <t>Pick/Pack Associates</t>
  </si>
  <si>
    <t>Receiving Associates</t>
  </si>
  <si>
    <t>Inventory Control Associates</t>
  </si>
  <si>
    <t>Customer Service Agents</t>
  </si>
  <si>
    <t>Resource Notes</t>
  </si>
  <si>
    <t>Maintain baseline coverage</t>
  </si>
  <si>
    <t>Peak resource level required</t>
  </si>
  <si>
    <t>Risk</t>
  </si>
  <si>
    <t>Impact</t>
  </si>
  <si>
    <t>Operational Effect</t>
  </si>
  <si>
    <t>Mitigation Strategy</t>
  </si>
  <si>
    <t>Owner</t>
  </si>
  <si>
    <t>Status</t>
  </si>
  <si>
    <t>Demand spike higher than forecast</t>
  </si>
  <si>
    <t>Stockouts and backorders</t>
  </si>
  <si>
    <t>Use weekly forecast refresh and keep safety stock for A/B items</t>
  </si>
  <si>
    <t>Operations Manager</t>
  </si>
  <si>
    <t>Open</t>
  </si>
  <si>
    <t>Supplier lead time delays</t>
  </si>
  <si>
    <t>Late replenishment and missed SLAs</t>
  </si>
  <si>
    <t>Track supplier delivery commitments and create backup supplier list</t>
  </si>
  <si>
    <t>Procurement Lead</t>
  </si>
  <si>
    <t>Excess inventory after seasonal peak</t>
  </si>
  <si>
    <t>Higher storage cost and working capital pressure</t>
  </si>
  <si>
    <t>Use markdown plan and freeze buying for slow-moving SKUs</t>
  </si>
  <si>
    <t>Inventory Controller</t>
  </si>
  <si>
    <t>Inaccurate inventory counts</t>
  </si>
  <si>
    <t>False availability and customer complaints</t>
  </si>
  <si>
    <t>Run weekly cycle counts and barcode reconciliation</t>
  </si>
  <si>
    <t>Warehouse Supervisor</t>
  </si>
  <si>
    <t>Warehouse labor shortage</t>
  </si>
  <si>
    <t>Picking delays during high-volume weeks</t>
  </si>
  <si>
    <t>Schedule flexible staff based on forecasted demand</t>
  </si>
  <si>
    <t>Operations Assistant</t>
  </si>
  <si>
    <t>System update delays</t>
  </si>
  <si>
    <t>Late KPI tracking and manual reporting</t>
  </si>
  <si>
    <t>Use temporary Excel dashboard until automation is ready</t>
  </si>
  <si>
    <t>Data Analyst</t>
  </si>
  <si>
    <t>No.</t>
  </si>
  <si>
    <t>Recommendation</t>
  </si>
  <si>
    <t>Action Details</t>
  </si>
  <si>
    <t>Expected Benefit</t>
  </si>
  <si>
    <t>Timing</t>
  </si>
  <si>
    <t>1</t>
  </si>
  <si>
    <t>Set reorder-point alerts</t>
  </si>
  <si>
    <t>Use the reorder point and safety stock fields to trigger weekly purchasing actions.</t>
  </si>
  <si>
    <t>Fewer emergency orders and lower stockout risk</t>
  </si>
  <si>
    <t>Immediate</t>
  </si>
  <si>
    <t>2</t>
  </si>
  <si>
    <t>Review high-risk categories first</t>
  </si>
  <si>
    <t>Prioritize categories with High or Medium stockout risk before placing broad orders.</t>
  </si>
  <si>
    <t>Better use of budget and purchasing capacity</t>
  </si>
  <si>
    <t>3</t>
  </si>
  <si>
    <t>Use weekly rolling forecast</t>
  </si>
  <si>
    <t>Refresh the 3-month moving average every week using the latest order and inventory data.</t>
  </si>
  <si>
    <t>More accurate demand planning</t>
  </si>
  <si>
    <t>2 weeks</t>
  </si>
  <si>
    <t>4</t>
  </si>
  <si>
    <t>Reduce overstock through promotions</t>
  </si>
  <si>
    <t>Apply promotions or purchase freezes to categories with high overstock risk.</t>
  </si>
  <si>
    <t>Lower storage cost and excess inventory</t>
  </si>
  <si>
    <t>2 to 4 weeks</t>
  </si>
  <si>
    <t>5</t>
  </si>
  <si>
    <t>Align staff schedules with forecast</t>
  </si>
  <si>
    <t>Plan picking, receiving, and customer service staffing based on monthly forecasted volume.</t>
  </si>
  <si>
    <t>Faster fulfillment and fewer bottlenecks</t>
  </si>
  <si>
    <t>Monthly</t>
  </si>
  <si>
    <t>6</t>
  </si>
  <si>
    <t>Improve supplier visibility</t>
  </si>
  <si>
    <t>Track lead times, late deliveries, and SLA compliance by supplier.</t>
  </si>
  <si>
    <t>More reliable replenishment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</si>
</sst>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6">
    <font>
      <sz val="11"/>
      <name val="Carlito"/>
    </font>
    <font>
      <b/>
      <sz val="18"/>
      <color rgb="FF0B1F33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5E7E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3" fontId="4" fillId="0" borderId="5" xfId="0" applyNumberFormat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3" fontId="4" fillId="0" borderId="8" xfId="0" applyNumberFormat="1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/>
    <xf numFmtId="2" fontId="4" fillId="0" borderId="6" xfId="0" applyNumberFormat="1" applyFont="1" applyBorder="1" applyAlignment="1">
      <alignment vertical="top" wrapText="1"/>
    </xf>
    <xf numFmtId="0" fontId="5" fillId="3" borderId="0" xfId="0" applyFont="1" applyFill="1"/>
    <xf numFmtId="3" fontId="5" fillId="3" borderId="0" xfId="0" applyNumberFormat="1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5" fillId="3" borderId="0" xfId="0" applyNumberFormat="1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4"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Total Demand</c:v>
          </c:tx>
          <c:cat>
            <c:strRef>
              <c:f>Dashboard!$B$14:$P$14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Dashboard!$B$15:$P$15</c:f>
              <c:numCache>
                <c:formatCode>#,##0</c:formatCode>
                <c:ptCount val="15"/>
                <c:pt idx="0">
                  <c:v>4480</c:v>
                </c:pt>
                <c:pt idx="1">
                  <c:v>4620</c:v>
                </c:pt>
                <c:pt idx="2">
                  <c:v>4900</c:v>
                </c:pt>
                <c:pt idx="3">
                  <c:v>5210</c:v>
                </c:pt>
                <c:pt idx="4">
                  <c:v>5620</c:v>
                </c:pt>
                <c:pt idx="5">
                  <c:v>6050</c:v>
                </c:pt>
                <c:pt idx="6">
                  <c:v>6410</c:v>
                </c:pt>
                <c:pt idx="7">
                  <c:v>6780</c:v>
                </c:pt>
                <c:pt idx="8">
                  <c:v>7100</c:v>
                </c:pt>
                <c:pt idx="9">
                  <c:v>7550</c:v>
                </c:pt>
                <c:pt idx="10">
                  <c:v>8665</c:v>
                </c:pt>
                <c:pt idx="11">
                  <c:v>10310</c:v>
                </c:pt>
                <c:pt idx="12">
                  <c:v>8277</c:v>
                </c:pt>
                <c:pt idx="13">
                  <c:v>8931</c:v>
                </c:pt>
                <c:pt idx="14">
                  <c:v>9588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E-4572-AA5D-06A7142F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6.6375458233010123E-2"/>
          <c:y val="5.0283150747460918E-2"/>
          <c:w val="0.91468514782759591"/>
          <c:h val="0.43187442941914872"/>
        </c:manualLayout>
      </c:layout>
      <c:barChart>
        <c:barDir val="col"/>
        <c:grouping val="clustered"/>
        <c:varyColors val="0"/>
        <c:ser>
          <c:idx val="0"/>
          <c:order val="0"/>
          <c:tx>
            <c:v>Current Stock</c:v>
          </c:tx>
          <c:invertIfNegative val="1"/>
          <c:cat>
            <c:strRef>
              <c:f>Dashboard!$A$19:$A$26</c:f>
              <c:strCache>
                <c:ptCount val="8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</c:strCache>
            </c:strRef>
          </c:cat>
          <c:val>
            <c:numRef>
              <c:f>Dashboard!$B$19:$B$26</c:f>
              <c:numCache>
                <c:formatCode>#,##0</c:formatCode>
                <c:ptCount val="8"/>
                <c:pt idx="0">
                  <c:v>2700</c:v>
                </c:pt>
                <c:pt idx="1">
                  <c:v>1650</c:v>
                </c:pt>
                <c:pt idx="2">
                  <c:v>1500</c:v>
                </c:pt>
                <c:pt idx="3">
                  <c:v>1200</c:v>
                </c:pt>
                <c:pt idx="4">
                  <c:v>1150</c:v>
                </c:pt>
                <c:pt idx="5">
                  <c:v>900</c:v>
                </c:pt>
                <c:pt idx="6">
                  <c:v>1300</c:v>
                </c:pt>
                <c:pt idx="7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1-4E84-BB0B-F25B81F40B05}"/>
            </c:ext>
          </c:extLst>
        </c:ser>
        <c:ser>
          <c:idx val="1"/>
          <c:order val="1"/>
          <c:tx>
            <c:v>Reorder Point</c:v>
          </c:tx>
          <c:invertIfNegative val="1"/>
          <c:cat>
            <c:strRef>
              <c:f>Dashboard!$A$19:$A$26</c:f>
              <c:strCache>
                <c:ptCount val="8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</c:strCache>
            </c:strRef>
          </c:cat>
          <c:val>
            <c:numRef>
              <c:f>Dashboard!$C$19:$C$26</c:f>
              <c:numCache>
                <c:formatCode>#,##0</c:formatCode>
                <c:ptCount val="8"/>
                <c:pt idx="0">
                  <c:v>975</c:v>
                </c:pt>
                <c:pt idx="1">
                  <c:v>600</c:v>
                </c:pt>
                <c:pt idx="2">
                  <c:v>632</c:v>
                </c:pt>
                <c:pt idx="3">
                  <c:v>980</c:v>
                </c:pt>
                <c:pt idx="4">
                  <c:v>433</c:v>
                </c:pt>
                <c:pt idx="5">
                  <c:v>857</c:v>
                </c:pt>
                <c:pt idx="6">
                  <c:v>236</c:v>
                </c:pt>
                <c:pt idx="7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1-4E84-BB0B-F25B81F40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Recommended Order Qty</c:v>
          </c:tx>
          <c:invertIfNegative val="1"/>
          <c:cat>
            <c:strRef>
              <c:f>Dashboard!$A$19:$A$26</c:f>
              <c:strCache>
                <c:ptCount val="8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</c:strCache>
            </c:strRef>
          </c:cat>
          <c:val>
            <c:numRef>
              <c:f>Dashboard!$D$19:$D$26</c:f>
              <c:numCache>
                <c:formatCode>#,##0</c:formatCode>
                <c:ptCount val="8"/>
                <c:pt idx="0">
                  <c:v>0</c:v>
                </c:pt>
                <c:pt idx="1">
                  <c:v>133</c:v>
                </c:pt>
                <c:pt idx="2">
                  <c:v>16</c:v>
                </c:pt>
                <c:pt idx="3">
                  <c:v>436</c:v>
                </c:pt>
                <c:pt idx="4">
                  <c:v>229</c:v>
                </c:pt>
                <c:pt idx="5">
                  <c:v>517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2-4701-B3F2-719D4600D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Actual Demand</c:v>
          </c:tx>
          <c:invertIfNegative val="1"/>
          <c:cat>
            <c:strRef>
              <c:f>'Demand History'!$A$2:$A$9</c:f>
              <c:strCache>
                <c:ptCount val="8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</c:strCache>
            </c:strRef>
          </c:cat>
          <c:val>
            <c:numRef>
              <c:f>'Demand History'!$N$2:$N$9</c:f>
              <c:numCache>
                <c:formatCode>#,##0</c:formatCode>
                <c:ptCount val="8"/>
                <c:pt idx="0">
                  <c:v>14920</c:v>
                </c:pt>
                <c:pt idx="1">
                  <c:v>12485</c:v>
                </c:pt>
                <c:pt idx="2">
                  <c:v>10510</c:v>
                </c:pt>
                <c:pt idx="3">
                  <c:v>9850</c:v>
                </c:pt>
                <c:pt idx="4">
                  <c:v>8210</c:v>
                </c:pt>
                <c:pt idx="5">
                  <c:v>6860</c:v>
                </c:pt>
                <c:pt idx="6">
                  <c:v>6700</c:v>
                </c:pt>
                <c:pt idx="7">
                  <c:v>8160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F-4E4B-83BD-0544EBFC3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 History and Forecast by Category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Model'!$B$2:$B$10</c:f>
              <c:numCache>
                <c:formatCode>#,##0</c:formatCode>
                <c:ptCount val="9"/>
                <c:pt idx="0">
                  <c:v>980</c:v>
                </c:pt>
                <c:pt idx="1">
                  <c:v>740</c:v>
                </c:pt>
                <c:pt idx="2">
                  <c:v>650</c:v>
                </c:pt>
                <c:pt idx="3">
                  <c:v>520</c:v>
                </c:pt>
                <c:pt idx="4">
                  <c:v>460</c:v>
                </c:pt>
                <c:pt idx="5">
                  <c:v>310</c:v>
                </c:pt>
                <c:pt idx="6">
                  <c:v>390</c:v>
                </c:pt>
                <c:pt idx="7">
                  <c:v>430</c:v>
                </c:pt>
                <c:pt idx="8">
                  <c:v>4480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E-409A-B962-D58134FC1E7C}"/>
            </c:ext>
          </c:extLst>
        </c:ser>
        <c:ser>
          <c:idx val="1"/>
          <c:order val="1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Model'!$C$2:$C$10</c:f>
              <c:numCache>
                <c:formatCode>#,##0</c:formatCode>
                <c:ptCount val="9"/>
                <c:pt idx="0">
                  <c:v>910</c:v>
                </c:pt>
                <c:pt idx="1">
                  <c:v>780</c:v>
                </c:pt>
                <c:pt idx="2">
                  <c:v>680</c:v>
                </c:pt>
                <c:pt idx="3">
                  <c:v>560</c:v>
                </c:pt>
                <c:pt idx="4">
                  <c:v>480</c:v>
                </c:pt>
                <c:pt idx="5">
                  <c:v>330</c:v>
                </c:pt>
                <c:pt idx="6">
                  <c:v>410</c:v>
                </c:pt>
                <c:pt idx="7">
                  <c:v>470</c:v>
                </c:pt>
                <c:pt idx="8">
                  <c:v>4620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E-409A-B962-D58134FC1E7C}"/>
            </c:ext>
          </c:extLst>
        </c:ser>
        <c:ser>
          <c:idx val="2"/>
          <c:order val="2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Model'!$D$2:$D$10</c:f>
              <c:numCache>
                <c:formatCode>#,##0</c:formatCode>
                <c:ptCount val="9"/>
                <c:pt idx="0">
                  <c:v>950</c:v>
                </c:pt>
                <c:pt idx="1">
                  <c:v>820</c:v>
                </c:pt>
                <c:pt idx="2">
                  <c:v>720</c:v>
                </c:pt>
                <c:pt idx="3">
                  <c:v>590</c:v>
                </c:pt>
                <c:pt idx="4">
                  <c:v>510</c:v>
                </c:pt>
                <c:pt idx="5">
                  <c:v>350</c:v>
                </c:pt>
                <c:pt idx="6">
                  <c:v>440</c:v>
                </c:pt>
                <c:pt idx="7">
                  <c:v>520</c:v>
                </c:pt>
                <c:pt idx="8">
                  <c:v>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0E-409A-B962-D58134FC1E7C}"/>
            </c:ext>
          </c:extLst>
        </c:ser>
        <c:ser>
          <c:idx val="3"/>
          <c:order val="3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Model'!$E$2:$E$10</c:f>
              <c:numCache>
                <c:formatCode>#,##0</c:formatCode>
                <c:ptCount val="9"/>
                <c:pt idx="0">
                  <c:v>1020</c:v>
                </c:pt>
                <c:pt idx="1">
                  <c:v>860</c:v>
                </c:pt>
                <c:pt idx="2">
                  <c:v>740</c:v>
                </c:pt>
                <c:pt idx="3">
                  <c:v>620</c:v>
                </c:pt>
                <c:pt idx="4">
                  <c:v>540</c:v>
                </c:pt>
                <c:pt idx="5">
                  <c:v>380</c:v>
                </c:pt>
                <c:pt idx="6">
                  <c:v>470</c:v>
                </c:pt>
                <c:pt idx="7">
                  <c:v>580</c:v>
                </c:pt>
                <c:pt idx="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0E-409A-B962-D58134FC1E7C}"/>
            </c:ext>
          </c:extLst>
        </c:ser>
        <c:ser>
          <c:idx val="4"/>
          <c:order val="4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Model'!$F$2:$F$10</c:f>
              <c:numCache>
                <c:formatCode>#,##0</c:formatCode>
                <c:ptCount val="9"/>
                <c:pt idx="0">
                  <c:v>1100</c:v>
                </c:pt>
                <c:pt idx="1">
                  <c:v>920</c:v>
                </c:pt>
                <c:pt idx="2">
                  <c:v>780</c:v>
                </c:pt>
                <c:pt idx="3">
                  <c:v>680</c:v>
                </c:pt>
                <c:pt idx="4">
                  <c:v>600</c:v>
                </c:pt>
                <c:pt idx="5">
                  <c:v>400</c:v>
                </c:pt>
                <c:pt idx="6">
                  <c:v>500</c:v>
                </c:pt>
                <c:pt idx="7">
                  <c:v>640</c:v>
                </c:pt>
                <c:pt idx="8">
                  <c:v>5620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0E-409A-B962-D58134FC1E7C}"/>
            </c:ext>
          </c:extLst>
        </c:ser>
        <c:ser>
          <c:idx val="5"/>
          <c:order val="5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Model'!$G$2:$G$10</c:f>
              <c:numCache>
                <c:formatCode>#,##0</c:formatCode>
                <c:ptCount val="9"/>
                <c:pt idx="0">
                  <c:v>1180</c:v>
                </c:pt>
                <c:pt idx="1">
                  <c:v>990</c:v>
                </c:pt>
                <c:pt idx="2">
                  <c:v>810</c:v>
                </c:pt>
                <c:pt idx="3">
                  <c:v>720</c:v>
                </c:pt>
                <c:pt idx="4">
                  <c:v>640</c:v>
                </c:pt>
                <c:pt idx="5">
                  <c:v>450</c:v>
                </c:pt>
                <c:pt idx="6">
                  <c:v>530</c:v>
                </c:pt>
                <c:pt idx="7">
                  <c:v>730</c:v>
                </c:pt>
                <c:pt idx="8">
                  <c:v>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0E-409A-B962-D58134FC1E7C}"/>
            </c:ext>
          </c:extLst>
        </c:ser>
        <c:ser>
          <c:idx val="6"/>
          <c:order val="6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Model'!$H$2:$H$10</c:f>
              <c:numCache>
                <c:formatCode>#,##0</c:formatCode>
                <c:ptCount val="9"/>
                <c:pt idx="0">
                  <c:v>1210</c:v>
                </c:pt>
                <c:pt idx="1">
                  <c:v>1040</c:v>
                </c:pt>
                <c:pt idx="2">
                  <c:v>850</c:v>
                </c:pt>
                <c:pt idx="3">
                  <c:v>760</c:v>
                </c:pt>
                <c:pt idx="4">
                  <c:v>690</c:v>
                </c:pt>
                <c:pt idx="5">
                  <c:v>480</c:v>
                </c:pt>
                <c:pt idx="6">
                  <c:v>560</c:v>
                </c:pt>
                <c:pt idx="7">
                  <c:v>820</c:v>
                </c:pt>
                <c:pt idx="8">
                  <c:v>6410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0E-409A-B962-D58134FC1E7C}"/>
            </c:ext>
          </c:extLst>
        </c:ser>
        <c:ser>
          <c:idx val="7"/>
          <c:order val="7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Model'!$I$2:$I$10</c:f>
              <c:numCache>
                <c:formatCode>#,##0</c:formatCode>
                <c:ptCount val="9"/>
                <c:pt idx="0">
                  <c:v>1260</c:v>
                </c:pt>
                <c:pt idx="1">
                  <c:v>1090</c:v>
                </c:pt>
                <c:pt idx="2">
                  <c:v>880</c:v>
                </c:pt>
                <c:pt idx="3">
                  <c:v>810</c:v>
                </c:pt>
                <c:pt idx="4">
                  <c:v>720</c:v>
                </c:pt>
                <c:pt idx="5">
                  <c:v>520</c:v>
                </c:pt>
                <c:pt idx="6">
                  <c:v>600</c:v>
                </c:pt>
                <c:pt idx="7">
                  <c:v>900</c:v>
                </c:pt>
                <c:pt idx="8">
                  <c:v>6780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0E-409A-B962-D58134FC1E7C}"/>
            </c:ext>
          </c:extLst>
        </c:ser>
        <c:ser>
          <c:idx val="8"/>
          <c:order val="8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Model'!$J$2:$J$10</c:f>
              <c:numCache>
                <c:formatCode>#,##0</c:formatCode>
                <c:ptCount val="9"/>
                <c:pt idx="0">
                  <c:v>1320</c:v>
                </c:pt>
                <c:pt idx="1">
                  <c:v>1150</c:v>
                </c:pt>
                <c:pt idx="2">
                  <c:v>920</c:v>
                </c:pt>
                <c:pt idx="3">
                  <c:v>870</c:v>
                </c:pt>
                <c:pt idx="4">
                  <c:v>760</c:v>
                </c:pt>
                <c:pt idx="5">
                  <c:v>590</c:v>
                </c:pt>
                <c:pt idx="6">
                  <c:v>640</c:v>
                </c:pt>
                <c:pt idx="7">
                  <c:v>850</c:v>
                </c:pt>
                <c:pt idx="8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0E-409A-B962-D58134FC1E7C}"/>
            </c:ext>
          </c:extLst>
        </c:ser>
        <c:ser>
          <c:idx val="9"/>
          <c:order val="9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Model'!$K$2:$K$10</c:f>
              <c:numCache>
                <c:formatCode>#,##0</c:formatCode>
                <c:ptCount val="9"/>
                <c:pt idx="0">
                  <c:v>1420</c:v>
                </c:pt>
                <c:pt idx="1">
                  <c:v>1220</c:v>
                </c:pt>
                <c:pt idx="2">
                  <c:v>980</c:v>
                </c:pt>
                <c:pt idx="3">
                  <c:v>940</c:v>
                </c:pt>
                <c:pt idx="4">
                  <c:v>810</c:v>
                </c:pt>
                <c:pt idx="5">
                  <c:v>720</c:v>
                </c:pt>
                <c:pt idx="6">
                  <c:v>680</c:v>
                </c:pt>
                <c:pt idx="7">
                  <c:v>780</c:v>
                </c:pt>
                <c:pt idx="8">
                  <c:v>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0E-409A-B962-D58134FC1E7C}"/>
            </c:ext>
          </c:extLst>
        </c:ser>
        <c:ser>
          <c:idx val="10"/>
          <c:order val="10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Model'!$L$2:$L$10</c:f>
              <c:numCache>
                <c:formatCode>#,##0</c:formatCode>
                <c:ptCount val="9"/>
                <c:pt idx="0">
                  <c:v>1680</c:v>
                </c:pt>
                <c:pt idx="1">
                  <c:v>1325</c:v>
                </c:pt>
                <c:pt idx="2">
                  <c:v>1120</c:v>
                </c:pt>
                <c:pt idx="3">
                  <c:v>1180</c:v>
                </c:pt>
                <c:pt idx="4">
                  <c:v>920</c:v>
                </c:pt>
                <c:pt idx="5">
                  <c:v>980</c:v>
                </c:pt>
                <c:pt idx="6">
                  <c:v>720</c:v>
                </c:pt>
                <c:pt idx="7">
                  <c:v>740</c:v>
                </c:pt>
                <c:pt idx="8">
                  <c:v>8665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0E-409A-B962-D58134FC1E7C}"/>
            </c:ext>
          </c:extLst>
        </c:ser>
        <c:ser>
          <c:idx val="11"/>
          <c:order val="11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Model'!$M$2:$M$10</c:f>
              <c:numCache>
                <c:formatCode>#,##0</c:formatCode>
                <c:ptCount val="9"/>
                <c:pt idx="0">
                  <c:v>1890</c:v>
                </c:pt>
                <c:pt idx="1">
                  <c:v>1550</c:v>
                </c:pt>
                <c:pt idx="2">
                  <c:v>1380</c:v>
                </c:pt>
                <c:pt idx="3">
                  <c:v>1600</c:v>
                </c:pt>
                <c:pt idx="4">
                  <c:v>1080</c:v>
                </c:pt>
                <c:pt idx="5">
                  <c:v>1350</c:v>
                </c:pt>
                <c:pt idx="6">
                  <c:v>760</c:v>
                </c:pt>
                <c:pt idx="7">
                  <c:v>700</c:v>
                </c:pt>
                <c:pt idx="8">
                  <c:v>10310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0E-409A-B962-D58134FC1E7C}"/>
            </c:ext>
          </c:extLst>
        </c:ser>
        <c:ser>
          <c:idx val="12"/>
          <c:order val="12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Model'!$N$2:$N$10</c:f>
              <c:numCache>
                <c:formatCode>#,##0</c:formatCode>
                <c:ptCount val="9"/>
                <c:pt idx="0">
                  <c:v>1663.3333333333333</c:v>
                </c:pt>
                <c:pt idx="1">
                  <c:v>1365</c:v>
                </c:pt>
                <c:pt idx="2">
                  <c:v>1160</c:v>
                </c:pt>
                <c:pt idx="3">
                  <c:v>1240</c:v>
                </c:pt>
                <c:pt idx="4">
                  <c:v>936.66666666666663</c:v>
                </c:pt>
                <c:pt idx="5">
                  <c:v>1016.6666666666666</c:v>
                </c:pt>
                <c:pt idx="6">
                  <c:v>720</c:v>
                </c:pt>
                <c:pt idx="7">
                  <c:v>740</c:v>
                </c:pt>
                <c:pt idx="8">
                  <c:v>8841.6666666666679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0E-409A-B962-D58134FC1E7C}"/>
            </c:ext>
          </c:extLst>
        </c:ser>
        <c:ser>
          <c:idx val="13"/>
          <c:order val="13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Model'!$O$2:$O$10</c:f>
              <c:numCache>
                <c:formatCode>0.00</c:formatCode>
                <c:ptCount val="9"/>
                <c:pt idx="0">
                  <c:v>0.88</c:v>
                </c:pt>
                <c:pt idx="1">
                  <c:v>0.95</c:v>
                </c:pt>
                <c:pt idx="2">
                  <c:v>0.9</c:v>
                </c:pt>
                <c:pt idx="3">
                  <c:v>0.88</c:v>
                </c:pt>
                <c:pt idx="4">
                  <c:v>1.08</c:v>
                </c:pt>
                <c:pt idx="5">
                  <c:v>0.7</c:v>
                </c:pt>
                <c:pt idx="6">
                  <c:v>1.1499999999999999</c:v>
                </c:pt>
                <c:pt idx="7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00E-409A-B962-D58134FC1E7C}"/>
            </c:ext>
          </c:extLst>
        </c:ser>
        <c:ser>
          <c:idx val="14"/>
          <c:order val="14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Model'!$P$2:$P$10</c:f>
              <c:numCache>
                <c:formatCode>#,##0</c:formatCode>
                <c:ptCount val="9"/>
                <c:pt idx="0">
                  <c:v>1464</c:v>
                </c:pt>
                <c:pt idx="1">
                  <c:v>1297</c:v>
                </c:pt>
                <c:pt idx="2">
                  <c:v>1044</c:v>
                </c:pt>
                <c:pt idx="3">
                  <c:v>1091</c:v>
                </c:pt>
                <c:pt idx="4">
                  <c:v>1012</c:v>
                </c:pt>
                <c:pt idx="5">
                  <c:v>712</c:v>
                </c:pt>
                <c:pt idx="6">
                  <c:v>828</c:v>
                </c:pt>
                <c:pt idx="7">
                  <c:v>829</c:v>
                </c:pt>
                <c:pt idx="8">
                  <c:v>8277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00E-409A-B962-D58134FC1E7C}"/>
            </c:ext>
          </c:extLst>
        </c:ser>
        <c:ser>
          <c:idx val="15"/>
          <c:order val="15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Model'!$Q$2:$Q$10</c:f>
              <c:numCache>
                <c:formatCode>0.00</c:formatCode>
                <c:ptCount val="9"/>
                <c:pt idx="0">
                  <c:v>0.98</c:v>
                </c:pt>
                <c:pt idx="1">
                  <c:v>1</c:v>
                </c:pt>
                <c:pt idx="2">
                  <c:v>0.98</c:v>
                </c:pt>
                <c:pt idx="3">
                  <c:v>0.95</c:v>
                </c:pt>
                <c:pt idx="4">
                  <c:v>1.05</c:v>
                </c:pt>
                <c:pt idx="5">
                  <c:v>0.86</c:v>
                </c:pt>
                <c:pt idx="6">
                  <c:v>1</c:v>
                </c:pt>
                <c:pt idx="7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00E-409A-B962-D58134FC1E7C}"/>
            </c:ext>
          </c:extLst>
        </c:ser>
        <c:ser>
          <c:idx val="16"/>
          <c:order val="16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Model'!$R$2:$R$10</c:f>
              <c:numCache>
                <c:formatCode>#,##0</c:formatCode>
                <c:ptCount val="9"/>
                <c:pt idx="0">
                  <c:v>1644</c:v>
                </c:pt>
                <c:pt idx="1">
                  <c:v>1391</c:v>
                </c:pt>
                <c:pt idx="2">
                  <c:v>1158</c:v>
                </c:pt>
                <c:pt idx="3">
                  <c:v>1226</c:v>
                </c:pt>
                <c:pt idx="4">
                  <c:v>1054</c:v>
                </c:pt>
                <c:pt idx="5">
                  <c:v>872</c:v>
                </c:pt>
                <c:pt idx="6">
                  <c:v>769</c:v>
                </c:pt>
                <c:pt idx="7">
                  <c:v>817</c:v>
                </c:pt>
                <c:pt idx="8">
                  <c:v>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00E-409A-B962-D58134FC1E7C}"/>
            </c:ext>
          </c:extLst>
        </c:ser>
        <c:ser>
          <c:idx val="17"/>
          <c:order val="17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Model'!$S$2:$S$10</c:f>
              <c:numCache>
                <c:formatCode>0.00</c:formatCode>
                <c:ptCount val="9"/>
                <c:pt idx="0">
                  <c:v>1.05</c:v>
                </c:pt>
                <c:pt idx="1">
                  <c:v>1.03</c:v>
                </c:pt>
                <c:pt idx="2">
                  <c:v>1.08</c:v>
                </c:pt>
                <c:pt idx="3">
                  <c:v>1.06</c:v>
                </c:pt>
                <c:pt idx="4">
                  <c:v>1.06</c:v>
                </c:pt>
                <c:pt idx="5">
                  <c:v>0.95</c:v>
                </c:pt>
                <c:pt idx="6">
                  <c:v>0.98</c:v>
                </c:pt>
                <c:pt idx="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00E-409A-B962-D58134FC1E7C}"/>
            </c:ext>
          </c:extLst>
        </c:ser>
        <c:ser>
          <c:idx val="18"/>
          <c:order val="18"/>
          <c:cat>
            <c:strRef>
              <c:f>'Forecast Model'!$A$2:$A$10</c:f>
              <c:strCache>
                <c:ptCount val="9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  <c:pt idx="8">
                  <c:v>Total</c:v>
                </c:pt>
              </c:strCache>
            </c:strRef>
          </c:cat>
          <c:val>
            <c:numRef>
              <c:f>'Forecast Model'!$T$2:$T$10</c:f>
              <c:numCache>
                <c:formatCode>#,##0</c:formatCode>
                <c:ptCount val="9"/>
                <c:pt idx="0">
                  <c:v>1749</c:v>
                </c:pt>
                <c:pt idx="1">
                  <c:v>1455</c:v>
                </c:pt>
                <c:pt idx="2">
                  <c:v>1290</c:v>
                </c:pt>
                <c:pt idx="3">
                  <c:v>1384</c:v>
                </c:pt>
                <c:pt idx="4">
                  <c:v>1112</c:v>
                </c:pt>
                <c:pt idx="5">
                  <c:v>929</c:v>
                </c:pt>
                <c:pt idx="6">
                  <c:v>770</c:v>
                </c:pt>
                <c:pt idx="7">
                  <c:v>899</c:v>
                </c:pt>
                <c:pt idx="8">
                  <c:v>9588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00E-409A-B962-D58134FC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Recommended Order Qty</c:v>
          </c:tx>
          <c:invertIfNegative val="1"/>
          <c:cat>
            <c:strRef>
              <c:f>'Reorder Plan'!$A$2:$A$9</c:f>
              <c:strCache>
                <c:ptCount val="8"/>
                <c:pt idx="0">
                  <c:v>Consumer Electronics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Fashion Accessories</c:v>
                </c:pt>
                <c:pt idx="4">
                  <c:v>Health &amp; Wellness</c:v>
                </c:pt>
                <c:pt idx="5">
                  <c:v>Toys &amp; Games</c:v>
                </c:pt>
                <c:pt idx="6">
                  <c:v>Office Supplies</c:v>
                </c:pt>
                <c:pt idx="7">
                  <c:v>Sports &amp; Outdoor</c:v>
                </c:pt>
              </c:strCache>
            </c:strRef>
          </c:cat>
          <c:val>
            <c:numRef>
              <c:f>'Reorder Plan'!$M$2:$M$9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4-4679-9410-31E4B651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Pick/Pack Associates</c:v>
          </c:tx>
          <c:invertIfNegative val="1"/>
          <c:cat>
            <c:strRef>
              <c:f>'Resource Plan'!$A$2:$A$4</c:f>
              <c:strCache>
                <c:ptCount val="3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</c:strCache>
            </c:strRef>
          </c:cat>
          <c:val>
            <c:numRef>
              <c:f>'Resource Plan'!$D$2:$D$4</c:f>
              <c:numCache>
                <c:formatCode>#,##0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6-4B6B-A2BF-63B067B24703}"/>
            </c:ext>
          </c:extLst>
        </c:ser>
        <c:ser>
          <c:idx val="1"/>
          <c:order val="1"/>
          <c:tx>
            <c:v>Receiving Associates</c:v>
          </c:tx>
          <c:invertIfNegative val="1"/>
          <c:cat>
            <c:strRef>
              <c:f>'Resource Plan'!$A$2:$A$4</c:f>
              <c:strCache>
                <c:ptCount val="3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</c:strCache>
            </c:strRef>
          </c:cat>
          <c:val>
            <c:numRef>
              <c:f>'Resource Plan'!$E$2:$E$4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6-4B6B-A2BF-63B067B24703}"/>
            </c:ext>
          </c:extLst>
        </c:ser>
        <c:ser>
          <c:idx val="2"/>
          <c:order val="2"/>
          <c:tx>
            <c:v>Inventory Control</c:v>
          </c:tx>
          <c:invertIfNegative val="1"/>
          <c:cat>
            <c:strRef>
              <c:f>'Resource Plan'!$A$2:$A$4</c:f>
              <c:strCache>
                <c:ptCount val="3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</c:strCache>
            </c:strRef>
          </c:cat>
          <c:val>
            <c:numRef>
              <c:f>'Resource Plan'!$F$2:$F$4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6-4B6B-A2BF-63B067B24703}"/>
            </c:ext>
          </c:extLst>
        </c:ser>
        <c:ser>
          <c:idx val="3"/>
          <c:order val="3"/>
          <c:tx>
            <c:v>Customer Service Agents</c:v>
          </c:tx>
          <c:invertIfNegative val="1"/>
          <c:cat>
            <c:strRef>
              <c:f>'Resource Plan'!$A$2:$A$4</c:f>
              <c:strCache>
                <c:ptCount val="3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</c:strCache>
            </c:strRef>
          </c:cat>
          <c:val>
            <c:numRef>
              <c:f>'Resource Plan'!$G$2:$G$4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6-4B6B-A2BF-63B067B24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274320</xdr:rowOff>
    </xdr:from>
    <xdr:to>
      <xdr:col>16</xdr:col>
      <xdr:colOff>7620</xdr:colOff>
      <xdr:row>12</xdr:row>
      <xdr:rowOff>121920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7620</xdr:rowOff>
    </xdr:from>
    <xdr:to>
      <xdr:col>16</xdr:col>
      <xdr:colOff>0</xdr:colOff>
      <xdr:row>33</xdr:row>
      <xdr:rowOff>22860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33</xdr:row>
      <xdr:rowOff>152400</xdr:rowOff>
    </xdr:from>
    <xdr:to>
      <xdr:col>16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20</xdr:col>
      <xdr:colOff>0</xdr:colOff>
      <xdr:row>41</xdr:row>
      <xdr:rowOff>15240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HistoryTable" displayName="DemandHistoryTable" ref="A1:O9">
  <tableColumns count="15">
    <tableColumn id="1" xr3:uid="{00000000-0010-0000-0000-000001000000}" name="Category"/>
    <tableColumn id="2" xr3:uid="{00000000-0010-0000-0000-000002000000}" name="Jan-25"/>
    <tableColumn id="3" xr3:uid="{00000000-0010-0000-0000-000003000000}" name="Feb-25"/>
    <tableColumn id="4" xr3:uid="{00000000-0010-0000-0000-000004000000}" name="Mar-25"/>
    <tableColumn id="5" xr3:uid="{00000000-0010-0000-0000-000005000000}" name="Apr-25"/>
    <tableColumn id="6" xr3:uid="{00000000-0010-0000-0000-000006000000}" name="May-25"/>
    <tableColumn id="7" xr3:uid="{00000000-0010-0000-0000-000007000000}" name="Jun-25"/>
    <tableColumn id="8" xr3:uid="{00000000-0010-0000-0000-000008000000}" name="Jul-25"/>
    <tableColumn id="9" xr3:uid="{00000000-0010-0000-0000-000009000000}" name="Aug-25"/>
    <tableColumn id="10" xr3:uid="{00000000-0010-0000-0000-00000A000000}" name="Sep-25"/>
    <tableColumn id="11" xr3:uid="{00000000-0010-0000-0000-00000B000000}" name="Oct-25"/>
    <tableColumn id="12" xr3:uid="{00000000-0010-0000-0000-00000C000000}" name="Nov-25"/>
    <tableColumn id="13" xr3:uid="{00000000-0010-0000-0000-00000D000000}" name="Dec-25"/>
    <tableColumn id="14" xr3:uid="{00000000-0010-0000-0000-00000E000000}" name="Total Actual Demand"/>
    <tableColumn id="15" xr3:uid="{00000000-0010-0000-0000-00000F000000}" name="Average Monthly Dem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castModelTable" displayName="ForecastModelTable" ref="A1:T10">
  <tableColumns count="20">
    <tableColumn id="1" xr3:uid="{00000000-0010-0000-0100-000001000000}" name="Category"/>
    <tableColumn id="2" xr3:uid="{00000000-0010-0000-0100-000002000000}" name="Jan-25"/>
    <tableColumn id="3" xr3:uid="{00000000-0010-0000-0100-000003000000}" name="Feb-25"/>
    <tableColumn id="4" xr3:uid="{00000000-0010-0000-0100-000004000000}" name="Mar-25"/>
    <tableColumn id="5" xr3:uid="{00000000-0010-0000-0100-000005000000}" name="Apr-25"/>
    <tableColumn id="6" xr3:uid="{00000000-0010-0000-0100-000006000000}" name="May-25"/>
    <tableColumn id="7" xr3:uid="{00000000-0010-0000-0100-000007000000}" name="Jun-25"/>
    <tableColumn id="8" xr3:uid="{00000000-0010-0000-0100-000008000000}" name="Jul-25"/>
    <tableColumn id="9" xr3:uid="{00000000-0010-0000-0100-000009000000}" name="Aug-25"/>
    <tableColumn id="10" xr3:uid="{00000000-0010-0000-0100-00000A000000}" name="Sep-25"/>
    <tableColumn id="11" xr3:uid="{00000000-0010-0000-0100-00000B000000}" name="Oct-25"/>
    <tableColumn id="12" xr3:uid="{00000000-0010-0000-0100-00000C000000}" name="Nov-25"/>
    <tableColumn id="13" xr3:uid="{00000000-0010-0000-0100-00000D000000}" name="Dec-25"/>
    <tableColumn id="14" xr3:uid="{00000000-0010-0000-0100-00000E000000}" name="3-Month Avg"/>
    <tableColumn id="15" xr3:uid="{00000000-0010-0000-0100-00000F000000}" name="Jan Seasonality"/>
    <tableColumn id="16" xr3:uid="{00000000-0010-0000-0100-000010000000}" name="Jan-26 Forecast"/>
    <tableColumn id="17" xr3:uid="{00000000-0010-0000-0100-000011000000}" name="Feb Seasonality"/>
    <tableColumn id="18" xr3:uid="{00000000-0010-0000-0100-000012000000}" name="Feb-26 Forecast"/>
    <tableColumn id="19" xr3:uid="{00000000-0010-0000-0100-000013000000}" name="Mar Seasonality"/>
    <tableColumn id="20" xr3:uid="{00000000-0010-0000-0100-000014000000}" name="Mar-26 Foreca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orderPlanTable" displayName="ReorderPlanTable" ref="A1:S10">
  <tableColumns count="19">
    <tableColumn id="1" xr3:uid="{00000000-0010-0000-0200-000001000000}" name="Category"/>
    <tableColumn id="2" xr3:uid="{00000000-0010-0000-0200-000002000000}" name="ABC Class"/>
    <tableColumn id="3" xr3:uid="{00000000-0010-0000-0200-000003000000}" name="Supplier Lead Time (days)"/>
    <tableColumn id="4" xr3:uid="{00000000-0010-0000-0200-000004000000}" name="Current Stock"/>
    <tableColumn id="5" xr3:uid="{00000000-0010-0000-0200-000005000000}" name="On Order"/>
    <tableColumn id="6" xr3:uid="{00000000-0010-0000-0200-000006000000}" name="Jan-26 Forecast"/>
    <tableColumn id="7" xr3:uid="{00000000-0010-0000-0200-000007000000}" name="Feb-26 Forecast"/>
    <tableColumn id="8" xr3:uid="{00000000-0010-0000-0200-000008000000}" name="Mar-26 Forecast"/>
    <tableColumn id="9" xr3:uid="{00000000-0010-0000-0200-000009000000}" name="Daily Demand"/>
    <tableColumn id="10" xr3:uid="{00000000-0010-0000-0200-00000A000000}" name="Safety Stock"/>
    <tableColumn id="11" xr3:uid="{00000000-0010-0000-0200-00000B000000}" name="Reorder Point"/>
    <tableColumn id="12" xr3:uid="{00000000-0010-0000-0200-00000C000000}" name="Inventory Position"/>
    <tableColumn id="13" xr3:uid="{00000000-0010-0000-0200-00000D000000}" name="Recommended Order Qty"/>
    <tableColumn id="14" xr3:uid="{00000000-0010-0000-0200-00000E000000}" name="Projected Ending Stock"/>
    <tableColumn id="15" xr3:uid="{00000000-0010-0000-0200-00000F000000}" name="Stockout Risk"/>
    <tableColumn id="16" xr3:uid="{00000000-0010-0000-0200-000010000000}" name="Overstock Risk"/>
    <tableColumn id="17" xr3:uid="{00000000-0010-0000-0200-000011000000}" name="Priority"/>
    <tableColumn id="18" xr3:uid="{00000000-0010-0000-0200-000012000000}" name="Unit Cost"/>
    <tableColumn id="19" xr3:uid="{00000000-0010-0000-0200-000013000000}" name="Estimated Purchase 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ourcePlanTable" displayName="ResourcePlanTable" ref="A1:H4">
  <tableColumns count="8">
    <tableColumn id="1" xr3:uid="{00000000-0010-0000-0300-000001000000}" name="Month"/>
    <tableColumn id="2" xr3:uid="{00000000-0010-0000-0300-000002000000}" name="Forecasted Units"/>
    <tableColumn id="3" xr3:uid="{00000000-0010-0000-0300-000003000000}" name="Expected Customer Service Tickets"/>
    <tableColumn id="4" xr3:uid="{00000000-0010-0000-0300-000004000000}" name="Pick/Pack Associates"/>
    <tableColumn id="5" xr3:uid="{00000000-0010-0000-0300-000005000000}" name="Receiving Associates"/>
    <tableColumn id="6" xr3:uid="{00000000-0010-0000-0300-000006000000}" name="Inventory Control Associates"/>
    <tableColumn id="7" xr3:uid="{00000000-0010-0000-0300-000007000000}" name="Customer Service Agents"/>
    <tableColumn id="8" xr3:uid="{00000000-0010-0000-0300-000008000000}" name="Resource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RegisterTable" displayName="RiskRegisterTable" ref="A1:F7">
  <tableColumns count="6">
    <tableColumn id="1" xr3:uid="{00000000-0010-0000-0400-000001000000}" name="Risk"/>
    <tableColumn id="2" xr3:uid="{00000000-0010-0000-0400-000002000000}" name="Impact"/>
    <tableColumn id="3" xr3:uid="{00000000-0010-0000-0400-000003000000}" name="Operational Effect"/>
    <tableColumn id="4" xr3:uid="{00000000-0010-0000-0400-000004000000}" name="Mitigation Strategy"/>
    <tableColumn id="5" xr3:uid="{00000000-0010-0000-0400-000005000000}" name="Owner"/>
    <tableColumn id="6" xr3:uid="{00000000-0010-0000-0400-000006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commendationsTable" displayName="RecommendationsTable" ref="A1:E7">
  <tableColumns count="5">
    <tableColumn id="1" xr3:uid="{00000000-0010-0000-0500-000001000000}" name="No."/>
    <tableColumn id="2" xr3:uid="{00000000-0010-0000-0500-000002000000}" name="Recommendation"/>
    <tableColumn id="3" xr3:uid="{00000000-0010-0000-0500-000003000000}" name="Action Details"/>
    <tableColumn id="4" xr3:uid="{00000000-0010-0000-0500-000004000000}" name="Expected Benefit"/>
    <tableColumn id="5" xr3:uid="{00000000-0010-0000-0500-000005000000}" name="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opLeftCell="A28" workbookViewId="0">
      <selection activeCell="S34" sqref="S34"/>
    </sheetView>
  </sheetViews>
  <sheetFormatPr defaultRowHeight="13.8"/>
  <cols>
    <col min="1" max="1" width="24.19921875" bestFit="1" customWidth="1"/>
    <col min="2" max="2" width="13" bestFit="1" customWidth="1"/>
    <col min="3" max="4" width="34" customWidth="1"/>
  </cols>
  <sheetData>
    <row r="1" spans="1:26" ht="24" customHeight="1">
      <c r="A1" s="24" t="s">
        <v>0</v>
      </c>
      <c r="B1" s="25"/>
      <c r="C1" s="25"/>
      <c r="D1" s="25"/>
      <c r="E1" s="25"/>
      <c r="F1" s="25"/>
      <c r="G1" s="25"/>
      <c r="H1" s="25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4">
      <c r="A2" s="26" t="s">
        <v>1</v>
      </c>
      <c r="B2" s="27"/>
      <c r="C2" s="27"/>
      <c r="D2" s="27"/>
      <c r="E2" s="27"/>
      <c r="F2" s="27"/>
      <c r="G2" s="27"/>
      <c r="H2" s="27"/>
    </row>
    <row r="4" spans="1:26">
      <c r="A4" s="3" t="s">
        <v>2</v>
      </c>
      <c r="B4" s="4" t="s">
        <v>3</v>
      </c>
      <c r="C4" s="4" t="s">
        <v>4</v>
      </c>
      <c r="D4" s="5" t="s">
        <v>5</v>
      </c>
    </row>
    <row r="5" spans="1:26">
      <c r="A5" s="6" t="s">
        <v>6</v>
      </c>
      <c r="B5" s="7">
        <v>8277</v>
      </c>
      <c r="C5" s="8" t="s">
        <v>7</v>
      </c>
      <c r="D5" s="9" t="s">
        <v>8</v>
      </c>
    </row>
    <row r="6" spans="1:26">
      <c r="A6" s="6" t="s">
        <v>9</v>
      </c>
      <c r="B6" s="7">
        <v>12200</v>
      </c>
      <c r="C6" s="8" t="s">
        <v>10</v>
      </c>
      <c r="D6" s="9" t="s">
        <v>11</v>
      </c>
    </row>
    <row r="7" spans="1:26">
      <c r="A7" s="6" t="s">
        <v>12</v>
      </c>
      <c r="B7" s="7">
        <v>2950</v>
      </c>
      <c r="C7" s="8" t="s">
        <v>13</v>
      </c>
      <c r="D7" s="9" t="s">
        <v>14</v>
      </c>
    </row>
    <row r="8" spans="1:26">
      <c r="A8" s="6" t="s">
        <v>15</v>
      </c>
      <c r="B8" s="7">
        <v>1331</v>
      </c>
      <c r="C8" s="8" t="s">
        <v>16</v>
      </c>
      <c r="D8" s="9" t="s">
        <v>17</v>
      </c>
    </row>
    <row r="9" spans="1:26">
      <c r="A9" s="6" t="s">
        <v>18</v>
      </c>
      <c r="B9" s="7">
        <v>0</v>
      </c>
      <c r="C9" s="8" t="s">
        <v>19</v>
      </c>
      <c r="D9" s="9" t="s">
        <v>20</v>
      </c>
    </row>
    <row r="10" spans="1:26">
      <c r="A10" s="6" t="s">
        <v>21</v>
      </c>
      <c r="B10" s="7">
        <v>1</v>
      </c>
      <c r="C10" s="8" t="s">
        <v>22</v>
      </c>
      <c r="D10" s="9" t="s">
        <v>23</v>
      </c>
    </row>
    <row r="11" spans="1:26">
      <c r="A11" s="10" t="s">
        <v>24</v>
      </c>
      <c r="B11" s="11">
        <v>12.4</v>
      </c>
      <c r="C11" s="12" t="s">
        <v>25</v>
      </c>
      <c r="D11" s="13" t="s">
        <v>26</v>
      </c>
    </row>
    <row r="14" spans="1:26">
      <c r="A14" s="14" t="s">
        <v>27</v>
      </c>
      <c r="B14" s="14" t="s">
        <v>28</v>
      </c>
      <c r="C14" s="14" t="s">
        <v>29</v>
      </c>
      <c r="D14" s="14" t="s">
        <v>30</v>
      </c>
      <c r="E14" s="14" t="s">
        <v>31</v>
      </c>
      <c r="F14" s="14" t="s">
        <v>32</v>
      </c>
      <c r="G14" s="14" t="s">
        <v>33</v>
      </c>
      <c r="H14" s="14" t="s">
        <v>34</v>
      </c>
      <c r="I14" s="14" t="s">
        <v>35</v>
      </c>
      <c r="J14" s="14" t="s">
        <v>36</v>
      </c>
      <c r="K14" s="14" t="s">
        <v>37</v>
      </c>
      <c r="L14" s="14" t="s">
        <v>38</v>
      </c>
      <c r="M14" s="14" t="s">
        <v>39</v>
      </c>
      <c r="N14" s="14" t="s">
        <v>40</v>
      </c>
      <c r="O14" s="14" t="s">
        <v>41</v>
      </c>
      <c r="P14" s="14" t="s">
        <v>42</v>
      </c>
    </row>
    <row r="15" spans="1:26">
      <c r="A15" s="15" t="s">
        <v>43</v>
      </c>
      <c r="B15" s="15">
        <v>4480</v>
      </c>
      <c r="C15" s="15">
        <v>4620</v>
      </c>
      <c r="D15" s="15">
        <v>4900</v>
      </c>
      <c r="E15" s="15">
        <v>5210</v>
      </c>
      <c r="F15" s="15">
        <v>5620</v>
      </c>
      <c r="G15" s="15">
        <v>6050</v>
      </c>
      <c r="H15" s="15">
        <v>6410</v>
      </c>
      <c r="I15" s="15">
        <v>6780</v>
      </c>
      <c r="J15" s="15">
        <v>7100</v>
      </c>
      <c r="K15" s="15">
        <v>7550</v>
      </c>
      <c r="L15" s="15">
        <v>8665</v>
      </c>
      <c r="M15" s="15">
        <v>10310</v>
      </c>
      <c r="N15" s="15">
        <v>8277</v>
      </c>
      <c r="O15" s="15">
        <v>8931</v>
      </c>
      <c r="P15" s="15">
        <v>9588</v>
      </c>
    </row>
    <row r="18" spans="1:7" ht="27.6">
      <c r="A18" s="1" t="s">
        <v>44</v>
      </c>
      <c r="B18" s="1" t="s">
        <v>9</v>
      </c>
      <c r="C18" s="1" t="s">
        <v>45</v>
      </c>
      <c r="D18" s="1" t="s">
        <v>15</v>
      </c>
      <c r="F18" s="1" t="s">
        <v>46</v>
      </c>
      <c r="G18" s="1" t="s">
        <v>47</v>
      </c>
    </row>
    <row r="19" spans="1:7">
      <c r="A19" t="s">
        <v>48</v>
      </c>
      <c r="B19" s="15">
        <v>2700</v>
      </c>
      <c r="C19" s="15">
        <v>975</v>
      </c>
      <c r="D19" s="15">
        <v>0</v>
      </c>
      <c r="F19" t="s">
        <v>49</v>
      </c>
      <c r="G19">
        <v>0</v>
      </c>
    </row>
    <row r="20" spans="1:7">
      <c r="A20" t="s">
        <v>50</v>
      </c>
      <c r="B20" s="15">
        <v>1650</v>
      </c>
      <c r="C20" s="15">
        <v>600</v>
      </c>
      <c r="D20" s="15">
        <v>133</v>
      </c>
      <c r="F20" t="s">
        <v>51</v>
      </c>
      <c r="G20">
        <v>1</v>
      </c>
    </row>
    <row r="21" spans="1:7">
      <c r="A21" t="s">
        <v>52</v>
      </c>
      <c r="B21" s="15">
        <v>1500</v>
      </c>
      <c r="C21" s="15">
        <v>632</v>
      </c>
      <c r="D21" s="15">
        <v>16</v>
      </c>
      <c r="F21" t="s">
        <v>53</v>
      </c>
      <c r="G21">
        <v>7</v>
      </c>
    </row>
    <row r="22" spans="1:7">
      <c r="A22" t="s">
        <v>54</v>
      </c>
      <c r="B22" s="15">
        <v>1200</v>
      </c>
      <c r="C22" s="15">
        <v>980</v>
      </c>
      <c r="D22" s="15">
        <v>436</v>
      </c>
    </row>
    <row r="23" spans="1:7">
      <c r="A23" t="s">
        <v>55</v>
      </c>
      <c r="B23" s="15">
        <v>1150</v>
      </c>
      <c r="C23" s="15">
        <v>433</v>
      </c>
      <c r="D23" s="15">
        <v>229</v>
      </c>
    </row>
    <row r="24" spans="1:7">
      <c r="A24" t="s">
        <v>56</v>
      </c>
      <c r="B24" s="15">
        <v>900</v>
      </c>
      <c r="C24" s="15">
        <v>857</v>
      </c>
      <c r="D24" s="15">
        <v>517</v>
      </c>
    </row>
    <row r="25" spans="1:7">
      <c r="A25" t="s">
        <v>57</v>
      </c>
      <c r="B25" s="15">
        <v>1300</v>
      </c>
      <c r="C25" s="15">
        <v>236</v>
      </c>
      <c r="D25" s="15">
        <v>0</v>
      </c>
    </row>
    <row r="26" spans="1:7">
      <c r="A26" t="s">
        <v>58</v>
      </c>
      <c r="B26" s="15">
        <v>1800</v>
      </c>
      <c r="C26" s="15">
        <v>430</v>
      </c>
      <c r="D26" s="15">
        <v>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activeCell="B10" sqref="B10"/>
    </sheetView>
  </sheetViews>
  <sheetFormatPr defaultRowHeight="13.8"/>
  <cols>
    <col min="1" max="1" width="73.5" customWidth="1"/>
    <col min="2" max="2" width="46" customWidth="1"/>
    <col min="4" max="4" width="22.296875" customWidth="1"/>
    <col min="5" max="5" width="55" customWidth="1"/>
  </cols>
  <sheetData>
    <row r="1" spans="1:26" ht="24.6" customHeight="1">
      <c r="A1" s="24" t="s">
        <v>59</v>
      </c>
      <c r="B1" s="25"/>
      <c r="C1" s="25"/>
      <c r="D1" s="25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3" spans="1:26">
      <c r="A3" s="3" t="s">
        <v>60</v>
      </c>
      <c r="B3" s="5" t="s">
        <v>3</v>
      </c>
      <c r="D3" s="1" t="s">
        <v>61</v>
      </c>
      <c r="E3" s="1" t="s">
        <v>62</v>
      </c>
    </row>
    <row r="4" spans="1:26" ht="26.4">
      <c r="A4" s="6" t="s">
        <v>63</v>
      </c>
      <c r="B4" s="9" t="s">
        <v>64</v>
      </c>
      <c r="D4" s="2" t="s">
        <v>65</v>
      </c>
      <c r="E4" s="2" t="s">
        <v>66</v>
      </c>
    </row>
    <row r="5" spans="1:26" ht="26.4">
      <c r="A5" s="6" t="s">
        <v>67</v>
      </c>
      <c r="B5" s="9" t="s">
        <v>68</v>
      </c>
      <c r="D5" s="2" t="s">
        <v>69</v>
      </c>
      <c r="E5" s="2" t="s">
        <v>70</v>
      </c>
    </row>
    <row r="6" spans="1:26" ht="26.4">
      <c r="A6" s="6" t="s">
        <v>71</v>
      </c>
      <c r="B6" s="9" t="s">
        <v>72</v>
      </c>
      <c r="D6" s="2" t="s">
        <v>73</v>
      </c>
      <c r="E6" s="2" t="s">
        <v>74</v>
      </c>
    </row>
    <row r="7" spans="1:26">
      <c r="A7" s="6" t="s">
        <v>75</v>
      </c>
      <c r="B7" s="9" t="s">
        <v>76</v>
      </c>
      <c r="D7" s="2" t="s">
        <v>45</v>
      </c>
      <c r="E7" s="2" t="s">
        <v>77</v>
      </c>
    </row>
    <row r="8" spans="1:26" ht="26.4">
      <c r="A8" s="6" t="s">
        <v>78</v>
      </c>
      <c r="B8" s="9" t="s">
        <v>79</v>
      </c>
      <c r="D8" s="2" t="s">
        <v>80</v>
      </c>
      <c r="E8" s="2" t="s">
        <v>81</v>
      </c>
    </row>
    <row r="9" spans="1:26">
      <c r="A9" s="6" t="s">
        <v>82</v>
      </c>
      <c r="B9" s="16">
        <v>1.65</v>
      </c>
    </row>
    <row r="10" spans="1:26">
      <c r="A10" s="6" t="s">
        <v>83</v>
      </c>
      <c r="B10" s="16">
        <v>45</v>
      </c>
    </row>
    <row r="11" spans="1:26">
      <c r="A11" s="6" t="s">
        <v>84</v>
      </c>
      <c r="B11" s="9">
        <v>22</v>
      </c>
    </row>
    <row r="12" spans="1:26">
      <c r="A12" s="6" t="s">
        <v>85</v>
      </c>
      <c r="B12" s="9" t="s">
        <v>86</v>
      </c>
    </row>
    <row r="13" spans="1:26">
      <c r="A13" s="6" t="s">
        <v>87</v>
      </c>
      <c r="B13" s="9" t="s">
        <v>88</v>
      </c>
    </row>
    <row r="14" spans="1:26">
      <c r="A14" s="6" t="s">
        <v>89</v>
      </c>
      <c r="B14" s="9" t="s">
        <v>90</v>
      </c>
    </row>
    <row r="15" spans="1:26" ht="26.4">
      <c r="A15" s="10" t="s">
        <v>91</v>
      </c>
      <c r="B15" s="13" t="s">
        <v>92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workbookViewId="0">
      <selection activeCell="A6" sqref="A6"/>
    </sheetView>
  </sheetViews>
  <sheetFormatPr defaultRowHeight="13.8"/>
  <cols>
    <col min="1" max="1" width="28" customWidth="1"/>
    <col min="2" max="2" width="7.8984375" customWidth="1"/>
    <col min="3" max="3" width="8.19921875" customWidth="1"/>
    <col min="4" max="4" width="8.59765625" customWidth="1"/>
    <col min="5" max="5" width="8.19921875" customWidth="1"/>
    <col min="6" max="6" width="8.69921875" customWidth="1"/>
    <col min="7" max="7" width="7.8984375" customWidth="1"/>
    <col min="8" max="8" width="7.3984375" customWidth="1"/>
    <col min="9" max="9" width="8.5" customWidth="1"/>
    <col min="10" max="10" width="8.19921875" customWidth="1"/>
    <col min="11" max="11" width="8.09765625" customWidth="1"/>
    <col min="12" max="12" width="8.5" customWidth="1"/>
    <col min="13" max="13" width="8.296875" customWidth="1"/>
    <col min="14" max="14" width="19.59765625" customWidth="1"/>
    <col min="15" max="15" width="24.09765625" customWidth="1"/>
  </cols>
  <sheetData>
    <row r="1" spans="1:26">
      <c r="A1" s="1" t="s">
        <v>44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93</v>
      </c>
      <c r="O1" s="1" t="s">
        <v>94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t="s">
        <v>48</v>
      </c>
      <c r="B2" s="15">
        <v>980</v>
      </c>
      <c r="C2" s="15">
        <v>910</v>
      </c>
      <c r="D2" s="15">
        <v>950</v>
      </c>
      <c r="E2" s="15">
        <v>1020</v>
      </c>
      <c r="F2" s="15">
        <v>1100</v>
      </c>
      <c r="G2" s="15">
        <v>1180</v>
      </c>
      <c r="H2" s="15">
        <v>1210</v>
      </c>
      <c r="I2" s="15">
        <v>1260</v>
      </c>
      <c r="J2" s="15">
        <v>1320</v>
      </c>
      <c r="K2" s="15">
        <v>1420</v>
      </c>
      <c r="L2" s="15">
        <v>1680</v>
      </c>
      <c r="M2" s="15">
        <v>1890</v>
      </c>
      <c r="N2" s="15">
        <v>14920</v>
      </c>
      <c r="O2" s="15">
        <v>1243.3</v>
      </c>
    </row>
    <row r="3" spans="1:26">
      <c r="A3" t="s">
        <v>50</v>
      </c>
      <c r="B3" s="15">
        <v>740</v>
      </c>
      <c r="C3" s="15">
        <v>780</v>
      </c>
      <c r="D3" s="15">
        <v>820</v>
      </c>
      <c r="E3" s="15">
        <v>860</v>
      </c>
      <c r="F3" s="15">
        <v>920</v>
      </c>
      <c r="G3" s="15">
        <v>990</v>
      </c>
      <c r="H3" s="15">
        <v>1040</v>
      </c>
      <c r="I3" s="15">
        <v>1090</v>
      </c>
      <c r="J3" s="15">
        <v>1150</v>
      </c>
      <c r="K3" s="15">
        <v>1220</v>
      </c>
      <c r="L3" s="15">
        <v>1325</v>
      </c>
      <c r="M3" s="15">
        <v>1550</v>
      </c>
      <c r="N3" s="15">
        <v>12485</v>
      </c>
      <c r="O3" s="15">
        <v>1040.4000000000001</v>
      </c>
    </row>
    <row r="4" spans="1:26">
      <c r="A4" t="s">
        <v>52</v>
      </c>
      <c r="B4" s="15">
        <v>650</v>
      </c>
      <c r="C4" s="15">
        <v>680</v>
      </c>
      <c r="D4" s="15">
        <v>720</v>
      </c>
      <c r="E4" s="15">
        <v>740</v>
      </c>
      <c r="F4" s="15">
        <v>780</v>
      </c>
      <c r="G4" s="15">
        <v>810</v>
      </c>
      <c r="H4" s="15">
        <v>850</v>
      </c>
      <c r="I4" s="15">
        <v>880</v>
      </c>
      <c r="J4" s="15">
        <v>920</v>
      </c>
      <c r="K4" s="15">
        <v>980</v>
      </c>
      <c r="L4" s="15">
        <v>1120</v>
      </c>
      <c r="M4" s="15">
        <v>1380</v>
      </c>
      <c r="N4" s="15">
        <v>10510</v>
      </c>
      <c r="O4" s="15">
        <v>875.8</v>
      </c>
    </row>
    <row r="5" spans="1:26">
      <c r="A5" t="s">
        <v>54</v>
      </c>
      <c r="B5" s="15">
        <v>520</v>
      </c>
      <c r="C5" s="15">
        <v>560</v>
      </c>
      <c r="D5" s="15">
        <v>590</v>
      </c>
      <c r="E5" s="15">
        <v>620</v>
      </c>
      <c r="F5" s="15">
        <v>680</v>
      </c>
      <c r="G5" s="15">
        <v>720</v>
      </c>
      <c r="H5" s="15">
        <v>760</v>
      </c>
      <c r="I5" s="15">
        <v>810</v>
      </c>
      <c r="J5" s="15">
        <v>870</v>
      </c>
      <c r="K5" s="15">
        <v>940</v>
      </c>
      <c r="L5" s="15">
        <v>1180</v>
      </c>
      <c r="M5" s="15">
        <v>1600</v>
      </c>
      <c r="N5" s="15">
        <v>9850</v>
      </c>
      <c r="O5" s="15">
        <v>820.8</v>
      </c>
    </row>
    <row r="6" spans="1:26">
      <c r="A6" t="s">
        <v>55</v>
      </c>
      <c r="B6" s="15">
        <v>460</v>
      </c>
      <c r="C6" s="15">
        <v>480</v>
      </c>
      <c r="D6" s="15">
        <v>510</v>
      </c>
      <c r="E6" s="15">
        <v>540</v>
      </c>
      <c r="F6" s="15">
        <v>600</v>
      </c>
      <c r="G6" s="15">
        <v>640</v>
      </c>
      <c r="H6" s="15">
        <v>690</v>
      </c>
      <c r="I6" s="15">
        <v>720</v>
      </c>
      <c r="J6" s="15">
        <v>760</v>
      </c>
      <c r="K6" s="15">
        <v>810</v>
      </c>
      <c r="L6" s="15">
        <v>920</v>
      </c>
      <c r="M6" s="15">
        <v>1080</v>
      </c>
      <c r="N6" s="15">
        <v>8210</v>
      </c>
      <c r="O6" s="15">
        <v>684.2</v>
      </c>
    </row>
    <row r="7" spans="1:26">
      <c r="A7" t="s">
        <v>56</v>
      </c>
      <c r="B7" s="15">
        <v>310</v>
      </c>
      <c r="C7" s="15">
        <v>330</v>
      </c>
      <c r="D7" s="15">
        <v>350</v>
      </c>
      <c r="E7" s="15">
        <v>380</v>
      </c>
      <c r="F7" s="15">
        <v>400</v>
      </c>
      <c r="G7" s="15">
        <v>450</v>
      </c>
      <c r="H7" s="15">
        <v>480</v>
      </c>
      <c r="I7" s="15">
        <v>520</v>
      </c>
      <c r="J7" s="15">
        <v>590</v>
      </c>
      <c r="K7" s="15">
        <v>720</v>
      </c>
      <c r="L7" s="15">
        <v>980</v>
      </c>
      <c r="M7" s="15">
        <v>1350</v>
      </c>
      <c r="N7" s="15">
        <v>6860</v>
      </c>
      <c r="O7" s="15">
        <v>571.70000000000005</v>
      </c>
    </row>
    <row r="8" spans="1:26">
      <c r="A8" t="s">
        <v>57</v>
      </c>
      <c r="B8" s="15">
        <v>390</v>
      </c>
      <c r="C8" s="15">
        <v>410</v>
      </c>
      <c r="D8" s="15">
        <v>440</v>
      </c>
      <c r="E8" s="15">
        <v>470</v>
      </c>
      <c r="F8" s="15">
        <v>500</v>
      </c>
      <c r="G8" s="15">
        <v>530</v>
      </c>
      <c r="H8" s="15">
        <v>560</v>
      </c>
      <c r="I8" s="15">
        <v>600</v>
      </c>
      <c r="J8" s="15">
        <v>640</v>
      </c>
      <c r="K8" s="15">
        <v>680</v>
      </c>
      <c r="L8" s="15">
        <v>720</v>
      </c>
      <c r="M8" s="15">
        <v>760</v>
      </c>
      <c r="N8" s="15">
        <v>6700</v>
      </c>
      <c r="O8" s="15">
        <v>558.29999999999995</v>
      </c>
    </row>
    <row r="9" spans="1:26">
      <c r="A9" t="s">
        <v>58</v>
      </c>
      <c r="B9" s="15">
        <v>430</v>
      </c>
      <c r="C9" s="15">
        <v>470</v>
      </c>
      <c r="D9" s="15">
        <v>520</v>
      </c>
      <c r="E9" s="15">
        <v>580</v>
      </c>
      <c r="F9" s="15">
        <v>640</v>
      </c>
      <c r="G9" s="15">
        <v>730</v>
      </c>
      <c r="H9" s="15">
        <v>820</v>
      </c>
      <c r="I9" s="15">
        <v>900</v>
      </c>
      <c r="J9" s="15">
        <v>850</v>
      </c>
      <c r="K9" s="15">
        <v>780</v>
      </c>
      <c r="L9" s="15">
        <v>740</v>
      </c>
      <c r="M9" s="15">
        <v>700</v>
      </c>
      <c r="N9" s="15">
        <v>8160</v>
      </c>
      <c r="O9" s="15">
        <v>680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topLeftCell="A4" workbookViewId="0">
      <selection activeCell="M33" sqref="M33"/>
    </sheetView>
  </sheetViews>
  <sheetFormatPr defaultRowHeight="13.8"/>
  <cols>
    <col min="1" max="1" width="28" customWidth="1"/>
    <col min="2" max="2" width="7.8984375" customWidth="1"/>
    <col min="3" max="3" width="8.19921875" customWidth="1"/>
    <col min="4" max="4" width="8.59765625" customWidth="1"/>
    <col min="5" max="5" width="8.19921875" customWidth="1"/>
    <col min="6" max="6" width="8.69921875" customWidth="1"/>
    <col min="7" max="7" width="7.8984375" customWidth="1"/>
    <col min="8" max="8" width="7.3984375" customWidth="1"/>
    <col min="9" max="9" width="8.5" customWidth="1"/>
    <col min="10" max="10" width="8.19921875" customWidth="1"/>
    <col min="11" max="11" width="8.09765625" customWidth="1"/>
    <col min="12" max="12" width="8.5" customWidth="1"/>
    <col min="13" max="13" width="8.296875" customWidth="1"/>
    <col min="14" max="14" width="13.19921875" customWidth="1"/>
    <col min="15" max="15" width="15.09765625" customWidth="1"/>
    <col min="16" max="16" width="15.19921875" customWidth="1"/>
    <col min="17" max="17" width="15.296875" customWidth="1"/>
    <col min="18" max="18" width="15.5" customWidth="1"/>
    <col min="19" max="20" width="15.8984375" customWidth="1"/>
  </cols>
  <sheetData>
    <row r="1" spans="1:26">
      <c r="A1" s="1" t="s">
        <v>44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23"/>
      <c r="V1" s="23"/>
      <c r="W1" s="23"/>
      <c r="X1" s="23"/>
      <c r="Y1" s="23"/>
      <c r="Z1" s="23"/>
    </row>
    <row r="2" spans="1:26">
      <c r="A2" t="s">
        <v>48</v>
      </c>
      <c r="B2" s="15">
        <v>980</v>
      </c>
      <c r="C2" s="15">
        <v>910</v>
      </c>
      <c r="D2" s="15">
        <v>950</v>
      </c>
      <c r="E2" s="15">
        <v>1020</v>
      </c>
      <c r="F2" s="15">
        <v>1100</v>
      </c>
      <c r="G2" s="15">
        <v>1180</v>
      </c>
      <c r="H2" s="15">
        <v>1210</v>
      </c>
      <c r="I2" s="15">
        <v>1260</v>
      </c>
      <c r="J2" s="15">
        <v>1320</v>
      </c>
      <c r="K2" s="15">
        <v>1420</v>
      </c>
      <c r="L2" s="15">
        <v>1680</v>
      </c>
      <c r="M2" s="15">
        <v>1890</v>
      </c>
      <c r="N2" s="15">
        <f t="shared" ref="N2:N9" si="0">AVERAGE(K2:M2)</f>
        <v>1663.3333333333333</v>
      </c>
      <c r="O2" s="19">
        <v>0.88</v>
      </c>
      <c r="P2" s="15">
        <f t="shared" ref="P2:P9" si="1">ROUND(N2*O2,0)</f>
        <v>1464</v>
      </c>
      <c r="Q2" s="19">
        <v>0.98</v>
      </c>
      <c r="R2" s="15">
        <f t="shared" ref="R2:R9" si="2">ROUND(AVERAGE(L2,M2,P2)*Q2,0)</f>
        <v>1644</v>
      </c>
      <c r="S2" s="19">
        <v>1.05</v>
      </c>
      <c r="T2" s="15">
        <f t="shared" ref="T2:T9" si="3">ROUND(AVERAGE(M2,P2,R2)*S2,0)</f>
        <v>1749</v>
      </c>
    </row>
    <row r="3" spans="1:26">
      <c r="A3" t="s">
        <v>50</v>
      </c>
      <c r="B3" s="15">
        <v>740</v>
      </c>
      <c r="C3" s="15">
        <v>780</v>
      </c>
      <c r="D3" s="15">
        <v>820</v>
      </c>
      <c r="E3" s="15">
        <v>860</v>
      </c>
      <c r="F3" s="15">
        <v>920</v>
      </c>
      <c r="G3" s="15">
        <v>990</v>
      </c>
      <c r="H3" s="15">
        <v>1040</v>
      </c>
      <c r="I3" s="15">
        <v>1090</v>
      </c>
      <c r="J3" s="15">
        <v>1150</v>
      </c>
      <c r="K3" s="15">
        <v>1220</v>
      </c>
      <c r="L3" s="15">
        <v>1325</v>
      </c>
      <c r="M3" s="15">
        <v>1550</v>
      </c>
      <c r="N3" s="15">
        <f t="shared" si="0"/>
        <v>1365</v>
      </c>
      <c r="O3" s="19">
        <v>0.95</v>
      </c>
      <c r="P3" s="15">
        <f t="shared" si="1"/>
        <v>1297</v>
      </c>
      <c r="Q3" s="19">
        <v>1</v>
      </c>
      <c r="R3" s="15">
        <f t="shared" si="2"/>
        <v>1391</v>
      </c>
      <c r="S3" s="19">
        <v>1.03</v>
      </c>
      <c r="T3" s="15">
        <f t="shared" si="3"/>
        <v>1455</v>
      </c>
    </row>
    <row r="4" spans="1:26">
      <c r="A4" t="s">
        <v>52</v>
      </c>
      <c r="B4" s="15">
        <v>650</v>
      </c>
      <c r="C4" s="15">
        <v>680</v>
      </c>
      <c r="D4" s="15">
        <v>720</v>
      </c>
      <c r="E4" s="15">
        <v>740</v>
      </c>
      <c r="F4" s="15">
        <v>780</v>
      </c>
      <c r="G4" s="15">
        <v>810</v>
      </c>
      <c r="H4" s="15">
        <v>850</v>
      </c>
      <c r="I4" s="15">
        <v>880</v>
      </c>
      <c r="J4" s="15">
        <v>920</v>
      </c>
      <c r="K4" s="15">
        <v>980</v>
      </c>
      <c r="L4" s="15">
        <v>1120</v>
      </c>
      <c r="M4" s="15">
        <v>1380</v>
      </c>
      <c r="N4" s="15">
        <f t="shared" si="0"/>
        <v>1160</v>
      </c>
      <c r="O4" s="19">
        <v>0.9</v>
      </c>
      <c r="P4" s="15">
        <f t="shared" si="1"/>
        <v>1044</v>
      </c>
      <c r="Q4" s="19">
        <v>0.98</v>
      </c>
      <c r="R4" s="15">
        <f t="shared" si="2"/>
        <v>1158</v>
      </c>
      <c r="S4" s="19">
        <v>1.08</v>
      </c>
      <c r="T4" s="15">
        <f t="shared" si="3"/>
        <v>1290</v>
      </c>
    </row>
    <row r="5" spans="1:26">
      <c r="A5" t="s">
        <v>54</v>
      </c>
      <c r="B5" s="15">
        <v>520</v>
      </c>
      <c r="C5" s="15">
        <v>560</v>
      </c>
      <c r="D5" s="15">
        <v>590</v>
      </c>
      <c r="E5" s="15">
        <v>620</v>
      </c>
      <c r="F5" s="15">
        <v>680</v>
      </c>
      <c r="G5" s="15">
        <v>720</v>
      </c>
      <c r="H5" s="15">
        <v>760</v>
      </c>
      <c r="I5" s="15">
        <v>810</v>
      </c>
      <c r="J5" s="15">
        <v>870</v>
      </c>
      <c r="K5" s="15">
        <v>940</v>
      </c>
      <c r="L5" s="15">
        <v>1180</v>
      </c>
      <c r="M5" s="15">
        <v>1600</v>
      </c>
      <c r="N5" s="15">
        <f t="shared" si="0"/>
        <v>1240</v>
      </c>
      <c r="O5" s="19">
        <v>0.88</v>
      </c>
      <c r="P5" s="15">
        <f t="shared" si="1"/>
        <v>1091</v>
      </c>
      <c r="Q5" s="19">
        <v>0.95</v>
      </c>
      <c r="R5" s="15">
        <f t="shared" si="2"/>
        <v>1226</v>
      </c>
      <c r="S5" s="19">
        <v>1.06</v>
      </c>
      <c r="T5" s="15">
        <f t="shared" si="3"/>
        <v>1384</v>
      </c>
    </row>
    <row r="6" spans="1:26">
      <c r="A6" t="s">
        <v>55</v>
      </c>
      <c r="B6" s="15">
        <v>460</v>
      </c>
      <c r="C6" s="15">
        <v>480</v>
      </c>
      <c r="D6" s="15">
        <v>510</v>
      </c>
      <c r="E6" s="15">
        <v>540</v>
      </c>
      <c r="F6" s="15">
        <v>600</v>
      </c>
      <c r="G6" s="15">
        <v>640</v>
      </c>
      <c r="H6" s="15">
        <v>690</v>
      </c>
      <c r="I6" s="15">
        <v>720</v>
      </c>
      <c r="J6" s="15">
        <v>760</v>
      </c>
      <c r="K6" s="15">
        <v>810</v>
      </c>
      <c r="L6" s="15">
        <v>920</v>
      </c>
      <c r="M6" s="15">
        <v>1080</v>
      </c>
      <c r="N6" s="15">
        <f t="shared" si="0"/>
        <v>936.66666666666663</v>
      </c>
      <c r="O6" s="19">
        <v>1.08</v>
      </c>
      <c r="P6" s="15">
        <f t="shared" si="1"/>
        <v>1012</v>
      </c>
      <c r="Q6" s="19">
        <v>1.05</v>
      </c>
      <c r="R6" s="15">
        <f t="shared" si="2"/>
        <v>1054</v>
      </c>
      <c r="S6" s="19">
        <v>1.06</v>
      </c>
      <c r="T6" s="15">
        <f t="shared" si="3"/>
        <v>1112</v>
      </c>
    </row>
    <row r="7" spans="1:26">
      <c r="A7" t="s">
        <v>56</v>
      </c>
      <c r="B7" s="15">
        <v>310</v>
      </c>
      <c r="C7" s="15">
        <v>330</v>
      </c>
      <c r="D7" s="15">
        <v>350</v>
      </c>
      <c r="E7" s="15">
        <v>380</v>
      </c>
      <c r="F7" s="15">
        <v>400</v>
      </c>
      <c r="G7" s="15">
        <v>450</v>
      </c>
      <c r="H7" s="15">
        <v>480</v>
      </c>
      <c r="I7" s="15">
        <v>520</v>
      </c>
      <c r="J7" s="15">
        <v>590</v>
      </c>
      <c r="K7" s="15">
        <v>720</v>
      </c>
      <c r="L7" s="15">
        <v>980</v>
      </c>
      <c r="M7" s="15">
        <v>1350</v>
      </c>
      <c r="N7" s="15">
        <f t="shared" si="0"/>
        <v>1016.6666666666666</v>
      </c>
      <c r="O7" s="19">
        <v>0.7</v>
      </c>
      <c r="P7" s="15">
        <f t="shared" si="1"/>
        <v>712</v>
      </c>
      <c r="Q7" s="19">
        <v>0.86</v>
      </c>
      <c r="R7" s="15">
        <f t="shared" si="2"/>
        <v>872</v>
      </c>
      <c r="S7" s="19">
        <v>0.95</v>
      </c>
      <c r="T7" s="15">
        <f t="shared" si="3"/>
        <v>929</v>
      </c>
    </row>
    <row r="8" spans="1:26">
      <c r="A8" t="s">
        <v>57</v>
      </c>
      <c r="B8" s="15">
        <v>390</v>
      </c>
      <c r="C8" s="15">
        <v>410</v>
      </c>
      <c r="D8" s="15">
        <v>440</v>
      </c>
      <c r="E8" s="15">
        <v>470</v>
      </c>
      <c r="F8" s="15">
        <v>500</v>
      </c>
      <c r="G8" s="15">
        <v>530</v>
      </c>
      <c r="H8" s="15">
        <v>560</v>
      </c>
      <c r="I8" s="15">
        <v>600</v>
      </c>
      <c r="J8" s="15">
        <v>640</v>
      </c>
      <c r="K8" s="15">
        <v>680</v>
      </c>
      <c r="L8" s="15">
        <v>720</v>
      </c>
      <c r="M8" s="15">
        <v>760</v>
      </c>
      <c r="N8" s="15">
        <f t="shared" si="0"/>
        <v>720</v>
      </c>
      <c r="O8" s="19">
        <v>1.1499999999999999</v>
      </c>
      <c r="P8" s="15">
        <f t="shared" si="1"/>
        <v>828</v>
      </c>
      <c r="Q8" s="19">
        <v>1</v>
      </c>
      <c r="R8" s="15">
        <f t="shared" si="2"/>
        <v>769</v>
      </c>
      <c r="S8" s="19">
        <v>0.98</v>
      </c>
      <c r="T8" s="15">
        <f t="shared" si="3"/>
        <v>770</v>
      </c>
    </row>
    <row r="9" spans="1:26">
      <c r="A9" t="s">
        <v>58</v>
      </c>
      <c r="B9" s="15">
        <v>430</v>
      </c>
      <c r="C9" s="15">
        <v>470</v>
      </c>
      <c r="D9" s="15">
        <v>520</v>
      </c>
      <c r="E9" s="15">
        <v>580</v>
      </c>
      <c r="F9" s="15">
        <v>640</v>
      </c>
      <c r="G9" s="15">
        <v>730</v>
      </c>
      <c r="H9" s="15">
        <v>820</v>
      </c>
      <c r="I9" s="15">
        <v>900</v>
      </c>
      <c r="J9" s="15">
        <v>850</v>
      </c>
      <c r="K9" s="15">
        <v>780</v>
      </c>
      <c r="L9" s="15">
        <v>740</v>
      </c>
      <c r="M9" s="15">
        <v>700</v>
      </c>
      <c r="N9" s="15">
        <f t="shared" si="0"/>
        <v>740</v>
      </c>
      <c r="O9" s="19">
        <v>1.1200000000000001</v>
      </c>
      <c r="P9" s="15">
        <f t="shared" si="1"/>
        <v>829</v>
      </c>
      <c r="Q9" s="19">
        <v>1.08</v>
      </c>
      <c r="R9" s="15">
        <f t="shared" si="2"/>
        <v>817</v>
      </c>
      <c r="S9" s="19">
        <v>1.1499999999999999</v>
      </c>
      <c r="T9" s="15">
        <f t="shared" si="3"/>
        <v>899</v>
      </c>
    </row>
    <row r="10" spans="1:26">
      <c r="A10" s="17" t="s">
        <v>102</v>
      </c>
      <c r="B10" s="18">
        <f t="shared" ref="B10:N10" si="4">SUM(B2:B9)</f>
        <v>4480</v>
      </c>
      <c r="C10" s="18">
        <f t="shared" si="4"/>
        <v>4620</v>
      </c>
      <c r="D10" s="18">
        <f t="shared" si="4"/>
        <v>4900</v>
      </c>
      <c r="E10" s="18">
        <f t="shared" si="4"/>
        <v>5210</v>
      </c>
      <c r="F10" s="18">
        <f t="shared" si="4"/>
        <v>5620</v>
      </c>
      <c r="G10" s="18">
        <f t="shared" si="4"/>
        <v>6050</v>
      </c>
      <c r="H10" s="18">
        <f t="shared" si="4"/>
        <v>6410</v>
      </c>
      <c r="I10" s="18">
        <f t="shared" si="4"/>
        <v>6780</v>
      </c>
      <c r="J10" s="18">
        <f t="shared" si="4"/>
        <v>7100</v>
      </c>
      <c r="K10" s="18">
        <f t="shared" si="4"/>
        <v>7550</v>
      </c>
      <c r="L10" s="18">
        <f t="shared" si="4"/>
        <v>8665</v>
      </c>
      <c r="M10" s="18">
        <f t="shared" si="4"/>
        <v>10310</v>
      </c>
      <c r="N10" s="18">
        <f t="shared" si="4"/>
        <v>8841.6666666666679</v>
      </c>
      <c r="O10" s="18"/>
      <c r="P10" s="18">
        <f>SUM(P2:P9)</f>
        <v>8277</v>
      </c>
      <c r="Q10" s="18"/>
      <c r="R10" s="18">
        <f>SUM(R2:R9)</f>
        <v>8931</v>
      </c>
      <c r="S10" s="18"/>
      <c r="T10" s="18">
        <f>SUM(T2:T9)</f>
        <v>9588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"/>
  <sheetViews>
    <sheetView topLeftCell="A10" workbookViewId="0">
      <selection activeCell="J10" sqref="J10"/>
    </sheetView>
  </sheetViews>
  <sheetFormatPr defaultRowHeight="13.8"/>
  <cols>
    <col min="1" max="1" width="28" customWidth="1"/>
    <col min="2" max="2" width="10.5" customWidth="1"/>
    <col min="3" max="3" width="23.5" customWidth="1"/>
    <col min="4" max="4" width="13.69921875" customWidth="1"/>
    <col min="5" max="5" width="10.19921875" customWidth="1"/>
    <col min="6" max="6" width="15.19921875" customWidth="1"/>
    <col min="7" max="7" width="15.5" customWidth="1"/>
    <col min="8" max="8" width="15.8984375" customWidth="1"/>
    <col min="9" max="9" width="14.09765625" customWidth="1"/>
    <col min="10" max="10" width="12.5" customWidth="1"/>
    <col min="11" max="11" width="13.8984375" customWidth="1"/>
    <col min="12" max="12" width="17.59765625" customWidth="1"/>
    <col min="13" max="13" width="23.5" customWidth="1"/>
    <col min="14" max="14" width="21.296875" customWidth="1"/>
    <col min="15" max="15" width="13.59765625" customWidth="1"/>
    <col min="16" max="16" width="14.5" customWidth="1"/>
    <col min="17" max="17" width="20" customWidth="1"/>
    <col min="18" max="18" width="10.09765625" customWidth="1"/>
    <col min="19" max="19" width="22.59765625" customWidth="1"/>
  </cols>
  <sheetData>
    <row r="1" spans="1:26" ht="27.6">
      <c r="A1" s="1" t="s">
        <v>44</v>
      </c>
      <c r="B1" s="1" t="s">
        <v>103</v>
      </c>
      <c r="C1" s="1" t="s">
        <v>104</v>
      </c>
      <c r="D1" s="1" t="s">
        <v>9</v>
      </c>
      <c r="E1" s="1" t="s">
        <v>12</v>
      </c>
      <c r="F1" s="1" t="s">
        <v>97</v>
      </c>
      <c r="G1" s="1" t="s">
        <v>99</v>
      </c>
      <c r="H1" s="1" t="s">
        <v>101</v>
      </c>
      <c r="I1" s="1" t="s">
        <v>105</v>
      </c>
      <c r="J1" s="1" t="s">
        <v>73</v>
      </c>
      <c r="K1" s="1" t="s">
        <v>45</v>
      </c>
      <c r="L1" s="1" t="s">
        <v>106</v>
      </c>
      <c r="M1" s="1" t="s">
        <v>15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23"/>
      <c r="U1" s="23"/>
      <c r="V1" s="23"/>
      <c r="W1" s="23"/>
      <c r="X1" s="23"/>
      <c r="Y1" s="23"/>
      <c r="Z1" s="23"/>
    </row>
    <row r="2" spans="1:26">
      <c r="A2" t="s">
        <v>48</v>
      </c>
      <c r="B2" t="s">
        <v>113</v>
      </c>
      <c r="C2" s="15">
        <v>14</v>
      </c>
      <c r="D2" s="15">
        <v>2700</v>
      </c>
      <c r="E2" s="15">
        <v>600</v>
      </c>
      <c r="F2" s="15">
        <f>'Forecast Model'!P2</f>
        <v>1464</v>
      </c>
      <c r="G2" s="15">
        <f>'Forecast Model'!R2</f>
        <v>1644</v>
      </c>
      <c r="H2" s="15">
        <f>'Forecast Model'!T2</f>
        <v>1749</v>
      </c>
      <c r="I2" s="20">
        <f t="shared" ref="I2:I9" si="0">F2/30</f>
        <v>48.8</v>
      </c>
      <c r="J2" s="15" t="e">
        <f ca="1">ROUNDUP(_xludf.STDEV.S('Forecast Model'!J2:M2)*SQRT(C2/30)*Assumptions!$B$9,0)</f>
        <v>#NAME?</v>
      </c>
      <c r="K2" s="15" t="e">
        <f t="shared" ref="K2:K9" ca="1" si="1">ROUNDUP(I2*C2+J2,0)</f>
        <v>#NAME?</v>
      </c>
      <c r="L2" s="15">
        <f t="shared" ref="L2:L9" si="2">D2+E2</f>
        <v>3300</v>
      </c>
      <c r="M2" s="15" t="e">
        <f ca="1">MAX(0,ROUNDUP(((F2+G2)*Assumptions!$B$10/60+J2)-L2,0))</f>
        <v>#NAME?</v>
      </c>
      <c r="N2" s="15">
        <f t="shared" ref="N2:N9" si="3">L2-F2</f>
        <v>1836</v>
      </c>
      <c r="O2" t="e">
        <f t="shared" ref="O2:O9" ca="1" si="4">IF(L2&lt;K2,"High",IF(N2&lt;J2,"Medium","Low"))</f>
        <v>#NAME?</v>
      </c>
      <c r="P2" t="e">
        <f t="shared" ref="P2:P9" ca="1" si="5">IF(L2&gt;(F2+G2+J2)*1.25,"High",IF(L2&gt;(F2+G2+J2)*1.05,"Medium","Low"))</f>
        <v>#NAME?</v>
      </c>
      <c r="Q2" t="e">
        <f t="shared" ref="Q2:Q9" ca="1" si="6">IF(O2="High","Immediate reorder",IF(O2="Medium","Review within 1 week",IF(P2="High","Reduce / promote","Monitor")))</f>
        <v>#NAME?</v>
      </c>
      <c r="R2" s="21">
        <v>110</v>
      </c>
      <c r="S2" s="21" t="e">
        <f t="shared" ref="S2:S9" ca="1" si="7">M2*R2</f>
        <v>#NAME?</v>
      </c>
    </row>
    <row r="3" spans="1:26">
      <c r="A3" t="s">
        <v>50</v>
      </c>
      <c r="B3" t="s">
        <v>113</v>
      </c>
      <c r="C3" s="15">
        <v>10</v>
      </c>
      <c r="D3" s="15">
        <v>1650</v>
      </c>
      <c r="E3" s="15">
        <v>400</v>
      </c>
      <c r="F3" s="15">
        <f>'Forecast Model'!P3</f>
        <v>1297</v>
      </c>
      <c r="G3" s="15">
        <f>'Forecast Model'!R3</f>
        <v>1391</v>
      </c>
      <c r="H3" s="15">
        <f>'Forecast Model'!T3</f>
        <v>1455</v>
      </c>
      <c r="I3" s="20">
        <f t="shared" si="0"/>
        <v>43.233333333333334</v>
      </c>
      <c r="J3" s="15" t="e">
        <f ca="1">ROUNDUP(_xludf.STDEV.S('Forecast Model'!J3:M3)*SQRT(C3/30)*Assumptions!$B$9,0)</f>
        <v>#NAME?</v>
      </c>
      <c r="K3" s="15" t="e">
        <f t="shared" ca="1" si="1"/>
        <v>#NAME?</v>
      </c>
      <c r="L3" s="15">
        <f t="shared" si="2"/>
        <v>2050</v>
      </c>
      <c r="M3" s="15" t="e">
        <f ca="1">MAX(0,ROUNDUP(((F3+G3)*Assumptions!$B$10/60+J3)-L3,0))</f>
        <v>#NAME?</v>
      </c>
      <c r="N3" s="15">
        <f t="shared" si="3"/>
        <v>753</v>
      </c>
      <c r="O3" t="e">
        <f t="shared" ca="1" si="4"/>
        <v>#NAME?</v>
      </c>
      <c r="P3" t="e">
        <f t="shared" ca="1" si="5"/>
        <v>#NAME?</v>
      </c>
      <c r="Q3" t="e">
        <f t="shared" ca="1" si="6"/>
        <v>#NAME?</v>
      </c>
      <c r="R3" s="21">
        <v>22</v>
      </c>
      <c r="S3" s="21" t="e">
        <f t="shared" ca="1" si="7"/>
        <v>#NAME?</v>
      </c>
    </row>
    <row r="4" spans="1:26">
      <c r="A4" t="s">
        <v>52</v>
      </c>
      <c r="B4" t="s">
        <v>114</v>
      </c>
      <c r="C4" s="15">
        <v>12</v>
      </c>
      <c r="D4" s="15">
        <v>1500</v>
      </c>
      <c r="E4" s="15">
        <v>350</v>
      </c>
      <c r="F4" s="15">
        <f>'Forecast Model'!P4</f>
        <v>1044</v>
      </c>
      <c r="G4" s="15">
        <f>'Forecast Model'!R4</f>
        <v>1158</v>
      </c>
      <c r="H4" s="15">
        <f>'Forecast Model'!T4</f>
        <v>1290</v>
      </c>
      <c r="I4" s="20">
        <f t="shared" si="0"/>
        <v>34.799999999999997</v>
      </c>
      <c r="J4" s="15" t="e">
        <f ca="1">ROUNDUP(_xludf.STDEV.S('Forecast Model'!J4:M4)*SQRT(C4/30)*Assumptions!$B$9,0)</f>
        <v>#NAME?</v>
      </c>
      <c r="K4" s="15" t="e">
        <f t="shared" ca="1" si="1"/>
        <v>#NAME?</v>
      </c>
      <c r="L4" s="15">
        <f t="shared" si="2"/>
        <v>1850</v>
      </c>
      <c r="M4" s="15" t="e">
        <f ca="1">MAX(0,ROUNDUP(((F4+G4)*Assumptions!$B$10/60+J4)-L4,0))</f>
        <v>#NAME?</v>
      </c>
      <c r="N4" s="15">
        <f t="shared" si="3"/>
        <v>806</v>
      </c>
      <c r="O4" t="e">
        <f t="shared" ca="1" si="4"/>
        <v>#NAME?</v>
      </c>
      <c r="P4" t="e">
        <f t="shared" ca="1" si="5"/>
        <v>#NAME?</v>
      </c>
      <c r="Q4" t="e">
        <f t="shared" ca="1" si="6"/>
        <v>#NAME?</v>
      </c>
      <c r="R4" s="21">
        <v>38</v>
      </c>
      <c r="S4" s="21" t="e">
        <f t="shared" ca="1" si="7"/>
        <v>#NAME?</v>
      </c>
    </row>
    <row r="5" spans="1:26">
      <c r="A5" t="s">
        <v>54</v>
      </c>
      <c r="B5" t="s">
        <v>114</v>
      </c>
      <c r="C5" s="15">
        <v>16</v>
      </c>
      <c r="D5" s="15">
        <v>1200</v>
      </c>
      <c r="E5" s="15">
        <v>500</v>
      </c>
      <c r="F5" s="15">
        <f>'Forecast Model'!P5</f>
        <v>1091</v>
      </c>
      <c r="G5" s="15">
        <f>'Forecast Model'!R5</f>
        <v>1226</v>
      </c>
      <c r="H5" s="15">
        <f>'Forecast Model'!T5</f>
        <v>1384</v>
      </c>
      <c r="I5" s="20">
        <f t="shared" si="0"/>
        <v>36.366666666666667</v>
      </c>
      <c r="J5" s="15" t="e">
        <f ca="1">ROUNDUP(_xludf.STDEV.S('Forecast Model'!J5:M5)*SQRT(C5/30)*Assumptions!$B$9,0)</f>
        <v>#NAME?</v>
      </c>
      <c r="K5" s="15" t="e">
        <f t="shared" ca="1" si="1"/>
        <v>#NAME?</v>
      </c>
      <c r="L5" s="15">
        <f t="shared" si="2"/>
        <v>1700</v>
      </c>
      <c r="M5" s="15" t="e">
        <f ca="1">MAX(0,ROUNDUP(((F5+G5)*Assumptions!$B$10/60+J5)-L5,0))</f>
        <v>#NAME?</v>
      </c>
      <c r="N5" s="15">
        <f t="shared" si="3"/>
        <v>609</v>
      </c>
      <c r="O5" t="e">
        <f t="shared" ca="1" si="4"/>
        <v>#NAME?</v>
      </c>
      <c r="P5" t="e">
        <f t="shared" ca="1" si="5"/>
        <v>#NAME?</v>
      </c>
      <c r="Q5" t="e">
        <f t="shared" ca="1" si="6"/>
        <v>#NAME?</v>
      </c>
      <c r="R5" s="21">
        <v>18</v>
      </c>
      <c r="S5" s="21" t="e">
        <f t="shared" ca="1" si="7"/>
        <v>#NAME?</v>
      </c>
    </row>
    <row r="6" spans="1:26">
      <c r="A6" t="s">
        <v>55</v>
      </c>
      <c r="B6" t="s">
        <v>114</v>
      </c>
      <c r="C6" s="15">
        <v>9</v>
      </c>
      <c r="D6" s="15">
        <v>1150</v>
      </c>
      <c r="E6" s="15">
        <v>300</v>
      </c>
      <c r="F6" s="15">
        <f>'Forecast Model'!P6</f>
        <v>1012</v>
      </c>
      <c r="G6" s="15">
        <f>'Forecast Model'!R6</f>
        <v>1054</v>
      </c>
      <c r="H6" s="15">
        <f>'Forecast Model'!T6</f>
        <v>1112</v>
      </c>
      <c r="I6" s="20">
        <f t="shared" si="0"/>
        <v>33.733333333333334</v>
      </c>
      <c r="J6" s="15" t="e">
        <f ca="1">ROUNDUP(_xludf.STDEV.S('Forecast Model'!J6:M6)*SQRT(C6/30)*Assumptions!$B$9,0)</f>
        <v>#NAME?</v>
      </c>
      <c r="K6" s="15" t="e">
        <f t="shared" ca="1" si="1"/>
        <v>#NAME?</v>
      </c>
      <c r="L6" s="15">
        <f t="shared" si="2"/>
        <v>1450</v>
      </c>
      <c r="M6" s="15" t="e">
        <f ca="1">MAX(0,ROUNDUP(((F6+G6)*Assumptions!$B$10/60+J6)-L6,0))</f>
        <v>#NAME?</v>
      </c>
      <c r="N6" s="15">
        <f t="shared" si="3"/>
        <v>438</v>
      </c>
      <c r="O6" t="e">
        <f t="shared" ca="1" si="4"/>
        <v>#NAME?</v>
      </c>
      <c r="P6" t="e">
        <f t="shared" ca="1" si="5"/>
        <v>#NAME?</v>
      </c>
      <c r="Q6" t="e">
        <f t="shared" ca="1" si="6"/>
        <v>#NAME?</v>
      </c>
      <c r="R6" s="21">
        <v>28</v>
      </c>
      <c r="S6" s="21" t="e">
        <f t="shared" ca="1" si="7"/>
        <v>#NAME?</v>
      </c>
    </row>
    <row r="7" spans="1:26">
      <c r="A7" t="s">
        <v>56</v>
      </c>
      <c r="B7" t="s">
        <v>115</v>
      </c>
      <c r="C7" s="15">
        <v>18</v>
      </c>
      <c r="D7" s="15">
        <v>900</v>
      </c>
      <c r="E7" s="15">
        <v>200</v>
      </c>
      <c r="F7" s="15">
        <f>'Forecast Model'!P7</f>
        <v>712</v>
      </c>
      <c r="G7" s="15">
        <f>'Forecast Model'!R7</f>
        <v>872</v>
      </c>
      <c r="H7" s="15">
        <f>'Forecast Model'!T7</f>
        <v>929</v>
      </c>
      <c r="I7" s="20">
        <f t="shared" si="0"/>
        <v>23.733333333333334</v>
      </c>
      <c r="J7" s="15" t="e">
        <f ca="1">ROUNDUP(_xludf.STDEV.S('Forecast Model'!J7:M7)*SQRT(C7/30)*Assumptions!$B$9,0)</f>
        <v>#NAME?</v>
      </c>
      <c r="K7" s="15" t="e">
        <f t="shared" ca="1" si="1"/>
        <v>#NAME?</v>
      </c>
      <c r="L7" s="15">
        <f t="shared" si="2"/>
        <v>1100</v>
      </c>
      <c r="M7" s="15" t="e">
        <f ca="1">MAX(0,ROUNDUP(((F7+G7)*Assumptions!$B$10/60+J7)-L7,0))</f>
        <v>#NAME?</v>
      </c>
      <c r="N7" s="15">
        <f t="shared" si="3"/>
        <v>388</v>
      </c>
      <c r="O7" t="e">
        <f t="shared" ca="1" si="4"/>
        <v>#NAME?</v>
      </c>
      <c r="P7" t="e">
        <f t="shared" ca="1" si="5"/>
        <v>#NAME?</v>
      </c>
      <c r="Q7" t="e">
        <f t="shared" ca="1" si="6"/>
        <v>#NAME?</v>
      </c>
      <c r="R7" s="21">
        <v>24</v>
      </c>
      <c r="S7" s="21" t="e">
        <f t="shared" ca="1" si="7"/>
        <v>#NAME?</v>
      </c>
    </row>
    <row r="8" spans="1:26">
      <c r="A8" t="s">
        <v>57</v>
      </c>
      <c r="B8" t="s">
        <v>115</v>
      </c>
      <c r="C8" s="15">
        <v>7</v>
      </c>
      <c r="D8" s="15">
        <v>1300</v>
      </c>
      <c r="E8" s="15">
        <v>250</v>
      </c>
      <c r="F8" s="15">
        <f>'Forecast Model'!P8</f>
        <v>828</v>
      </c>
      <c r="G8" s="15">
        <f>'Forecast Model'!R8</f>
        <v>769</v>
      </c>
      <c r="H8" s="15">
        <f>'Forecast Model'!T8</f>
        <v>770</v>
      </c>
      <c r="I8" s="20">
        <f t="shared" si="0"/>
        <v>27.6</v>
      </c>
      <c r="J8" s="15" t="e">
        <f ca="1">ROUNDUP(_xludf.STDEV.S('Forecast Model'!J8:M8)*SQRT(C8/30)*Assumptions!$B$9,0)</f>
        <v>#NAME?</v>
      </c>
      <c r="K8" s="15" t="e">
        <f t="shared" ca="1" si="1"/>
        <v>#NAME?</v>
      </c>
      <c r="L8" s="15">
        <f t="shared" si="2"/>
        <v>1550</v>
      </c>
      <c r="M8" s="15" t="e">
        <f ca="1">MAX(0,ROUNDUP(((F8+G8)*Assumptions!$B$10/60+J8)-L8,0))</f>
        <v>#NAME?</v>
      </c>
      <c r="N8" s="15">
        <f t="shared" si="3"/>
        <v>722</v>
      </c>
      <c r="O8" t="e">
        <f t="shared" ca="1" si="4"/>
        <v>#NAME?</v>
      </c>
      <c r="P8" t="e">
        <f t="shared" ca="1" si="5"/>
        <v>#NAME?</v>
      </c>
      <c r="Q8" t="e">
        <f t="shared" ca="1" si="6"/>
        <v>#NAME?</v>
      </c>
      <c r="R8" s="21">
        <v>12</v>
      </c>
      <c r="S8" s="21" t="e">
        <f t="shared" ca="1" si="7"/>
        <v>#NAME?</v>
      </c>
    </row>
    <row r="9" spans="1:26">
      <c r="A9" t="s">
        <v>58</v>
      </c>
      <c r="B9" t="s">
        <v>115</v>
      </c>
      <c r="C9" s="15">
        <v>13</v>
      </c>
      <c r="D9" s="15">
        <v>1800</v>
      </c>
      <c r="E9" s="15">
        <v>350</v>
      </c>
      <c r="F9" s="15">
        <f>'Forecast Model'!P9</f>
        <v>829</v>
      </c>
      <c r="G9" s="15">
        <f>'Forecast Model'!R9</f>
        <v>817</v>
      </c>
      <c r="H9" s="15">
        <f>'Forecast Model'!T9</f>
        <v>899</v>
      </c>
      <c r="I9" s="20">
        <f t="shared" si="0"/>
        <v>27.633333333333333</v>
      </c>
      <c r="J9" s="15" t="e">
        <f ca="1">ROUNDUP(_xludf.STDEV.S('Forecast Model'!J9:M9)*SQRT(C9/30)*Assumptions!$B$9,0)</f>
        <v>#NAME?</v>
      </c>
      <c r="K9" s="15" t="e">
        <f t="shared" ca="1" si="1"/>
        <v>#NAME?</v>
      </c>
      <c r="L9" s="15">
        <f t="shared" si="2"/>
        <v>2150</v>
      </c>
      <c r="M9" s="15" t="e">
        <f ca="1">MAX(0,ROUNDUP(((F9+G9)*Assumptions!$B$10/60+J9)-L9,0))</f>
        <v>#NAME?</v>
      </c>
      <c r="N9" s="15">
        <f t="shared" si="3"/>
        <v>1321</v>
      </c>
      <c r="O9" t="e">
        <f t="shared" ca="1" si="4"/>
        <v>#NAME?</v>
      </c>
      <c r="P9" t="e">
        <f t="shared" ca="1" si="5"/>
        <v>#NAME?</v>
      </c>
      <c r="Q9" t="e">
        <f t="shared" ca="1" si="6"/>
        <v>#NAME?</v>
      </c>
      <c r="R9" s="21">
        <v>45</v>
      </c>
      <c r="S9" s="21" t="e">
        <f t="shared" ca="1" si="7"/>
        <v>#NAME?</v>
      </c>
    </row>
    <row r="10" spans="1:26">
      <c r="A10" s="17" t="s">
        <v>116</v>
      </c>
      <c r="B10" s="17"/>
      <c r="C10" s="18"/>
      <c r="D10" s="18">
        <f>SUM(D2:D9)</f>
        <v>12200</v>
      </c>
      <c r="E10" s="18">
        <f>SUM(E2:E9)</f>
        <v>2950</v>
      </c>
      <c r="F10" s="18">
        <f>SUM(F2:F9)</f>
        <v>8277</v>
      </c>
      <c r="G10" s="18">
        <f>SUM(G2:G9)</f>
        <v>8931</v>
      </c>
      <c r="H10" s="18">
        <f>SUM(H2:H9)</f>
        <v>9588</v>
      </c>
      <c r="I10" s="18"/>
      <c r="J10" s="18" t="e">
        <f ca="1">SUM(J2:J9)</f>
        <v>#NAME?</v>
      </c>
      <c r="K10" s="18" t="e">
        <f ca="1">SUM(K2:K9)</f>
        <v>#NAME?</v>
      </c>
      <c r="L10" s="18">
        <f>SUM(L2:L9)</f>
        <v>15150</v>
      </c>
      <c r="M10" s="18" t="e">
        <f ca="1">SUM(M2:M9)</f>
        <v>#NAME?</v>
      </c>
      <c r="N10" s="18">
        <f>SUM(N2:N9)</f>
        <v>6873</v>
      </c>
      <c r="O10" s="17"/>
      <c r="P10" s="17"/>
      <c r="Q10" s="17"/>
      <c r="R10" s="22"/>
      <c r="S10" s="22" t="e">
        <f ca="1">SUM(S2:S9)</f>
        <v>#NAME?</v>
      </c>
    </row>
  </sheetData>
  <conditionalFormatting sqref="O2:O9">
    <cfRule type="expression" dxfId="3" priority="1">
      <formula>O2="High"</formula>
    </cfRule>
    <cfRule type="expression" dxfId="2" priority="2">
      <formula>O2="Medium"</formula>
    </cfRule>
    <cfRule type="expression" dxfId="1" priority="3">
      <formula>O2="Low"</formula>
    </cfRule>
  </conditionalFormatting>
  <conditionalFormatting sqref="P2:P9">
    <cfRule type="expression" dxfId="0" priority="4">
      <formula>P2="High"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"/>
  <sheetViews>
    <sheetView workbookViewId="0">
      <selection activeCell="L3" sqref="L3"/>
    </sheetView>
  </sheetViews>
  <sheetFormatPr defaultRowHeight="13.8"/>
  <cols>
    <col min="1" max="1" width="8.19921875" customWidth="1"/>
    <col min="2" max="2" width="16.296875" customWidth="1"/>
    <col min="3" max="3" width="30.796875" customWidth="1"/>
    <col min="4" max="4" width="19.5" customWidth="1"/>
    <col min="5" max="5" width="19.3984375" customWidth="1"/>
    <col min="6" max="6" width="26" customWidth="1"/>
    <col min="7" max="7" width="22.8984375" customWidth="1"/>
    <col min="8" max="8" width="36" customWidth="1"/>
  </cols>
  <sheetData>
    <row r="1" spans="1:26" ht="27.6">
      <c r="A1" s="1" t="s">
        <v>27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t="s">
        <v>40</v>
      </c>
      <c r="B2" s="15">
        <v>8277</v>
      </c>
      <c r="C2" s="15">
        <v>662</v>
      </c>
      <c r="D2" s="15">
        <v>5</v>
      </c>
      <c r="E2" s="15">
        <v>1</v>
      </c>
      <c r="F2" s="15">
        <v>2</v>
      </c>
      <c r="G2" s="15">
        <v>2</v>
      </c>
      <c r="H2" t="s">
        <v>124</v>
      </c>
    </row>
    <row r="3" spans="1:26">
      <c r="A3" t="s">
        <v>41</v>
      </c>
      <c r="B3" s="15">
        <v>8931</v>
      </c>
      <c r="C3" s="15">
        <v>714</v>
      </c>
      <c r="D3" s="15">
        <v>5</v>
      </c>
      <c r="E3" s="15">
        <v>1</v>
      </c>
      <c r="F3" s="15">
        <v>2</v>
      </c>
      <c r="G3" s="15">
        <v>2</v>
      </c>
      <c r="H3" t="s">
        <v>124</v>
      </c>
    </row>
    <row r="4" spans="1:26">
      <c r="A4" t="s">
        <v>42</v>
      </c>
      <c r="B4" s="15">
        <v>9588</v>
      </c>
      <c r="C4" s="15">
        <v>767</v>
      </c>
      <c r="D4" s="15">
        <v>6</v>
      </c>
      <c r="E4" s="15">
        <v>1</v>
      </c>
      <c r="F4" s="15">
        <v>2</v>
      </c>
      <c r="G4" s="15">
        <v>2</v>
      </c>
      <c r="H4" t="s">
        <v>125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/>
  </sheetViews>
  <sheetFormatPr defaultRowHeight="13.8"/>
  <cols>
    <col min="1" max="1" width="30" customWidth="1"/>
    <col min="2" max="2" width="8.296875" customWidth="1"/>
    <col min="3" max="4" width="45" customWidth="1"/>
    <col min="5" max="5" width="16.3984375" customWidth="1"/>
    <col min="6" max="6" width="7.69921875" customWidth="1"/>
  </cols>
  <sheetData>
    <row r="1" spans="1:2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26.4">
      <c r="A2" s="2" t="s">
        <v>132</v>
      </c>
      <c r="B2" s="2" t="s">
        <v>49</v>
      </c>
      <c r="C2" s="2" t="s">
        <v>133</v>
      </c>
      <c r="D2" s="2" t="s">
        <v>134</v>
      </c>
      <c r="E2" s="2" t="s">
        <v>135</v>
      </c>
      <c r="F2" s="2" t="s">
        <v>136</v>
      </c>
    </row>
    <row r="3" spans="1:26" ht="26.4">
      <c r="A3" s="2" t="s">
        <v>137</v>
      </c>
      <c r="B3" s="2" t="s">
        <v>49</v>
      </c>
      <c r="C3" s="2" t="s">
        <v>138</v>
      </c>
      <c r="D3" s="2" t="s">
        <v>139</v>
      </c>
      <c r="E3" s="2" t="s">
        <v>140</v>
      </c>
      <c r="F3" s="2" t="s">
        <v>136</v>
      </c>
    </row>
    <row r="4" spans="1:26" ht="26.4">
      <c r="A4" s="2" t="s">
        <v>141</v>
      </c>
      <c r="B4" s="2" t="s">
        <v>51</v>
      </c>
      <c r="C4" s="2" t="s">
        <v>142</v>
      </c>
      <c r="D4" s="2" t="s">
        <v>143</v>
      </c>
      <c r="E4" s="2" t="s">
        <v>144</v>
      </c>
      <c r="F4" s="2" t="s">
        <v>136</v>
      </c>
    </row>
    <row r="5" spans="1:26" ht="26.4">
      <c r="A5" s="2" t="s">
        <v>145</v>
      </c>
      <c r="B5" s="2" t="s">
        <v>49</v>
      </c>
      <c r="C5" s="2" t="s">
        <v>146</v>
      </c>
      <c r="D5" s="2" t="s">
        <v>147</v>
      </c>
      <c r="E5" s="2" t="s">
        <v>148</v>
      </c>
      <c r="F5" s="2" t="s">
        <v>136</v>
      </c>
    </row>
    <row r="6" spans="1:26">
      <c r="A6" s="2" t="s">
        <v>149</v>
      </c>
      <c r="B6" s="2" t="s">
        <v>51</v>
      </c>
      <c r="C6" s="2" t="s">
        <v>150</v>
      </c>
      <c r="D6" s="2" t="s">
        <v>151</v>
      </c>
      <c r="E6" s="2" t="s">
        <v>152</v>
      </c>
      <c r="F6" s="2" t="s">
        <v>136</v>
      </c>
    </row>
    <row r="7" spans="1:26">
      <c r="A7" s="2" t="s">
        <v>153</v>
      </c>
      <c r="B7" s="2" t="s">
        <v>51</v>
      </c>
      <c r="C7" s="2" t="s">
        <v>154</v>
      </c>
      <c r="D7" s="2" t="s">
        <v>155</v>
      </c>
      <c r="E7" s="2" t="s">
        <v>156</v>
      </c>
      <c r="F7" s="2" t="s">
        <v>136</v>
      </c>
    </row>
  </sheetData>
  <dataValidations count="2">
    <dataValidation type="list" sqref="B2:B7" xr:uid="{00000000-0002-0000-0600-000000000000}">
      <formula1>"High,Medium,Low"</formula1>
    </dataValidation>
    <dataValidation type="list" sqref="F2:F7" xr:uid="{00000000-0002-0000-0600-000001000000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"/>
  <sheetViews>
    <sheetView tabSelected="1" workbookViewId="0"/>
  </sheetViews>
  <sheetFormatPr defaultRowHeight="13.8"/>
  <cols>
    <col min="1" max="1" width="5.5" customWidth="1"/>
    <col min="2" max="2" width="27.69921875" customWidth="1"/>
    <col min="3" max="4" width="45" customWidth="1"/>
    <col min="5" max="5" width="9" customWidth="1"/>
  </cols>
  <sheetData>
    <row r="1" spans="1:26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26.4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</row>
    <row r="3" spans="1:26" ht="26.4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166</v>
      </c>
    </row>
    <row r="4" spans="1:26" ht="26.4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</row>
    <row r="5" spans="1:26" ht="26.4">
      <c r="A5" s="2" t="s">
        <v>176</v>
      </c>
      <c r="B5" s="2" t="s">
        <v>177</v>
      </c>
      <c r="C5" s="2" t="s">
        <v>178</v>
      </c>
      <c r="D5" s="2" t="s">
        <v>179</v>
      </c>
      <c r="E5" s="2" t="s">
        <v>180</v>
      </c>
    </row>
    <row r="6" spans="1:26" ht="26.4">
      <c r="A6" s="2" t="s">
        <v>181</v>
      </c>
      <c r="B6" s="2" t="s">
        <v>182</v>
      </c>
      <c r="C6" s="2" t="s">
        <v>183</v>
      </c>
      <c r="D6" s="2" t="s">
        <v>184</v>
      </c>
      <c r="E6" s="2" t="s">
        <v>185</v>
      </c>
    </row>
    <row r="7" spans="1:26" ht="26.4">
      <c r="A7" s="2" t="s">
        <v>186</v>
      </c>
      <c r="B7" s="2" t="s">
        <v>187</v>
      </c>
      <c r="C7" s="2" t="s">
        <v>188</v>
      </c>
      <c r="D7" s="2" t="s">
        <v>189</v>
      </c>
      <c r="E7" s="2" t="s">
        <v>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Demand History</vt:lpstr>
      <vt:lpstr>Forecast Model</vt:lpstr>
      <vt:lpstr>Reorder Plan</vt:lpstr>
      <vt:lpstr>Resource Plan</vt:lpstr>
      <vt:lpstr>Risk Register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2026-06-11T09:18:29Z</dcterms:modified>
</cp:coreProperties>
</file>